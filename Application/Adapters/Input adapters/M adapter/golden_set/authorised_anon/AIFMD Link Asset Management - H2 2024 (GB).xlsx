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490" yWindow="-3610" windowWidth="17380" windowHeight="13770" tabRatio="819" firstSheet="0" activeTab="0" autoFilterDateGrouping="1"/>
  </bookViews>
  <sheets>
    <sheet xmlns:r="http://schemas.openxmlformats.org/officeDocument/2006/relationships" name="Template" sheetId="1" state="visible" r:id="rId1"/>
    <sheet xmlns:r="http://schemas.openxmlformats.org/officeDocument/2006/relationships" name="#DOC InputRecords" sheetId="2" state="visible" r:id="rId2"/>
    <sheet xmlns:r="http://schemas.openxmlformats.org/officeDocument/2006/relationships" name="#DOC Reporting Obligation" sheetId="3" state="visible" r:id="rId3"/>
    <sheet xmlns:r="http://schemas.openxmlformats.org/officeDocument/2006/relationships" name="#DOC Reporting Code" sheetId="4" state="visible" r:id="rId4"/>
    <sheet xmlns:r="http://schemas.openxmlformats.org/officeDocument/2006/relationships" name="#DOC Annex II Tables" sheetId="5" state="visible" r:id="rId5"/>
    <sheet xmlns:r="http://schemas.openxmlformats.org/officeDocument/2006/relationships" name="#Validations" sheetId="6" state="visible" r:id="rId6"/>
  </sheets>
  <definedNames>
    <definedName name="AIF_external">Template!$B$219:$B$222</definedName>
    <definedName name="AIF_ID">Template!$B$29:$B$31</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'Template'!$A$1:$AL$233</definedName>
    <definedName name="_xlnm._FilterDatabase" localSheetId="3" hidden="1">'#DOC Reporting Code'!$B$2:$P$51</definedName>
    <definedName name="_xlnm.Print_Titles" localSheetId="3">'#DOC Reporting Code'!$1:$2</definedName>
    <definedName name="_xlnm.Print_Area" localSheetId="3">'#DOC Reporting Code'!$E$1:$P$51</definedName>
    <definedName name="_xlnm._FilterDatabase" localSheetId="4" hidden="1">'#DOC Annex II Tables'!$B$1:$B$207</definedName>
    <definedName name="_xlnm.Print_Titles" localSheetId="5">'#Validations'!$1:$3</definedName>
    <definedName name="_xlnm.Print_Area" localSheetId="5">'#Validations'!$B$1:$AJ$201</definedName>
  </definedNames>
  <calcPr calcId="191029" fullCalcOnLoad="1" concurrentManualCount="20"/>
</workbook>
</file>

<file path=xl/styles.xml><?xml version="1.0" encoding="utf-8"?>
<styleSheet xmlns="http://schemas.openxmlformats.org/spreadsheetml/2006/main">
  <numFmts count="3">
    <numFmt numFmtId="164" formatCode="_ * #,##0.00_ ;_ * \-#,##0.00_ ;_ * &quot;-&quot;??_ ;_ @_ "/>
    <numFmt numFmtId="165" formatCode="#,##0.0000"/>
    <numFmt numFmtId="166" formatCode="yyyy\-mm\-dd;@"/>
  </numFmts>
  <fonts count="49">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sz val="10"/>
      <scheme val="minor"/>
    </font>
    <font>
      <name val="Calibri"/>
      <family val="2"/>
      <color theme="10"/>
      <sz val="10"/>
      <u val="single"/>
      <scheme val="minor"/>
    </font>
    <font>
      <name val="Calibri"/>
      <family val="2"/>
      <sz val="11"/>
      <u val="single"/>
      <scheme val="minor"/>
    </font>
    <font>
      <name val="Calibri"/>
      <family val="2"/>
      <color rgb="FF0070C0"/>
      <sz val="8"/>
      <scheme val="minor"/>
    </font>
    <font>
      <name val="Calibri"/>
      <family val="2"/>
      <color rgb="FF0070C0"/>
      <sz val="8"/>
      <u val="single"/>
      <scheme val="minor"/>
    </font>
    <font>
      <name val="Calibri"/>
      <family val="2"/>
      <color rgb="FFFF0000"/>
      <sz val="11"/>
      <scheme val="minor"/>
    </font>
  </fonts>
  <fills count="20">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rgb="FF7030A0"/>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rgb="FFFFFF00"/>
        <bgColor indexed="64"/>
      </patternFill>
    </fill>
    <fill>
      <patternFill patternType="solid">
        <fgColor theme="0" tint="-0.0499893185216834"/>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7">
    <xf numFmtId="0" fontId="42" fillId="0" borderId="0"/>
    <xf numFmtId="0" fontId="1" fillId="2" borderId="1"/>
    <xf numFmtId="0" fontId="4" fillId="0" borderId="0"/>
    <xf numFmtId="0" fontId="8" fillId="0" borderId="0"/>
    <xf numFmtId="0" fontId="9" fillId="0" borderId="0"/>
    <xf numFmtId="0" fontId="17" fillId="0" borderId="0"/>
    <xf numFmtId="164" fontId="42" fillId="0" borderId="0"/>
  </cellStyleXfs>
  <cellXfs count="303">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6" applyAlignment="1" pivotButton="0" quotePrefix="0" xfId="0">
      <alignment horizontal="center"/>
    </xf>
    <xf numFmtId="0" fontId="10" fillId="3" borderId="0" pivotButton="0" quotePrefix="0" xfId="0"/>
    <xf numFmtId="0" fontId="3" fillId="3" borderId="0" applyAlignment="1" pivotButton="0" quotePrefix="0" xfId="0">
      <alignment horizontal="center"/>
    </xf>
    <xf numFmtId="0" fontId="11" fillId="0" borderId="0" applyAlignment="1" pivotButton="0" quotePrefix="0" xfId="0">
      <alignment horizontal="left"/>
    </xf>
    <xf numFmtId="0" fontId="12" fillId="0"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9" borderId="30" applyAlignment="1" pivotButton="0" quotePrefix="0" xfId="0">
      <alignment horizontal="center" wrapText="1"/>
    </xf>
    <xf numFmtId="0" fontId="11" fillId="9" borderId="2" applyAlignment="1" pivotButton="0" quotePrefix="0" xfId="0">
      <alignment horizontal="center" wrapText="1"/>
    </xf>
    <xf numFmtId="0" fontId="11" fillId="10" borderId="32" applyAlignment="1" pivotButton="0" quotePrefix="0" xfId="0">
      <alignment horizontal="center" wrapText="1"/>
    </xf>
    <xf numFmtId="0" fontId="11" fillId="11" borderId="33" applyAlignment="1" pivotButton="0" quotePrefix="0" xfId="0">
      <alignment horizontal="center" wrapText="1"/>
    </xf>
    <xf numFmtId="0" fontId="11" fillId="12"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10" borderId="34" applyAlignment="1" pivotButton="0" quotePrefix="0" xfId="0">
      <alignment horizontal="center" wrapText="1"/>
    </xf>
    <xf numFmtId="0" fontId="11" fillId="9" borderId="13" applyAlignment="1" pivotButton="0" quotePrefix="0" xfId="0">
      <alignment horizontal="center" wrapText="1"/>
    </xf>
    <xf numFmtId="0" fontId="11" fillId="10" borderId="35" applyAlignment="1" pivotButton="0" quotePrefix="0" xfId="0">
      <alignment horizontal="center" wrapText="1"/>
    </xf>
    <xf numFmtId="0" fontId="11" fillId="11" borderId="14" applyAlignment="1" pivotButton="0" quotePrefix="0" xfId="0">
      <alignment horizontal="center" wrapText="1"/>
    </xf>
    <xf numFmtId="0" fontId="11" fillId="12" borderId="35" applyAlignment="1" pivotButton="0" quotePrefix="0" xfId="0">
      <alignment horizontal="center" wrapText="1"/>
    </xf>
    <xf numFmtId="0" fontId="11" fillId="9" borderId="34" applyAlignment="1" pivotButton="0" quotePrefix="0" xfId="0">
      <alignment horizontal="center" wrapText="1"/>
    </xf>
    <xf numFmtId="0" fontId="11" fillId="10" borderId="13" applyAlignment="1" pivotButton="0" quotePrefix="0" xfId="0">
      <alignment horizontal="center" wrapText="1"/>
    </xf>
    <xf numFmtId="0" fontId="11" fillId="9" borderId="35" applyAlignment="1" pivotButton="0" quotePrefix="0" xfId="0">
      <alignment horizontal="center" wrapText="1"/>
    </xf>
    <xf numFmtId="0" fontId="11" fillId="13"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9" borderId="37" applyAlignment="1" pivotButton="0" quotePrefix="0" xfId="0">
      <alignment horizontal="center" wrapText="1"/>
    </xf>
    <xf numFmtId="0" fontId="11" fillId="9" borderId="41" applyAlignment="1" pivotButton="0" quotePrefix="0" xfId="0">
      <alignment horizontal="center" wrapText="1"/>
    </xf>
    <xf numFmtId="0" fontId="11" fillId="13" borderId="38" applyAlignment="1" pivotButton="0" quotePrefix="0" xfId="0">
      <alignment horizontal="center" wrapText="1"/>
    </xf>
    <xf numFmtId="0" fontId="11" fillId="11" borderId="42" applyAlignment="1" pivotButton="0" quotePrefix="0" xfId="0">
      <alignment horizontal="center" wrapText="1"/>
    </xf>
    <xf numFmtId="0" fontId="11" fillId="12"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16" applyAlignment="1" pivotButton="0" quotePrefix="0" xfId="0">
      <alignment horizontal="left" vertical="center" wrapText="1"/>
    </xf>
    <xf numFmtId="0" fontId="11" fillId="0" borderId="13" applyAlignment="1" pivotButton="0" quotePrefix="0" xfId="0">
      <alignment horizontal="left" vertical="center" wrapText="1"/>
    </xf>
    <xf numFmtId="0" fontId="20" fillId="3" borderId="16" applyAlignment="1" pivotButton="0" quotePrefix="0" xfId="0">
      <alignment horizontal="left" vertical="center" wrapText="1"/>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3" fillId="0" borderId="0" applyAlignment="1" pivotButton="0" quotePrefix="0" xfId="0">
      <alignment vertical="center" wrapText="1"/>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2" applyAlignment="1" pivotButton="0" quotePrefix="0" xfId="0">
      <alignment horizontal="center" vertical="center"/>
    </xf>
    <xf numFmtId="0" fontId="11" fillId="4" borderId="49" applyAlignment="1" pivotButton="0" quotePrefix="0" xfId="0">
      <alignment horizontal="center" vertical="center"/>
    </xf>
    <xf numFmtId="0" fontId="11" fillId="4" borderId="45"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0" applyAlignment="1" pivotButton="0" quotePrefix="0" xfId="0">
      <alignment horizontal="center" vertical="center"/>
    </xf>
    <xf numFmtId="0" fontId="11" fillId="0" borderId="50" applyAlignment="1" pivotButton="0" quotePrefix="0" xfId="0">
      <alignment horizontal="center" vertical="center"/>
    </xf>
    <xf numFmtId="0" fontId="11" fillId="0" borderId="51" applyAlignment="1" pivotButton="0" quotePrefix="0" xfId="0">
      <alignment horizontal="center" vertical="center"/>
    </xf>
    <xf numFmtId="0" fontId="3" fillId="16" borderId="0" applyAlignment="1" pivotButton="0" quotePrefix="0" xfId="0">
      <alignment horizontal="left"/>
    </xf>
    <xf numFmtId="0" fontId="11" fillId="16"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12" fillId="0" borderId="0" applyAlignment="1" pivotButton="0" quotePrefix="1"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3" fillId="0" borderId="13" applyAlignment="1" pivotButton="0" quotePrefix="0" xfId="0">
      <alignment horizontal="left" vertical="center"/>
    </xf>
    <xf numFmtId="0" fontId="41" fillId="0" borderId="13" applyAlignment="1" pivotButton="0" quotePrefix="0" xfId="0">
      <alignment horizontal="left" vertical="center"/>
    </xf>
    <xf numFmtId="0" fontId="23" fillId="0" borderId="13" applyAlignment="1" pivotButton="0" quotePrefix="0" xfId="0">
      <alignment horizontal="left" vertical="top"/>
    </xf>
    <xf numFmtId="0" fontId="3" fillId="0" borderId="44" applyAlignment="1" pivotButton="0" quotePrefix="0" xfId="0">
      <alignment horizontal="left" vertical="center"/>
    </xf>
    <xf numFmtId="0" fontId="2" fillId="0" borderId="44" applyAlignment="1" pivotButton="0" quotePrefix="0" xfId="0">
      <alignment horizontal="left" vertical="center"/>
    </xf>
    <xf numFmtId="0" fontId="2" fillId="0" borderId="13" applyAlignment="1" pivotButton="0" quotePrefix="0" xfId="0">
      <alignment horizontal="left" vertical="center"/>
    </xf>
    <xf numFmtId="0" fontId="11" fillId="0" borderId="13" applyAlignment="1" pivotButton="0" quotePrefix="0" xfId="0">
      <alignment vertical="center" wrapText="1"/>
    </xf>
    <xf numFmtId="0" fontId="12" fillId="0" borderId="13" applyAlignment="1" pivotButton="0" quotePrefix="0" xfId="0">
      <alignment vertical="center" wrapText="1"/>
    </xf>
    <xf numFmtId="0" fontId="12" fillId="0" borderId="13"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7" fillId="17" borderId="0" applyAlignment="1" pivotButton="0" quotePrefix="0" xfId="0">
      <alignment vertical="top"/>
    </xf>
    <xf numFmtId="1" fontId="6" fillId="17" borderId="0" applyAlignment="1" pivotButton="0" quotePrefix="0" xfId="0">
      <alignment horizontal="center" vertical="top"/>
    </xf>
    <xf numFmtId="0" fontId="6" fillId="17" borderId="0" applyAlignment="1" pivotButton="0" quotePrefix="0" xfId="0">
      <alignment vertical="top"/>
    </xf>
    <xf numFmtId="0" fontId="6" fillId="17" borderId="0" applyAlignment="1" pivotButton="0" quotePrefix="0" xfId="0">
      <alignment horizontal="center" vertical="top" wrapText="1"/>
    </xf>
    <xf numFmtId="0" fontId="24" fillId="17" borderId="0" applyAlignment="1" pivotButton="0" quotePrefix="0" xfId="0">
      <alignment vertical="top" wrapText="1"/>
    </xf>
    <xf numFmtId="0" fontId="6" fillId="17" borderId="0" applyAlignment="1" pivotButton="0" quotePrefix="0" xfId="0">
      <alignment vertical="top" wrapText="1"/>
    </xf>
    <xf numFmtId="0" fontId="2" fillId="4" borderId="0" pivotButton="0" quotePrefix="0" xfId="0"/>
    <xf numFmtId="0" fontId="3" fillId="0" borderId="13" applyAlignment="1" pivotButton="0" quotePrefix="0" xfId="0">
      <alignment horizontal="left" vertical="center" wrapText="1"/>
    </xf>
    <xf numFmtId="0" fontId="41" fillId="0" borderId="13" applyAlignment="1" pivotButton="0" quotePrefix="0" xfId="0">
      <alignment horizontal="left" vertical="center" wrapText="1"/>
    </xf>
    <xf numFmtId="0" fontId="3" fillId="4" borderId="57" pivotButton="0" quotePrefix="0" xfId="0"/>
    <xf numFmtId="0" fontId="7" fillId="3" borderId="14" applyAlignment="1" pivotButton="0" quotePrefix="0" xfId="0">
      <alignment horizontal="center"/>
    </xf>
    <xf numFmtId="0" fontId="7" fillId="3" borderId="2" applyAlignment="1" pivotButton="0" quotePrefix="0" xfId="0">
      <alignment vertical="top"/>
    </xf>
    <xf numFmtId="0" fontId="7" fillId="3" borderId="2" applyAlignment="1" pivotButton="0" quotePrefix="0" xfId="0">
      <alignment horizontal="left" vertical="top" wrapText="1"/>
    </xf>
    <xf numFmtId="0" fontId="7" fillId="3" borderId="31" applyAlignment="1" pivotButton="0" quotePrefix="0" xfId="0">
      <alignment vertical="top"/>
    </xf>
    <xf numFmtId="0" fontId="40" fillId="0" borderId="13" applyAlignment="1" pivotButton="0" quotePrefix="0" xfId="0">
      <alignment horizontal="left" vertical="top"/>
    </xf>
    <xf numFmtId="0" fontId="17" fillId="4" borderId="0" pivotButton="0" quotePrefix="0" xfId="5"/>
    <xf numFmtId="0" fontId="7" fillId="4" borderId="0" applyAlignment="1" pivotButton="0" quotePrefix="0" xfId="0">
      <alignment horizontal="left" vertical="top"/>
    </xf>
    <xf numFmtId="0" fontId="11" fillId="4" borderId="0" applyAlignment="1" pivotButton="0" quotePrefix="0" xfId="0">
      <alignment horizontal="left" vertical="top"/>
    </xf>
    <xf numFmtId="0" fontId="12" fillId="4" borderId="0" applyAlignment="1" pivotButton="0" quotePrefix="1" xfId="0">
      <alignment horizontal="left" vertical="top"/>
    </xf>
    <xf numFmtId="0" fontId="35" fillId="4" borderId="0" applyAlignment="1" pivotButton="0" quotePrefix="0" xfId="5">
      <alignment horizontal="left" vertical="top"/>
    </xf>
    <xf numFmtId="0" fontId="17" fillId="4" borderId="0" applyAlignment="1" pivotButton="0" quotePrefix="0" xfId="5">
      <alignment horizontal="left" vertical="top"/>
    </xf>
    <xf numFmtId="0" fontId="17" fillId="4" borderId="55" applyAlignment="1" pivotButton="0" quotePrefix="0" xfId="5">
      <alignment horizontal="left" vertical="top" wrapText="1"/>
    </xf>
    <xf numFmtId="0" fontId="44" fillId="4" borderId="56" applyAlignment="1" pivotButton="0" quotePrefix="0" xfId="5">
      <alignment horizontal="left" vertical="top" wrapText="1"/>
    </xf>
    <xf numFmtId="0" fontId="34" fillId="15" borderId="0" applyAlignment="1" pivotButton="0" quotePrefix="0" xfId="0">
      <alignment horizontal="left" vertical="top"/>
    </xf>
    <xf numFmtId="0" fontId="3" fillId="0" borderId="0" applyAlignment="1" pivotButton="0" quotePrefix="0" xfId="0">
      <alignment horizontal="left" vertical="top"/>
    </xf>
    <xf numFmtId="0" fontId="7" fillId="3" borderId="0" applyAlignment="1" pivotButton="0" quotePrefix="0" xfId="0">
      <alignment horizontal="left" vertical="top"/>
    </xf>
    <xf numFmtId="0" fontId="7" fillId="17" borderId="0" applyAlignment="1" pivotButton="0" quotePrefix="0" xfId="0">
      <alignment horizontal="left" vertical="top"/>
    </xf>
    <xf numFmtId="0" fontId="2" fillId="0" borderId="0" applyAlignment="1" pivotButton="0" quotePrefix="0" xfId="0">
      <alignment horizontal="left" vertical="top"/>
    </xf>
    <xf numFmtId="0" fontId="13" fillId="5" borderId="0" applyAlignment="1" pivotButton="0" quotePrefix="0" xfId="0">
      <alignment horizontal="left" vertical="top"/>
    </xf>
    <xf numFmtId="0" fontId="13" fillId="5" borderId="0" applyAlignment="1" pivotButton="0" quotePrefix="1" xfId="0">
      <alignment horizontal="left" vertical="top"/>
    </xf>
    <xf numFmtId="0" fontId="13" fillId="0" borderId="0" applyAlignment="1" pivotButton="0" quotePrefix="0" xfId="0">
      <alignment horizontal="left" vertical="top"/>
    </xf>
    <xf numFmtId="0" fontId="3" fillId="0" borderId="0" applyAlignment="1" applyProtection="1" pivotButton="0" quotePrefix="0" xfId="0">
      <alignment horizontal="left" vertical="top"/>
      <protection locked="0" hidden="0"/>
    </xf>
    <xf numFmtId="0" fontId="3" fillId="0" borderId="0" applyAlignment="1" applyProtection="1" pivotButton="0" quotePrefix="1" xfId="0">
      <alignment horizontal="left" vertical="top"/>
      <protection locked="0" hidden="0"/>
    </xf>
    <xf numFmtId="0" fontId="15" fillId="5" borderId="0" applyAlignment="1" pivotButton="0" quotePrefix="0" xfId="0">
      <alignment horizontal="left" vertical="top"/>
    </xf>
    <xf numFmtId="0" fontId="16" fillId="5" borderId="0" applyAlignment="1" pivotButton="0" quotePrefix="0" xfId="0">
      <alignment horizontal="left" vertical="top"/>
    </xf>
    <xf numFmtId="0" fontId="14" fillId="2" borderId="1" applyAlignment="1" applyProtection="1" pivotButton="0" quotePrefix="0" xfId="1">
      <alignment horizontal="left" vertical="top"/>
      <protection locked="0" hidden="0"/>
    </xf>
    <xf numFmtId="4" fontId="3" fillId="0" borderId="0" applyAlignment="1" applyProtection="1" pivotButton="0" quotePrefix="0" xfId="6">
      <alignment horizontal="right" vertical="top"/>
      <protection locked="0" hidden="0"/>
    </xf>
    <xf numFmtId="3" fontId="3" fillId="0" borderId="0" applyAlignment="1" applyProtection="1" pivotButton="0" quotePrefix="0" xfId="6">
      <alignment horizontal="left" vertical="top"/>
      <protection locked="0" hidden="0"/>
    </xf>
    <xf numFmtId="4" fontId="3" fillId="0" borderId="0" applyAlignment="1" applyProtection="1" pivotButton="0" quotePrefix="0" xfId="6">
      <alignment horizontal="left" vertical="top"/>
      <protection locked="0" hidden="0"/>
    </xf>
    <xf numFmtId="4" fontId="3" fillId="0" borderId="0" applyAlignment="1" applyProtection="1" pivotButton="0" quotePrefix="0" xfId="0">
      <alignment horizontal="right" vertical="top"/>
      <protection locked="0" hidden="0"/>
    </xf>
    <xf numFmtId="3" fontId="3" fillId="0" borderId="0" applyAlignment="1" applyProtection="1" pivotButton="0" quotePrefix="0" xfId="6">
      <alignment horizontal="right" vertical="top"/>
      <protection locked="0" hidden="0"/>
    </xf>
    <xf numFmtId="0" fontId="11" fillId="0" borderId="0" applyAlignment="1" applyProtection="1" pivotButton="0" quotePrefix="0" xfId="4">
      <alignment horizontal="left" vertical="top" wrapText="1"/>
      <protection locked="0" hidden="0"/>
    </xf>
    <xf numFmtId="164" fontId="3" fillId="0" borderId="0" applyAlignment="1" applyProtection="1" pivotButton="0" quotePrefix="0" xfId="6">
      <alignment horizontal="left" vertical="top"/>
      <protection locked="0" hidden="0"/>
    </xf>
    <xf numFmtId="0" fontId="16" fillId="5" borderId="0" applyAlignment="1" pivotButton="0" quotePrefix="1" xfId="0">
      <alignment horizontal="left" vertical="top"/>
    </xf>
    <xf numFmtId="0" fontId="16" fillId="0" borderId="0" applyAlignment="1" pivotButton="0" quotePrefix="0" xfId="0">
      <alignment horizontal="left" vertical="top"/>
    </xf>
    <xf numFmtId="4" fontId="3" fillId="0" borderId="0" applyAlignment="1" applyProtection="1" pivotButton="0" quotePrefix="0" xfId="6">
      <alignment vertical="top"/>
      <protection locked="0" hidden="0"/>
    </xf>
    <xf numFmtId="164" fontId="3" fillId="0" borderId="0" applyAlignment="1" applyProtection="1" pivotButton="0" quotePrefix="0" xfId="6">
      <alignment horizontal="left" vertical="top"/>
      <protection locked="0" hidden="0"/>
    </xf>
    <xf numFmtId="0" fontId="7" fillId="14" borderId="0" applyAlignment="1" pivotButton="0" quotePrefix="0" xfId="0">
      <alignment horizontal="left" vertical="top"/>
    </xf>
    <xf numFmtId="0" fontId="2" fillId="14" borderId="0" applyAlignment="1" pivotButton="0" quotePrefix="0" xfId="0">
      <alignment horizontal="left" vertical="top"/>
    </xf>
    <xf numFmtId="0" fontId="7" fillId="3" borderId="0" applyAlignment="1" pivotButton="0" quotePrefix="0" xfId="4">
      <alignment horizontal="left" vertical="top" wrapText="1"/>
    </xf>
    <xf numFmtId="0" fontId="13" fillId="6" borderId="0" applyAlignment="1" pivotButton="0" quotePrefix="0" xfId="0">
      <alignment horizontal="left" vertical="top"/>
    </xf>
    <xf numFmtId="0" fontId="11" fillId="0" borderId="0" applyAlignment="1" applyProtection="1" pivotButton="0" quotePrefix="0" xfId="0">
      <alignment horizontal="left" vertical="top"/>
      <protection locked="0" hidden="0"/>
    </xf>
    <xf numFmtId="2" fontId="11" fillId="0" borderId="0" applyAlignment="1" applyProtection="1" pivotButton="0" quotePrefix="0" xfId="0">
      <alignment horizontal="right" vertical="top"/>
      <protection locked="0" hidden="0"/>
    </xf>
    <xf numFmtId="2" fontId="11" fillId="0" borderId="0" applyAlignment="1" applyProtection="1" pivotButton="0" quotePrefix="0" xfId="6">
      <alignment horizontal="right" vertical="top"/>
      <protection locked="0" hidden="0"/>
    </xf>
    <xf numFmtId="0" fontId="7" fillId="0" borderId="0" applyAlignment="1" pivotButton="0" quotePrefix="0" xfId="0">
      <alignment horizontal="left" vertical="top"/>
    </xf>
    <xf numFmtId="0" fontId="7" fillId="3" borderId="14" applyAlignment="1" pivotButton="0" quotePrefix="0" xfId="0">
      <alignment horizontal="left" vertical="top"/>
    </xf>
    <xf numFmtId="0" fontId="7" fillId="3" borderId="13" applyAlignment="1" pivotButton="0" quotePrefix="0" xfId="0">
      <alignment horizontal="left" vertical="top"/>
    </xf>
    <xf numFmtId="0" fontId="13" fillId="5" borderId="15" applyAlignment="1" pivotButton="0" quotePrefix="0" xfId="0">
      <alignment horizontal="left" vertical="top"/>
    </xf>
    <xf numFmtId="0" fontId="13" fillId="5" borderId="16" applyAlignment="1" pivotButton="0" quotePrefix="0" xfId="0">
      <alignment horizontal="left" vertical="top"/>
    </xf>
    <xf numFmtId="0" fontId="7" fillId="17" borderId="13" applyAlignment="1" pivotButton="0" quotePrefix="0" xfId="0">
      <alignment horizontal="left" vertical="top"/>
    </xf>
    <xf numFmtId="0" fontId="13" fillId="5" borderId="16" applyAlignment="1" pivotButton="0" quotePrefix="1" xfId="0">
      <alignment horizontal="left" vertical="top"/>
    </xf>
    <xf numFmtId="0" fontId="3" fillId="0" borderId="0" applyAlignment="1" applyProtection="1" pivotButton="0" quotePrefix="0" xfId="6">
      <alignment horizontal="left" vertical="top"/>
      <protection locked="0" hidden="0"/>
    </xf>
    <xf numFmtId="4" fontId="3" fillId="0" borderId="2" applyAlignment="1" applyProtection="1" pivotButton="0" quotePrefix="0" xfId="6">
      <alignment horizontal="right" vertical="top"/>
      <protection locked="0" hidden="0"/>
    </xf>
    <xf numFmtId="0" fontId="3" fillId="0" borderId="0" applyAlignment="1" applyProtection="1" pivotButton="0" quotePrefix="0" xfId="0">
      <alignment horizontal="right" vertical="top"/>
      <protection locked="0" hidden="0"/>
    </xf>
    <xf numFmtId="0" fontId="11" fillId="0" borderId="0" applyAlignment="1" pivotButton="0" quotePrefix="0" xfId="0">
      <alignment horizontal="left" vertical="top"/>
    </xf>
    <xf numFmtId="0" fontId="7" fillId="8" borderId="0" applyAlignment="1" pivotButton="0" quotePrefix="0" xfId="0">
      <alignment horizontal="left" vertical="top"/>
    </xf>
    <xf numFmtId="0" fontId="3" fillId="8" borderId="0" applyAlignment="1" pivotButton="0" quotePrefix="0" xfId="0">
      <alignment horizontal="left" vertical="top"/>
    </xf>
    <xf numFmtId="165" fontId="3" fillId="0" borderId="0" applyAlignment="1" applyProtection="1" pivotButton="0" quotePrefix="0" xfId="6">
      <alignment horizontal="left" vertical="top"/>
      <protection locked="0" hidden="0"/>
    </xf>
    <xf numFmtId="0" fontId="7" fillId="7" borderId="0" applyAlignment="1" pivotButton="0" quotePrefix="0" xfId="0">
      <alignment horizontal="left" vertical="top"/>
    </xf>
    <xf numFmtId="0" fontId="3" fillId="7" borderId="0" applyAlignment="1" pivotButton="0" quotePrefix="0" xfId="0">
      <alignment horizontal="left" vertical="top"/>
    </xf>
    <xf numFmtId="0" fontId="5" fillId="4" borderId="3" pivotButton="0" quotePrefix="0" xfId="0"/>
    <xf numFmtId="0" fontId="5" fillId="4" borderId="5" applyAlignment="1" pivotButton="0" quotePrefix="0" xfId="0">
      <alignment horizontal="center"/>
    </xf>
    <xf numFmtId="0" fontId="5" fillId="4" borderId="0" applyAlignment="1" pivotButton="0" quotePrefix="0" xfId="0">
      <alignment horizontal="center"/>
    </xf>
    <xf numFmtId="0" fontId="5" fillId="4" borderId="8" pivotButton="0" quotePrefix="0" xfId="0"/>
    <xf numFmtId="0" fontId="5" fillId="4" borderId="0" applyAlignment="1" pivotButton="0" quotePrefix="1" xfId="0">
      <alignment horizontal="center"/>
    </xf>
    <xf numFmtId="0" fontId="5" fillId="4" borderId="9" pivotButton="0" quotePrefix="0" xfId="0"/>
    <xf numFmtId="0" fontId="5" fillId="4" borderId="7" applyAlignment="1" pivotButton="0" quotePrefix="0" xfId="0">
      <alignment horizontal="center"/>
    </xf>
    <xf numFmtId="0" fontId="5" fillId="0" borderId="0" applyAlignment="1" pivotButton="0" quotePrefix="0" xfId="0">
      <alignment horizontal="center"/>
    </xf>
    <xf numFmtId="166" fontId="3" fillId="0" borderId="0" applyAlignment="1" applyProtection="1" pivotButton="0" quotePrefix="1" xfId="0">
      <alignment horizontal="left" vertical="top"/>
      <protection locked="0" hidden="0"/>
    </xf>
    <xf numFmtId="166" fontId="3" fillId="0" borderId="0" applyAlignment="1" applyProtection="1" pivotButton="0" quotePrefix="0" xfId="0">
      <alignment horizontal="left" vertical="top"/>
      <protection locked="0" hidden="0"/>
    </xf>
    <xf numFmtId="0" fontId="11" fillId="0" borderId="0" applyAlignment="1" applyProtection="1" pivotButton="0" quotePrefix="1" xfId="0">
      <alignment horizontal="left" vertical="top"/>
      <protection locked="0" hidden="0"/>
    </xf>
    <xf numFmtId="4" fontId="3" fillId="19" borderId="0" applyAlignment="1" applyProtection="1" pivotButton="0" quotePrefix="0" xfId="6">
      <alignment horizontal="right" vertical="top"/>
      <protection locked="0" hidden="0"/>
    </xf>
    <xf numFmtId="4" fontId="3" fillId="6" borderId="0" applyAlignment="1" applyProtection="1" pivotButton="0" quotePrefix="0" xfId="6">
      <alignment horizontal="right" vertical="top"/>
      <protection locked="0" hidden="0"/>
    </xf>
    <xf numFmtId="4" fontId="2" fillId="19" borderId="0" applyAlignment="1" applyProtection="1" pivotButton="0" quotePrefix="0" xfId="6">
      <alignment horizontal="right" vertical="top"/>
      <protection locked="0" hidden="0"/>
    </xf>
    <xf numFmtId="4" fontId="2" fillId="6" borderId="0" applyAlignment="1" applyProtection="1" pivotButton="0" quotePrefix="0" xfId="6">
      <alignment horizontal="right" vertical="top"/>
      <protection locked="0" hidden="0"/>
    </xf>
    <xf numFmtId="4" fontId="3" fillId="18" borderId="0" applyAlignment="1" applyProtection="1" pivotButton="0" quotePrefix="0" xfId="6">
      <alignment horizontal="right" vertical="top"/>
      <protection locked="0" hidden="0"/>
    </xf>
    <xf numFmtId="4" fontId="46" fillId="0" borderId="0" applyAlignment="1" applyProtection="1" pivotButton="0" quotePrefix="0" xfId="6">
      <alignment horizontal="right" vertical="top"/>
      <protection locked="0" hidden="0"/>
    </xf>
    <xf numFmtId="4" fontId="46" fillId="19" borderId="0" applyAlignment="1" applyProtection="1" pivotButton="0" quotePrefix="0" xfId="6">
      <alignment horizontal="right" vertical="top"/>
      <protection locked="0" hidden="0"/>
    </xf>
    <xf numFmtId="4" fontId="46" fillId="6" borderId="0" applyAlignment="1" applyProtection="1" pivotButton="0" quotePrefix="0" xfId="6">
      <alignment horizontal="right" vertical="top"/>
      <protection locked="0" hidden="0"/>
    </xf>
    <xf numFmtId="4" fontId="3" fillId="0" borderId="0" applyAlignment="1" applyProtection="1" pivotButton="0" quotePrefix="0" xfId="6">
      <alignment horizontal="center" vertical="top"/>
      <protection locked="0" hidden="0"/>
    </xf>
    <xf numFmtId="4" fontId="47" fillId="0" borderId="0" applyAlignment="1" applyProtection="1" pivotButton="0" quotePrefix="0" xfId="6">
      <alignment horizontal="center" vertical="top"/>
      <protection locked="0" hidden="0"/>
    </xf>
    <xf numFmtId="4" fontId="46" fillId="0" borderId="0" applyAlignment="1" applyProtection="1" pivotButton="0" quotePrefix="0" xfId="6">
      <alignment horizontal="center" vertical="top"/>
      <protection locked="0" hidden="0"/>
    </xf>
    <xf numFmtId="0" fontId="3" fillId="0" borderId="0" applyAlignment="1" applyProtection="1" pivotButton="0" quotePrefix="0" xfId="0">
      <alignment horizontal="center" vertical="top"/>
      <protection locked="0" hidden="0"/>
    </xf>
    <xf numFmtId="0" fontId="47" fillId="0" borderId="0" applyAlignment="1" applyProtection="1" pivotButton="0" quotePrefix="0" xfId="0">
      <alignment horizontal="center" vertical="top"/>
      <protection locked="0" hidden="0"/>
    </xf>
    <xf numFmtId="4" fontId="2" fillId="0" borderId="0" applyAlignment="1" pivotButton="0" quotePrefix="0" xfId="0">
      <alignment horizontal="left" vertical="top"/>
    </xf>
    <xf numFmtId="4" fontId="13" fillId="0" borderId="0" applyAlignment="1" applyProtection="1" pivotButton="0" quotePrefix="0" xfId="6">
      <alignment horizontal="right" vertical="top"/>
      <protection locked="0" hidden="0"/>
    </xf>
    <xf numFmtId="4" fontId="3" fillId="18" borderId="0" applyAlignment="1" applyProtection="1" pivotButton="0" quotePrefix="0" xfId="6">
      <alignment vertical="top"/>
      <protection locked="0" hidden="0"/>
    </xf>
    <xf numFmtId="4" fontId="3" fillId="0" borderId="0" applyAlignment="1" applyProtection="1" pivotButton="0" quotePrefix="0" xfId="6">
      <alignment horizontal="right" vertical="top"/>
      <protection locked="0" hidden="0"/>
    </xf>
    <xf numFmtId="4" fontId="2" fillId="0" borderId="0" applyAlignment="1" applyProtection="1" pivotButton="0" quotePrefix="0" xfId="6">
      <alignment vertical="top"/>
      <protection locked="0" hidden="0"/>
    </xf>
    <xf numFmtId="4" fontId="46" fillId="18" borderId="0" applyAlignment="1" applyProtection="1" pivotButton="0" quotePrefix="0" xfId="6">
      <alignment horizontal="right" vertical="top"/>
      <protection locked="0" hidden="0"/>
    </xf>
    <xf numFmtId="0" fontId="3" fillId="0" borderId="0" applyAlignment="1" applyProtection="1" pivotButton="0" quotePrefix="0" xfId="0">
      <alignment horizontal="left"/>
      <protection locked="0" hidden="0"/>
    </xf>
    <xf numFmtId="0" fontId="32" fillId="4" borderId="53" applyAlignment="1" pivotButton="0" quotePrefix="0" xfId="0">
      <alignment horizontal="left" vertical="top" wrapText="1"/>
    </xf>
    <xf numFmtId="0" fontId="32" fillId="4" borderId="54" applyAlignment="1" pivotButton="0" quotePrefix="0" xfId="0">
      <alignment horizontal="left" vertical="top" wrapText="1"/>
    </xf>
    <xf numFmtId="0" fontId="43" fillId="4" borderId="17" applyAlignment="1" pivotButton="0" quotePrefix="0" xfId="0">
      <alignment horizontal="left" vertical="top" wrapText="1"/>
    </xf>
    <xf numFmtId="0" fontId="32" fillId="4" borderId="18" applyAlignment="1" pivotButton="0" quotePrefix="0" xfId="0">
      <alignment horizontal="left" vertical="top" wrapText="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7" applyAlignment="1" pivotButton="0" quotePrefix="0" xfId="0">
      <alignment horizontal="center" vertical="center"/>
    </xf>
    <xf numFmtId="0" fontId="36" fillId="3" borderId="48"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32" fillId="4" borderId="58" applyAlignment="1" pivotButton="0" quotePrefix="0" xfId="0">
      <alignment horizontal="left" vertical="top" wrapText="1"/>
    </xf>
    <xf numFmtId="0" fontId="0" fillId="0" borderId="54" pivotButton="0" quotePrefix="0" xfId="0"/>
    <xf numFmtId="0" fontId="43" fillId="4" borderId="39" applyAlignment="1" pivotButton="0" quotePrefix="0" xfId="0">
      <alignment horizontal="left" vertical="top" wrapText="1"/>
    </xf>
    <xf numFmtId="0" fontId="0" fillId="0" borderId="18" pivotButton="0" quotePrefix="0" xfId="0"/>
    <xf numFmtId="0" fontId="36" fillId="3" borderId="63" applyAlignment="1" pivotButton="0" quotePrefix="0" xfId="0">
      <alignment horizontal="center" vertical="center"/>
    </xf>
    <xf numFmtId="0" fontId="0" fillId="0" borderId="48" pivotButton="0" quotePrefix="0" xfId="0"/>
    <xf numFmtId="0" fontId="18" fillId="3" borderId="39" applyAlignment="1" pivotButton="0" quotePrefix="0" xfId="0">
      <alignment horizontal="center" vertical="center" wrapText="1"/>
    </xf>
    <xf numFmtId="0" fontId="0" fillId="0" borderId="19" pivotButton="0" quotePrefix="0" xfId="0"/>
    <xf numFmtId="0" fontId="7" fillId="4" borderId="61" applyAlignment="1" pivotButton="0" quotePrefix="0" xfId="0">
      <alignment horizontal="center" wrapText="1"/>
    </xf>
    <xf numFmtId="0" fontId="0" fillId="0" borderId="29" pivotButton="0" quotePrefix="0" xfId="0"/>
    <xf numFmtId="0" fontId="0" fillId="0" borderId="39" pivotButton="0" quotePrefix="0" xfId="0"/>
    <xf numFmtId="0" fontId="0" fillId="0" borderId="65" pivotButton="0" quotePrefix="0" xfId="0"/>
    <xf numFmtId="0" fontId="0" fillId="0" borderId="14" pivotButton="0" quotePrefix="0" xfId="0"/>
    <xf numFmtId="0" fontId="0" fillId="0" borderId="43" pivotButton="0" quotePrefix="0" xfId="0"/>
    <xf numFmtId="0" fontId="7" fillId="3" borderId="66" applyAlignment="1" pivotButton="0" quotePrefix="0" xfId="4">
      <alignment horizontal="center" wrapText="1"/>
    </xf>
    <xf numFmtId="0" fontId="0" fillId="0" borderId="33" pivotButton="0" quotePrefix="0" xfId="0"/>
    <xf numFmtId="0" fontId="7" fillId="3" borderId="66" applyAlignment="1" pivotButton="0" quotePrefix="0" xfId="0">
      <alignment horizontal="center" wrapText="1"/>
    </xf>
    <xf numFmtId="0" fontId="7" fillId="3" borderId="13"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7">
    <cellStyle name="Standard" xfId="0" builtinId="0"/>
    <cellStyle name="Eingabe" xfId="1" builtinId="20"/>
    <cellStyle name="Standaard 2" xfId="2"/>
    <cellStyle name="Standaard 3" xfId="3"/>
    <cellStyle name="Normal 2" xfId="4"/>
    <cellStyle name="Link" xfId="5" builtinId="8"/>
    <cellStyle name="Komma" xfId="6"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19050</colOff>
      <row>3</row>
      <rowOff>2303</rowOff>
    </from>
    <to>
      <col>2</col>
      <colOff>2111375</colOff>
      <row>5</row>
      <rowOff>626550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244850" y="408703"/>
          <a:ext cx="2089150" cy="128782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47625</colOff>
      <row>1</row>
      <rowOff>155575</rowOff>
    </from>
    <to>
      <col>27</col>
      <colOff>121458</colOff>
      <row>53</row>
      <rowOff>181341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625" y="523875"/>
          <a:ext cx="17390283" cy="960156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rive.google.com/uc?export=download&amp;id=1Mj1tj58ePTEZfzPFo0YqTqo5o8ZlrJiF"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_rels/sheet3.xml.rels><Relationships xmlns="http://schemas.openxmlformats.org/package/2006/relationships"><Relationship Type="http://schemas.openxmlformats.org/officeDocument/2006/relationships/hyperlink" Target="https://www.esma.europa.eu/document/consultation-paper-esma%E2%80%99s-guidelines-aifmd-reporting-obligations-under-articles-3-and-24"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tabColor theme="4" tint="-0.499984740745262"/>
    <outlinePr summaryBelow="1" summaryRight="1"/>
    <pageSetUpPr/>
  </sheetPr>
  <dimension ref="A1:AM233"/>
  <sheetViews>
    <sheetView tabSelected="1" topLeftCell="AH9" zoomScale="80" zoomScaleNormal="80" workbookViewId="0">
      <selection activeCell="AL30" sqref="AL30"/>
    </sheetView>
  </sheetViews>
  <sheetFormatPr baseColWidth="10" defaultColWidth="0" defaultRowHeight="11.25" zeroHeight="1"/>
  <cols>
    <col width="24.140625" customWidth="1" style="181" min="1" max="1"/>
    <col width="22" bestFit="1" customWidth="1" style="181" min="2" max="2"/>
    <col width="37.42578125" customWidth="1" style="181" min="3" max="3"/>
    <col width="27.140625" customWidth="1" style="181" min="4" max="4"/>
    <col width="32.5703125" customWidth="1" style="181" min="5" max="5"/>
    <col width="25.85546875" customWidth="1" style="181" min="6" max="6"/>
    <col width="24" customWidth="1" style="181" min="7" max="7"/>
    <col width="23.140625" customWidth="1" style="181" min="8" max="8"/>
    <col width="36.42578125" customWidth="1" style="181" min="9" max="9"/>
    <col width="34.140625" customWidth="1" style="181" min="10" max="10"/>
    <col width="29.140625" customWidth="1" style="181" min="11" max="11"/>
    <col width="28.85546875" customWidth="1" style="181" min="12" max="12"/>
    <col width="30.85546875" customWidth="1" style="181" min="13" max="13"/>
    <col width="31.140625" customWidth="1" style="181" min="14" max="14"/>
    <col width="30.140625" bestFit="1" customWidth="1" style="181" min="15" max="15"/>
    <col width="31.140625" customWidth="1" style="181" min="16" max="16"/>
    <col width="18.85546875" customWidth="1" style="181" min="17" max="17"/>
    <col width="27.42578125" customWidth="1" style="181" min="18" max="18"/>
    <col width="23.85546875" bestFit="1" customWidth="1" style="181" min="19" max="19"/>
    <col width="27.85546875" bestFit="1" customWidth="1" style="181" min="20" max="20"/>
    <col width="20" customWidth="1" style="181" min="21" max="21"/>
    <col width="17.85546875" bestFit="1" customWidth="1" style="181" min="22" max="22"/>
    <col width="14.42578125" bestFit="1" customWidth="1" style="181" min="23" max="23"/>
    <col width="34.140625" customWidth="1" style="181" min="24" max="24"/>
    <col width="9.42578125" bestFit="1" customWidth="1" style="181" min="25" max="25"/>
    <col width="14.85546875" bestFit="1" customWidth="1" style="181" min="26" max="26"/>
    <col width="16.85546875" bestFit="1" customWidth="1" style="181" min="27" max="27"/>
    <col width="31.5703125" bestFit="1" customWidth="1" style="181" min="28" max="28"/>
    <col width="26.140625" bestFit="1" customWidth="1" style="181" min="29" max="29"/>
    <col width="19.5703125" bestFit="1" customWidth="1" style="181" min="30" max="30"/>
    <col width="21.85546875" bestFit="1" customWidth="1" style="181" min="31" max="31"/>
    <col width="20.140625" bestFit="1" customWidth="1" style="181" min="32" max="32"/>
    <col width="23.85546875" bestFit="1" customWidth="1" style="181" min="33" max="33"/>
    <col width="39.42578125" bestFit="1" customWidth="1" style="181" min="34" max="34"/>
    <col width="20.42578125" customWidth="1" style="181" min="35" max="35"/>
    <col width="40" bestFit="1" customWidth="1" style="181" min="36" max="36"/>
    <col width="24.85546875" bestFit="1" customWidth="1" style="181" min="37" max="37"/>
    <col width="29.5703125" bestFit="1" customWidth="1" style="181" min="38" max="39"/>
    <col width="12.42578125" bestFit="1" customWidth="1" style="181" min="40" max="40"/>
    <col width="8.85546875" customWidth="1" style="181" min="41" max="41"/>
    <col hidden="1" width="8.85546875" customWidth="1" style="181" min="42" max="16384"/>
  </cols>
  <sheetData>
    <row r="1" customFormat="1" s="143">
      <c r="A1" s="66" t="inlineStr">
        <is>
          <t># Copyright Matterhorn Reporting Services.</t>
        </is>
      </c>
      <c r="D1" s="173" t="n"/>
      <c r="E1" s="173" t="n"/>
    </row>
    <row r="2" customFormat="1" s="174">
      <c r="A2" s="174" t="inlineStr">
        <is>
          <t>INPUT_FORMAT</t>
        </is>
      </c>
      <c r="B2" s="174" t="inlineStr">
        <is>
          <t>AIFMD</t>
        </is>
      </c>
      <c r="C2" s="174" t="inlineStr">
        <is>
          <t>V1</t>
        </is>
      </c>
      <c r="D2" s="66" t="n"/>
      <c r="E2" s="66" t="n"/>
    </row>
    <row r="3" ht="12" customFormat="1" customHeight="1" s="174" thickBot="1">
      <c r="A3" s="66" t="n"/>
      <c r="B3" s="175" t="n"/>
      <c r="C3" s="176" t="n"/>
      <c r="D3" s="66" t="n"/>
      <c r="E3" s="176" t="n"/>
    </row>
    <row r="4" ht="38.25" customFormat="1" customHeight="1" s="174">
      <c r="A4" s="282" t="inlineStr">
        <is>
          <t xml:space="preserve"># FULL TEMPLATE
Registered (a.k.a. Light) funds might also be able to use the light template: </t>
        </is>
      </c>
      <c r="B4" s="283" t="n"/>
      <c r="C4" s="176" t="n"/>
      <c r="D4" s="177" t="n"/>
      <c r="E4" s="176" t="n"/>
    </row>
    <row r="5" ht="15" customFormat="1" customHeight="1" s="174">
      <c r="A5" s="178" t="inlineStr">
        <is>
          <t># click here to download</t>
        </is>
      </c>
      <c r="B5" s="179" t="n"/>
      <c r="C5" s="176" t="n"/>
      <c r="D5" s="66" t="n"/>
      <c r="E5" s="176" t="n"/>
    </row>
    <row r="6" ht="50.25" customFormat="1" customHeight="1" s="174" thickBot="1">
      <c r="A6" s="284" t="inlineStr">
        <is>
          <t># In case of any questions please contact us:
- support@matterhorn-rs.com
- +31 85 401 82 56</t>
        </is>
      </c>
      <c r="B6" s="285" t="n"/>
      <c r="C6" s="176" t="n"/>
      <c r="D6" s="66" t="n"/>
      <c r="E6" s="176" t="n"/>
    </row>
    <row r="7" customFormat="1" s="174">
      <c r="A7" s="66" t="n"/>
      <c r="B7" s="175" t="n"/>
      <c r="C7" s="176" t="n"/>
      <c r="D7" s="66" t="n"/>
      <c r="E7" s="176" t="n"/>
    </row>
    <row r="8" customFormat="1" s="180">
      <c r="A8" s="180" t="inlineStr">
        <is>
          <t>#START QUESTIONS FOR MANAGER (AIFM) REPORT</t>
        </is>
      </c>
      <c r="E8" s="180" t="inlineStr">
        <is>
          <t>#START QUESTIONS FOR MANAGER (AIFM) REPORT</t>
        </is>
      </c>
      <c r="J8" s="180" t="inlineStr">
        <is>
          <t>#START QUESTIONS FOR MANAGER (AIFM) REPORT</t>
        </is>
      </c>
      <c r="P8" s="180" t="inlineStr">
        <is>
          <t>#START QUESTIONS FOR MANAGER (AIFM) REPORT</t>
        </is>
      </c>
      <c r="U8" s="180" t="inlineStr">
        <is>
          <t>#START QUESTIONS FOR MANAGER (AIFM) REPORT</t>
        </is>
      </c>
    </row>
    <row r="9"/>
    <row r="10" customFormat="1" s="184">
      <c r="A10" s="182" t="inlineStr">
        <is>
          <t>#AIFM</t>
        </is>
      </c>
      <c r="B10" s="182" t="inlineStr">
        <is>
          <t>Filing Type</t>
        </is>
      </c>
      <c r="C10" s="182" t="inlineStr">
        <is>
          <t>AIFM Content Type</t>
        </is>
      </c>
      <c r="D10" s="183" t="inlineStr">
        <is>
          <t>(Legacy) Reporting Period Start Date</t>
        </is>
      </c>
      <c r="E10" s="182" t="inlineStr">
        <is>
          <t>Reporting Period End Date</t>
        </is>
      </c>
      <c r="F10" s="182" t="inlineStr">
        <is>
          <t>Reporting Period Type</t>
        </is>
      </c>
      <c r="G10" s="182" t="inlineStr">
        <is>
          <t>Reporting Period Year</t>
        </is>
      </c>
      <c r="H10" s="182" t="inlineStr">
        <is>
          <t>Change in AIFM Reporting Obligation Frequency Code</t>
        </is>
      </c>
      <c r="I10" s="182" t="inlineStr">
        <is>
          <t>Change in AIFM Reporting Obligation contents Code</t>
        </is>
      </c>
      <c r="J10" s="182" t="inlineStr">
        <is>
          <t>Change in AIFM Reporting Obligation Quarter</t>
        </is>
      </c>
      <c r="K10" s="182" t="inlineStr">
        <is>
          <t>Last Reporting Flag</t>
        </is>
      </c>
      <c r="L10" s="182" t="inlineStr">
        <is>
          <t>AIFM Reporting Code</t>
        </is>
      </c>
      <c r="M10" s="182" t="inlineStr">
        <is>
          <t>AIFM Jurisdiction</t>
        </is>
      </c>
      <c r="N10" s="182" t="inlineStr">
        <is>
          <t>AIFM Name</t>
        </is>
      </c>
      <c r="O10" s="183" t="inlineStr">
        <is>
          <t>(Legacy) AIFM EEA Flag</t>
        </is>
      </c>
      <c r="P10" s="182" t="inlineStr">
        <is>
          <t>AIFM no reporting flag (Nothing to report)</t>
        </is>
      </c>
      <c r="Q10" s="182" t="inlineStr">
        <is>
          <t>AIFM LEI Code</t>
        </is>
      </c>
      <c r="R10" s="182" t="inlineStr">
        <is>
          <t>AIFM BIC Code</t>
        </is>
      </c>
    </row>
    <row r="11" customFormat="1" s="187">
      <c r="A11" s="185" t="inlineStr">
        <is>
          <t>#AIFM fieldnumbers →</t>
        </is>
      </c>
      <c r="B11" s="185" t="n">
        <v>4</v>
      </c>
      <c r="C11" s="185" t="n">
        <v>5</v>
      </c>
      <c r="D11" s="185" t="n">
        <v>6</v>
      </c>
      <c r="E11" s="185" t="n">
        <v>7</v>
      </c>
      <c r="F11" s="186" t="inlineStr">
        <is>
          <t>8, 6, 7</t>
        </is>
      </c>
      <c r="G11" s="186" t="inlineStr">
        <is>
          <t>9, 6, 7</t>
        </is>
      </c>
      <c r="H11" s="185" t="n">
        <v>10</v>
      </c>
      <c r="I11" s="185" t="n">
        <v>11</v>
      </c>
      <c r="J11" s="185" t="n">
        <v>12</v>
      </c>
      <c r="K11" s="185" t="n">
        <v>13</v>
      </c>
      <c r="L11" s="185" t="n">
        <v>16</v>
      </c>
      <c r="M11" s="186" t="inlineStr">
        <is>
          <t>17, 20</t>
        </is>
      </c>
      <c r="N11" s="185" t="n">
        <v>19</v>
      </c>
      <c r="O11" s="185" t="n">
        <v>20</v>
      </c>
      <c r="P11" s="185" t="n">
        <v>21</v>
      </c>
      <c r="Q11" s="185" t="n">
        <v>22</v>
      </c>
      <c r="R11" s="185" t="n">
        <v>23</v>
      </c>
    </row>
    <row r="12" customFormat="1" s="188">
      <c r="A12" s="181" t="inlineStr">
        <is>
          <t>AIFM</t>
        </is>
      </c>
      <c r="C12" s="188" t="n">
        <v>3</v>
      </c>
      <c r="D12" s="189" t="n"/>
      <c r="E12" s="189" t="n"/>
      <c r="F12" s="188" t="inlineStr">
        <is>
          <t>H2</t>
        </is>
      </c>
      <c r="G12" s="188" t="n">
        <v>2024</v>
      </c>
      <c r="L12" s="188" t="n">
        <v>8</v>
      </c>
      <c r="M12" s="188" t="inlineStr">
        <is>
          <t>HK</t>
        </is>
      </c>
      <c r="N12" s="188" t="inlineStr">
        <is>
          <t>Blue Ridge Partners</t>
        </is>
      </c>
      <c r="Q12" s="188" t="inlineStr">
        <is>
          <t>72110TVBDIVUZZPQK530</t>
        </is>
      </c>
    </row>
    <row r="13">
      <c r="E13" s="189" t="n"/>
    </row>
    <row r="14">
      <c r="A14" s="182" t="inlineStr">
        <is>
          <t>#AIFM_NATIONAL_CODE</t>
        </is>
      </c>
      <c r="B14" s="182" t="inlineStr">
        <is>
          <t>AIFM Reporting Member State</t>
        </is>
      </c>
      <c r="C14" s="182" t="inlineStr">
        <is>
          <t>AIFM National Code</t>
        </is>
      </c>
      <c r="D14" s="182" t="inlineStr">
        <is>
          <t>Old AIFM Reporting Member State</t>
        </is>
      </c>
      <c r="E14" s="182" t="inlineStr">
        <is>
          <t>Old AIFM National Code</t>
        </is>
      </c>
      <c r="F14" s="182" t="inlineStr">
        <is>
          <t>Custom National Code</t>
        </is>
      </c>
    </row>
    <row r="15" customFormat="1" s="187">
      <c r="A15" s="185" t="inlineStr">
        <is>
          <t>#AIFM fieldnumbers →</t>
        </is>
      </c>
      <c r="B15" s="185" t="n">
        <v>1</v>
      </c>
      <c r="C15" s="185" t="n">
        <v>18</v>
      </c>
      <c r="D15" s="185" t="n">
        <v>24</v>
      </c>
      <c r="E15" s="185" t="n">
        <v>25</v>
      </c>
      <c r="F15" s="190" t="inlineStr">
        <is>
          <t>CNC</t>
        </is>
      </c>
    </row>
    <row r="16" ht="12.75" customFormat="1" customHeight="1" s="188">
      <c r="A16" s="188" t="inlineStr">
        <is>
          <t>AIFM_NATIONAL_CODE</t>
        </is>
      </c>
      <c r="B16" s="188" t="inlineStr">
        <is>
          <t>GB</t>
        </is>
      </c>
      <c r="C16" s="188" t="n">
        <v>992806</v>
      </c>
    </row>
    <row r="17" customFormat="1" s="188"/>
    <row r="18">
      <c r="A18" s="182" t="inlineStr">
        <is>
          <t>#AIFM_ASSUMPTION</t>
        </is>
      </c>
      <c r="B18" s="182" t="inlineStr">
        <is>
          <t>Question Number</t>
        </is>
      </c>
      <c r="C18" s="182" t="inlineStr">
        <is>
          <t>Assumption Description</t>
        </is>
      </c>
    </row>
    <row r="19">
      <c r="A19" s="185" t="inlineStr">
        <is>
          <t>#AIFM fieldnumbers →</t>
        </is>
      </c>
      <c r="B19" s="185" t="n">
        <v>14</v>
      </c>
      <c r="C19" s="185" t="n">
        <v>15</v>
      </c>
    </row>
    <row r="20" ht="15" customFormat="1" customHeight="1" s="188">
      <c r="A20" s="188" t="inlineStr">
        <is>
          <t>AIFM_ASSUMPTION</t>
        </is>
      </c>
      <c r="B20" s="188" t="n">
        <v>7</v>
      </c>
      <c r="C20" s="257" t="inlineStr">
        <is>
          <t>The presented data of this AIFMD reporting for the fund is based on the last official calculated NAV of the fund as of 30.09.2024.</t>
        </is>
      </c>
    </row>
    <row r="21" customFormat="1" s="188"/>
    <row r="22" customFormat="1" s="188"/>
    <row r="23" customFormat="1" s="188"/>
    <row r="24" customFormat="1" s="188"/>
    <row r="25" customFormat="1" s="180">
      <c r="A25" s="180" t="inlineStr">
        <is>
          <t>#START QUESTIONS FOR FUND (AIF) REPORT(S)</t>
        </is>
      </c>
      <c r="E25" s="180" t="inlineStr">
        <is>
          <t>#START QUESTIONS FOR FUND (AIF) REPORT</t>
        </is>
      </c>
      <c r="J25" s="180" t="inlineStr">
        <is>
          <t>#START QUESTIONS FOR FUND (AIF) REPORT</t>
        </is>
      </c>
      <c r="P25" s="180" t="inlineStr">
        <is>
          <t>#START QUESTIONS FOR FUND (AIF) REPORT</t>
        </is>
      </c>
      <c r="U25" s="180" t="inlineStr">
        <is>
          <t>#START QUESTIONS FOR FUND (AIF) REPORT</t>
        </is>
      </c>
    </row>
    <row r="26"/>
    <row r="27" customFormat="1" s="184">
      <c r="A27" s="182" t="inlineStr">
        <is>
          <t>#AIF</t>
        </is>
      </c>
      <c r="B27" s="182" t="inlineStr">
        <is>
          <t>Custom AIF Identification</t>
        </is>
      </c>
      <c r="C27" s="182" t="inlineStr">
        <is>
          <t>Filing Type</t>
        </is>
      </c>
      <c r="D27" s="182" t="inlineStr">
        <is>
          <t>AIF Content Type</t>
        </is>
      </c>
      <c r="E27" s="183" t="inlineStr">
        <is>
          <t>(Legacy) Reporting Period Start Date</t>
        </is>
      </c>
      <c r="F27" s="183" t="inlineStr">
        <is>
          <t>(Legacy) Reporting Period End Date</t>
        </is>
      </c>
      <c r="G27" s="182" t="inlineStr">
        <is>
          <t>Reporting Period Type</t>
        </is>
      </c>
      <c r="H27" s="183" t="inlineStr">
        <is>
          <t>(Legacy) Reporting Period Year</t>
        </is>
      </c>
      <c r="I27" s="182" t="inlineStr">
        <is>
          <t>Change in AIF Reporting Obligation Frequency Code</t>
        </is>
      </c>
      <c r="J27" s="182" t="inlineStr">
        <is>
          <t>Change in AIF Reporting Obligation contents Code</t>
        </is>
      </c>
      <c r="K27" s="182" t="inlineStr">
        <is>
          <t>Change in AIF Reporting Obligation Quarter</t>
        </is>
      </c>
      <c r="L27" s="182" t="inlineStr">
        <is>
          <t>Last reporting flag</t>
        </is>
      </c>
      <c r="M27" s="182" t="inlineStr">
        <is>
          <t>AIF Name</t>
        </is>
      </c>
      <c r="N27" s="183" t="inlineStr">
        <is>
          <t>(Legacy) AIF EEA Flag</t>
        </is>
      </c>
      <c r="O27" s="182" t="inlineStr">
        <is>
          <t>AIF reporting code</t>
        </is>
      </c>
      <c r="P27" s="182" t="inlineStr">
        <is>
          <t>Domicile of the AIF</t>
        </is>
      </c>
      <c r="Q27" s="182" t="inlineStr">
        <is>
          <t>Inception Date of AIF</t>
        </is>
      </c>
      <c r="R27" s="182" t="inlineStr">
        <is>
          <t>AIF No Reporting Flag (Nothing to report)</t>
        </is>
      </c>
      <c r="S27" s="182" t="inlineStr">
        <is>
          <t>AIF LEI code</t>
        </is>
      </c>
      <c r="T27" s="182" t="inlineStr">
        <is>
          <t>AIF ISIN code</t>
        </is>
      </c>
      <c r="U27" s="182" t="inlineStr">
        <is>
          <t>AIF CUSIP code</t>
        </is>
      </c>
      <c r="V27" s="182" t="inlineStr">
        <is>
          <t>AIF Sedol code</t>
        </is>
      </c>
      <c r="W27" s="182" t="inlineStr">
        <is>
          <t>AIF Bloomberg code</t>
        </is>
      </c>
      <c r="X27" s="182" t="inlineStr">
        <is>
          <t>AIF Reuters code</t>
        </is>
      </c>
      <c r="Y27" s="182" t="inlineStr">
        <is>
          <t>AIF ECB code</t>
        </is>
      </c>
      <c r="Z27" s="183" t="inlineStr">
        <is>
          <t>(Legacy) Master feeder status</t>
        </is>
      </c>
      <c r="AA27" s="182" t="inlineStr">
        <is>
          <t>Base currency of the AIF</t>
        </is>
      </c>
      <c r="AB27" s="182" t="inlineStr">
        <is>
          <t>Total AuM amount of the AIF in base currency</t>
        </is>
      </c>
      <c r="AC27" s="182" t="inlineStr">
        <is>
          <t>Total Net Asset Value of the AIF (NAV)</t>
        </is>
      </c>
      <c r="AD27" s="182" t="inlineStr">
        <is>
          <t>First funding source country</t>
        </is>
      </c>
      <c r="AE27" s="182" t="inlineStr">
        <is>
          <t>Second funding source country</t>
        </is>
      </c>
      <c r="AF27" s="182" t="inlineStr">
        <is>
          <t>Third funding source country</t>
        </is>
      </c>
      <c r="AG27" s="182" t="inlineStr">
        <is>
          <t>Number of transactions under HFT</t>
        </is>
      </c>
      <c r="AH27" s="182" t="inlineStr">
        <is>
          <t>Market value of buys and sells in base currency under HFT</t>
        </is>
      </c>
      <c r="AI27" s="182" t="inlineStr">
        <is>
          <t>Typical deal / position size</t>
        </is>
      </c>
      <c r="AJ27" s="182" t="inlineStr">
        <is>
          <t>Beneficially owned percentage by top 5 beneficial owners</t>
        </is>
      </c>
      <c r="AK27" s="182" t="inlineStr">
        <is>
          <t>Expected annual investment return percentage</t>
        </is>
      </c>
      <c r="AL27" s="182" t="inlineStr">
        <is>
          <t>Investor Concentration NAV percentage by retail investors</t>
        </is>
      </c>
      <c r="AM27" s="182" t="inlineStr">
        <is>
          <t>Total number of open positions</t>
        </is>
      </c>
    </row>
    <row r="28" customFormat="1" s="187">
      <c r="A28" s="185" t="inlineStr">
        <is>
          <t>#AIF fieldnumbers →</t>
        </is>
      </c>
      <c r="B28" s="191" t="inlineStr">
        <is>
          <t>AIF_ID</t>
        </is>
      </c>
      <c r="C28" s="185" t="n">
        <v>4</v>
      </c>
      <c r="D28" s="185" t="n">
        <v>5</v>
      </c>
      <c r="E28" s="185" t="n">
        <v>6</v>
      </c>
      <c r="F28" s="185" t="n">
        <v>7</v>
      </c>
      <c r="G28" s="186" t="inlineStr">
        <is>
          <t>8, 6, 7</t>
        </is>
      </c>
      <c r="H28" s="185" t="n">
        <v>9</v>
      </c>
      <c r="I28" s="185" t="n">
        <v>10</v>
      </c>
      <c r="J28" s="185" t="n">
        <v>11</v>
      </c>
      <c r="K28" s="185" t="n">
        <v>12</v>
      </c>
      <c r="L28" s="185" t="n">
        <v>13</v>
      </c>
      <c r="M28" s="185" t="n">
        <v>18</v>
      </c>
      <c r="N28" s="185" t="n">
        <v>19</v>
      </c>
      <c r="O28" s="185" t="n">
        <v>20</v>
      </c>
      <c r="P28" s="186" t="inlineStr">
        <is>
          <t>21, 19</t>
        </is>
      </c>
      <c r="Q28" s="185" t="n">
        <v>22</v>
      </c>
      <c r="R28" s="185" t="n">
        <v>23</v>
      </c>
      <c r="S28" s="185" t="n">
        <v>24</v>
      </c>
      <c r="T28" s="185" t="n">
        <v>25</v>
      </c>
      <c r="U28" s="185" t="n">
        <v>26</v>
      </c>
      <c r="V28" s="185" t="n">
        <v>27</v>
      </c>
      <c r="W28" s="185" t="n">
        <v>28</v>
      </c>
      <c r="X28" s="185" t="n">
        <v>29</v>
      </c>
      <c r="Y28" s="185" t="n">
        <v>30</v>
      </c>
      <c r="Z28" s="185" t="n">
        <v>41</v>
      </c>
      <c r="AA28" s="185" t="n">
        <v>49</v>
      </c>
      <c r="AB28" s="185" t="n">
        <v>48</v>
      </c>
      <c r="AC28" s="185" t="n">
        <v>53</v>
      </c>
      <c r="AD28" s="185" t="n">
        <v>54</v>
      </c>
      <c r="AE28" s="185" t="n">
        <v>55</v>
      </c>
      <c r="AF28" s="185" t="n">
        <v>56</v>
      </c>
      <c r="AG28" s="185" t="n">
        <v>62</v>
      </c>
      <c r="AH28" s="185" t="n">
        <v>63</v>
      </c>
      <c r="AI28" s="185" t="n">
        <v>113</v>
      </c>
      <c r="AJ28" s="185" t="n">
        <v>118</v>
      </c>
      <c r="AK28" s="185" t="n">
        <v>137</v>
      </c>
      <c r="AL28" s="186" t="inlineStr">
        <is>
          <t>120, 119</t>
        </is>
      </c>
      <c r="AM28" s="185" t="n">
        <v>218</v>
      </c>
    </row>
    <row r="29" customFormat="1" s="188">
      <c r="A29" s="188" t="inlineStr">
        <is>
          <t>AIF</t>
        </is>
      </c>
      <c r="B29" s="192" t="inlineStr">
        <is>
          <t>Delta Value Fund</t>
        </is>
      </c>
      <c r="C29" s="188" t="inlineStr">
        <is>
          <t>INIT</t>
        </is>
      </c>
      <c r="D29" s="188" t="n">
        <v>2</v>
      </c>
      <c r="E29" s="189" t="n"/>
      <c r="F29" s="189" t="n"/>
      <c r="H29" s="189" t="n"/>
      <c r="M29" s="188" t="inlineStr">
        <is>
          <t>Delta Value Fund</t>
        </is>
      </c>
      <c r="O29" s="188" t="n">
        <v>39</v>
      </c>
      <c r="Q29" s="235" t="n">
        <v>44958</v>
      </c>
      <c r="S29" s="188" t="inlineStr">
        <is>
          <t>6171N9XUY41IBLJH7550</t>
        </is>
      </c>
      <c r="Z29" s="189" t="n"/>
      <c r="AA29" s="188" t="inlineStr">
        <is>
          <t>HKD</t>
        </is>
      </c>
      <c r="AB29" s="254">
        <f>1000000*241214</f>
        <v/>
      </c>
      <c r="AC29" s="254">
        <f>1000000*172133</f>
        <v/>
      </c>
      <c r="AG29" s="194" t="n"/>
      <c r="AH29" s="195" t="n"/>
      <c r="AJ29" s="242" t="n">
        <v>10</v>
      </c>
      <c r="AK29" s="196" t="n"/>
      <c r="AL29" s="254" t="n">
        <v>84.72</v>
      </c>
      <c r="AM29" s="197" t="n"/>
    </row>
    <row r="30" customFormat="1" s="188">
      <c r="E30" s="189" t="n"/>
      <c r="F30" s="189" t="n"/>
      <c r="H30" s="189" t="n"/>
      <c r="Q30" s="235" t="n"/>
      <c r="Z30" s="189" t="n"/>
      <c r="AB30" s="254" t="n"/>
      <c r="AC30" s="254" t="n"/>
      <c r="AG30" s="194" t="n"/>
      <c r="AH30" s="195" t="n"/>
      <c r="AJ30" s="254" t="n"/>
      <c r="AK30" s="196" t="n"/>
      <c r="AL30" s="254" t="n"/>
      <c r="AM30" s="197" t="n"/>
    </row>
    <row r="31" customFormat="1" s="188">
      <c r="E31" s="189" t="n"/>
      <c r="F31" s="189" t="n"/>
      <c r="H31" s="189" t="n"/>
      <c r="Q31" s="235" t="n"/>
      <c r="Z31" s="189" t="n"/>
      <c r="AB31" s="254" t="n"/>
      <c r="AC31" s="254" t="n"/>
      <c r="AG31" s="194" t="n"/>
      <c r="AH31" s="195" t="n"/>
      <c r="AJ31" s="254" t="n"/>
      <c r="AK31" s="196" t="n"/>
      <c r="AL31" s="254" t="n"/>
      <c r="AM31" s="197" t="n"/>
    </row>
    <row r="32">
      <c r="A32" s="182" t="inlineStr">
        <is>
          <t>#AIF_NATIONAL_CODE</t>
        </is>
      </c>
      <c r="B32" s="182" t="inlineStr">
        <is>
          <t>Custom AIF Identification</t>
        </is>
      </c>
      <c r="C32" s="182" t="inlineStr">
        <is>
          <t>AIF Reporting Member State</t>
        </is>
      </c>
      <c r="D32" s="182" t="inlineStr">
        <is>
          <t>AIF National Code</t>
        </is>
      </c>
      <c r="E32" s="182" t="inlineStr">
        <is>
          <t>Old AIF Reporting Member State</t>
        </is>
      </c>
      <c r="F32" s="182" t="inlineStr">
        <is>
          <t>Old AIF National Code</t>
        </is>
      </c>
    </row>
    <row r="33" customFormat="1" s="187">
      <c r="A33" s="185" t="inlineStr">
        <is>
          <t>#AIF fieldnumbers →</t>
        </is>
      </c>
      <c r="B33" s="191" t="inlineStr">
        <is>
          <t>AIF_ID</t>
        </is>
      </c>
      <c r="C33" s="186" t="inlineStr">
        <is>
          <t>1, 43</t>
        </is>
      </c>
      <c r="D33" s="186" t="inlineStr">
        <is>
          <t>17, 44</t>
        </is>
      </c>
      <c r="E33" s="185" t="n">
        <v>31</v>
      </c>
      <c r="F33" s="185" t="n">
        <v>32</v>
      </c>
    </row>
    <row r="34" customFormat="1" s="188">
      <c r="A34" s="188" t="inlineStr">
        <is>
          <t>AIF_NATIONAL_CODE</t>
        </is>
      </c>
      <c r="B34" s="188" t="inlineStr">
        <is>
          <t>Delta Value Fund</t>
        </is>
      </c>
      <c r="C34" s="188" t="inlineStr">
        <is>
          <t>GB</t>
        </is>
      </c>
      <c r="D34" s="188" t="n">
        <v>992809</v>
      </c>
    </row>
    <row r="35" customFormat="1" s="188"/>
    <row r="36" customFormat="1" s="188"/>
    <row r="37">
      <c r="A37" s="182" t="inlineStr">
        <is>
          <t>#AIF_ASSUMPTION</t>
        </is>
      </c>
      <c r="B37" s="182" t="inlineStr">
        <is>
          <t>Custom AIF Identification</t>
        </is>
      </c>
      <c r="C37" s="182" t="inlineStr">
        <is>
          <t>Question Number</t>
        </is>
      </c>
      <c r="D37" s="182" t="inlineStr">
        <is>
          <t>Assumption Description</t>
        </is>
      </c>
    </row>
    <row r="38">
      <c r="A38" s="185" t="inlineStr">
        <is>
          <t>#AIF fieldnumbers →</t>
        </is>
      </c>
      <c r="B38" s="191" t="inlineStr">
        <is>
          <t>AIF_ID</t>
        </is>
      </c>
      <c r="C38" s="185" t="n">
        <v>14</v>
      </c>
      <c r="D38" s="185" t="n">
        <v>15</v>
      </c>
    </row>
    <row r="39" customFormat="1" s="188"/>
    <row r="40" customFormat="1" s="188"/>
    <row r="41" customFormat="1" s="188"/>
    <row r="42" customFormat="1" s="188"/>
    <row r="43" customFormat="1" s="188"/>
    <row r="44">
      <c r="A44" s="182" t="inlineStr">
        <is>
          <t>#SHARE_CLASS</t>
        </is>
      </c>
      <c r="B44" s="182" t="inlineStr">
        <is>
          <t>Custom AIF Identification</t>
        </is>
      </c>
      <c r="C44" s="182" t="inlineStr">
        <is>
          <t>Share class national code</t>
        </is>
      </c>
      <c r="D44" s="182" t="inlineStr">
        <is>
          <t>Share class ISIN code</t>
        </is>
      </c>
      <c r="E44" s="182" t="inlineStr">
        <is>
          <t>Share class SEDOL code</t>
        </is>
      </c>
      <c r="F44" s="182" t="inlineStr">
        <is>
          <t>Share class CUSIP code</t>
        </is>
      </c>
      <c r="G44" s="182" t="inlineStr">
        <is>
          <t>Share class Bloomberg code</t>
        </is>
      </c>
      <c r="H44" s="182" t="inlineStr">
        <is>
          <t>Share class Reuters code</t>
        </is>
      </c>
      <c r="I44" s="182" t="inlineStr">
        <is>
          <t>Share class name</t>
        </is>
      </c>
      <c r="J44" s="184" t="n"/>
      <c r="K44" s="184" t="n"/>
      <c r="L44" s="184" t="n"/>
      <c r="M44" s="184" t="n"/>
    </row>
    <row r="45">
      <c r="A45" s="185" t="inlineStr">
        <is>
          <t>#AIF fieldnumbers →</t>
        </is>
      </c>
      <c r="B45" s="191" t="inlineStr">
        <is>
          <t>AIF_ID</t>
        </is>
      </c>
      <c r="C45" s="185" t="n">
        <v>34</v>
      </c>
      <c r="D45" s="185" t="n">
        <v>35</v>
      </c>
      <c r="E45" s="185" t="n">
        <v>36</v>
      </c>
      <c r="F45" s="185" t="n">
        <v>37</v>
      </c>
      <c r="G45" s="185" t="n">
        <v>38</v>
      </c>
      <c r="H45" s="185" t="n">
        <v>39</v>
      </c>
      <c r="I45" s="185" t="n">
        <v>40</v>
      </c>
    </row>
    <row r="46" customFormat="1" s="188">
      <c r="C46" s="189" t="n"/>
      <c r="D46" s="189" t="n"/>
      <c r="E46" s="189" t="n"/>
      <c r="F46" s="189" t="n"/>
      <c r="G46" s="189" t="n"/>
      <c r="H46" s="189" t="n"/>
    </row>
    <row r="47" customFormat="1" s="188">
      <c r="C47" s="189" t="n"/>
      <c r="D47" s="189" t="n"/>
      <c r="E47" s="189" t="n"/>
      <c r="F47" s="189" t="n"/>
      <c r="G47" s="189" t="n"/>
      <c r="H47" s="189" t="n"/>
    </row>
    <row r="48" customFormat="1" s="188">
      <c r="C48" s="189" t="n"/>
      <c r="D48" s="189" t="n"/>
      <c r="E48" s="189" t="n"/>
      <c r="F48" s="189" t="n"/>
      <c r="G48" s="189" t="n"/>
      <c r="H48" s="189" t="n"/>
    </row>
    <row r="49" customFormat="1" s="188">
      <c r="C49" s="189" t="n"/>
      <c r="D49" s="189" t="n"/>
      <c r="E49" s="189" t="n"/>
      <c r="F49" s="189" t="n"/>
      <c r="G49" s="189" t="n"/>
      <c r="H49" s="189" t="n"/>
    </row>
    <row r="50" customFormat="1" s="188">
      <c r="C50" s="189" t="n"/>
      <c r="D50" s="189" t="n"/>
      <c r="E50" s="189" t="n"/>
      <c r="F50" s="189" t="n"/>
      <c r="G50" s="189" t="n"/>
      <c r="H50" s="189" t="n"/>
    </row>
    <row r="51">
      <c r="A51" s="182" t="inlineStr">
        <is>
          <t>#PRIME_BROKER</t>
        </is>
      </c>
      <c r="B51" s="182" t="inlineStr">
        <is>
          <t>Custom AIF Identification</t>
        </is>
      </c>
      <c r="C51" s="182" t="inlineStr">
        <is>
          <t>Prime Broker Name</t>
        </is>
      </c>
      <c r="D51" s="182" t="inlineStr">
        <is>
          <t>Prime Broker LEI Code</t>
        </is>
      </c>
      <c r="E51" s="182" t="inlineStr">
        <is>
          <t xml:space="preserve">Prime Broker BIC Code </t>
        </is>
      </c>
    </row>
    <row r="52">
      <c r="A52" s="185" t="inlineStr">
        <is>
          <t>#AIF fieldnumbers →</t>
        </is>
      </c>
      <c r="B52" s="191" t="inlineStr">
        <is>
          <t>AIF_ID</t>
        </is>
      </c>
      <c r="C52" s="185" t="n">
        <v>45</v>
      </c>
      <c r="D52" s="185" t="n">
        <v>46</v>
      </c>
      <c r="E52" s="185" t="n">
        <v>47</v>
      </c>
    </row>
    <row r="53" customFormat="1" s="188"/>
    <row r="54" customFormat="1" s="188"/>
    <row r="55">
      <c r="A55" s="182" t="inlineStr">
        <is>
          <t>#STRATEGYv2</t>
        </is>
      </c>
      <c r="B55" s="182" t="inlineStr">
        <is>
          <t>Custom AIF Identification</t>
        </is>
      </c>
      <c r="C55" s="182" t="inlineStr">
        <is>
          <t>Investment strategy code</t>
        </is>
      </c>
      <c r="D55" s="182" t="inlineStr">
        <is>
          <t>Share in NAV (%)</t>
        </is>
      </c>
      <c r="E55" s="182" t="inlineStr">
        <is>
          <t>Description for strategy type Other</t>
        </is>
      </c>
      <c r="F55" s="184" t="n"/>
      <c r="G55" s="184" t="n"/>
      <c r="H55" s="184" t="n"/>
      <c r="I55" s="184" t="n"/>
      <c r="J55" s="184" t="n"/>
      <c r="K55" s="184" t="n"/>
      <c r="L55" s="184" t="n"/>
    </row>
    <row r="56">
      <c r="A56" s="185" t="inlineStr">
        <is>
          <t>#AIF fieldnumbers →</t>
        </is>
      </c>
      <c r="B56" s="191" t="inlineStr">
        <is>
          <t>AIF_ID</t>
        </is>
      </c>
      <c r="C56" s="186" t="inlineStr">
        <is>
          <t>58, 57</t>
        </is>
      </c>
      <c r="D56" s="185" t="n">
        <v>60</v>
      </c>
      <c r="E56" s="185" t="n">
        <v>61</v>
      </c>
    </row>
    <row r="57" customFormat="1" s="188">
      <c r="A57" s="188" t="inlineStr">
        <is>
          <t>STRATEGYv2</t>
        </is>
      </c>
      <c r="B57" s="188" t="inlineStr">
        <is>
          <t>Delta Value Fund</t>
        </is>
      </c>
      <c r="C57" s="188" t="inlineStr">
        <is>
          <t>COML_REST</t>
        </is>
      </c>
      <c r="D57" s="203" t="n">
        <v>100</v>
      </c>
      <c r="E57" s="139" t="n"/>
    </row>
    <row r="58" customFormat="1" s="188">
      <c r="D58" s="203" t="n"/>
      <c r="E58" s="139" t="n"/>
    </row>
    <row r="59" customFormat="1" s="188">
      <c r="D59" s="203" t="n"/>
      <c r="E59" s="139" t="n"/>
    </row>
    <row r="60" customFormat="1" s="184">
      <c r="A60" s="182" t="inlineStr">
        <is>
          <t>#POSITION</t>
        </is>
      </c>
      <c r="B60" s="182" t="inlineStr">
        <is>
          <t>Custom AIF Identification</t>
        </is>
      </c>
      <c r="C60" s="182" t="inlineStr">
        <is>
          <t>Sub-Asset Type of Position</t>
        </is>
      </c>
      <c r="D60" s="183" t="inlineStr">
        <is>
          <t>(Legacy) Instrument Code Type</t>
        </is>
      </c>
      <c r="E60" s="182" t="inlineStr">
        <is>
          <t>Instrument Name</t>
        </is>
      </c>
      <c r="F60" s="182" t="inlineStr">
        <is>
          <t>Instrument ISIN Code</t>
        </is>
      </c>
      <c r="G60" s="182" t="inlineStr">
        <is>
          <t>Market Type Code</t>
        </is>
      </c>
      <c r="H60" s="182" t="inlineStr">
        <is>
          <t xml:space="preserve">Market Identifier Code (MIC) </t>
        </is>
      </c>
      <c r="I60" s="182" t="inlineStr">
        <is>
          <t>AII Exchange Product Code</t>
        </is>
      </c>
      <c r="J60" s="182" t="inlineStr">
        <is>
          <t>AII Derivative Type</t>
        </is>
      </c>
      <c r="K60" s="182" t="inlineStr">
        <is>
          <t>AII Put/Call Identifier</t>
        </is>
      </c>
      <c r="L60" s="182" t="inlineStr">
        <is>
          <t>AII exercise/maturity/expiry/delivery/prompt date</t>
        </is>
      </c>
      <c r="M60" s="182" t="inlineStr">
        <is>
          <t>AII Strike Price</t>
        </is>
      </c>
      <c r="N60" s="182" t="inlineStr">
        <is>
          <t>Long / Short</t>
        </is>
      </c>
      <c r="O60" s="182" t="inlineStr">
        <is>
          <t>Position value (Article 2 AIFMD)</t>
        </is>
      </c>
      <c r="P60" s="182" t="inlineStr">
        <is>
          <t>Net Asset Value (NAV)</t>
        </is>
      </c>
      <c r="Q60" s="182" t="inlineStr">
        <is>
          <t>Hedging % for short position</t>
        </is>
      </c>
      <c r="R60" s="182" t="inlineStr">
        <is>
          <t>Counterparty Type</t>
        </is>
      </c>
      <c r="S60" s="182" t="inlineStr">
        <is>
          <t>Counterparty Name</t>
        </is>
      </c>
      <c r="T60" s="182" t="inlineStr">
        <is>
          <t>Counterparty LEI Code</t>
        </is>
      </c>
      <c r="U60" s="182" t="inlineStr">
        <is>
          <t>Counterparty BIC Code</t>
        </is>
      </c>
      <c r="V60" s="182" t="inlineStr">
        <is>
          <t>Currency of the exposure</t>
        </is>
      </c>
      <c r="W60" s="182" t="inlineStr">
        <is>
          <t>Region</t>
        </is>
      </c>
      <c r="X60" s="182" t="inlineStr">
        <is>
          <t>Gross value of exposure</t>
        </is>
      </c>
    </row>
    <row r="61" customFormat="1" s="201">
      <c r="A61" s="191" t="inlineStr">
        <is>
          <t>#AIF fieldnumbers →</t>
        </is>
      </c>
      <c r="B61" s="191" t="inlineStr">
        <is>
          <t>AIF_ID</t>
        </is>
      </c>
      <c r="C61" s="200" t="inlineStr">
        <is>
          <t>65, 41, 95, 96, 104, 121</t>
        </is>
      </c>
      <c r="D61" s="191" t="n">
        <v>66</v>
      </c>
      <c r="E61" s="200" t="inlineStr">
        <is>
          <t>67, 42</t>
        </is>
      </c>
      <c r="F61" s="191" t="n">
        <v>68</v>
      </c>
      <c r="G61" s="200" t="inlineStr">
        <is>
          <t>106, 115</t>
        </is>
      </c>
      <c r="H61" s="200" t="inlineStr">
        <is>
          <t>69, 107, 116</t>
        </is>
      </c>
      <c r="I61" s="191" t="n">
        <v>70</v>
      </c>
      <c r="J61" s="191" t="n">
        <v>71</v>
      </c>
      <c r="K61" s="191" t="n">
        <v>72</v>
      </c>
      <c r="L61" s="191" t="n">
        <v>73</v>
      </c>
      <c r="M61" s="191" t="n">
        <v>74</v>
      </c>
      <c r="N61" s="200" t="inlineStr">
        <is>
          <t>75, 124</t>
        </is>
      </c>
      <c r="O61" s="200" t="inlineStr">
        <is>
          <t>48, 76, 86-93, 98, 108, 117, 123-124, 129-130</t>
        </is>
      </c>
      <c r="P61" s="200" t="inlineStr">
        <is>
          <t>53, 78-85, 165, 171</t>
        </is>
      </c>
      <c r="Q61" s="191" t="n">
        <v>77</v>
      </c>
      <c r="R61" s="200" t="n">
        <v>172</v>
      </c>
      <c r="S61" s="200" t="inlineStr">
        <is>
          <t>100, 110, 162, 168</t>
        </is>
      </c>
      <c r="T61" s="200" t="inlineStr">
        <is>
          <t>101, 111, 163, 169</t>
        </is>
      </c>
      <c r="U61" s="200" t="inlineStr">
        <is>
          <t>102, 112, 164, 170</t>
        </is>
      </c>
      <c r="V61" s="191" t="n">
        <v>128</v>
      </c>
      <c r="W61" s="191" t="inlineStr">
        <is>
          <t>78-93</t>
        </is>
      </c>
      <c r="X61" s="191" t="n">
        <v>122</v>
      </c>
    </row>
    <row r="62" customFormat="1" s="188">
      <c r="A62" s="188" t="inlineStr">
        <is>
          <t>#ignore this line</t>
        </is>
      </c>
      <c r="B62" s="188" t="inlineStr">
        <is>
          <t>Delta Value Fund</t>
        </is>
      </c>
      <c r="C62" s="198" t="inlineStr">
        <is>
          <t>PHY_RES_COML</t>
        </is>
      </c>
      <c r="E62" s="188" t="inlineStr">
        <is>
          <t>Goodwill</t>
        </is>
      </c>
      <c r="H62" s="189" t="n"/>
      <c r="L62" s="236" t="n"/>
      <c r="M62" s="203" t="n"/>
      <c r="N62" s="188" t="inlineStr">
        <is>
          <t>L</t>
        </is>
      </c>
      <c r="O62" s="202">
        <f>1000000*0</f>
        <v/>
      </c>
      <c r="P62" s="202">
        <f>1000000*0</f>
        <v/>
      </c>
      <c r="Q62" s="254" t="n"/>
      <c r="V62" s="188" t="inlineStr">
        <is>
          <t>HKD</t>
        </is>
      </c>
      <c r="W62" s="188" t="inlineStr">
        <is>
          <t>ASIAPACIFIC</t>
        </is>
      </c>
      <c r="X62" s="203" t="n"/>
    </row>
    <row r="63" customFormat="1" s="188">
      <c r="A63" s="188" t="inlineStr">
        <is>
          <t>POSITION</t>
        </is>
      </c>
      <c r="B63" s="188" t="inlineStr">
        <is>
          <t>Delta Value Fund</t>
        </is>
      </c>
      <c r="C63" s="198" t="inlineStr">
        <is>
          <t>PHY_RES_COML</t>
        </is>
      </c>
      <c r="E63" s="188" t="inlineStr">
        <is>
          <t>Derivative position</t>
        </is>
      </c>
      <c r="H63" s="189" t="n"/>
      <c r="L63" s="236" t="n"/>
      <c r="M63" s="203" t="n"/>
      <c r="N63" s="188" t="inlineStr">
        <is>
          <t>L</t>
        </is>
      </c>
      <c r="O63" s="202">
        <f>1000000*231128</f>
        <v/>
      </c>
      <c r="P63" s="202">
        <f>1000000*231128</f>
        <v/>
      </c>
      <c r="Q63" s="254" t="n"/>
      <c r="V63" s="188" t="inlineStr">
        <is>
          <t>HKD</t>
        </is>
      </c>
      <c r="W63" s="188" t="inlineStr">
        <is>
          <t>ASIAPACIFIC</t>
        </is>
      </c>
      <c r="X63" s="203" t="n"/>
    </row>
    <row r="64" customFormat="1" s="188">
      <c r="A64" s="188" t="inlineStr">
        <is>
          <t>POSITION</t>
        </is>
      </c>
      <c r="B64" s="188" t="inlineStr">
        <is>
          <t>Delta Value Fund</t>
        </is>
      </c>
      <c r="C64" s="198" t="inlineStr">
        <is>
          <t>PHY_RES_COML</t>
        </is>
      </c>
      <c r="E64" s="188" t="inlineStr">
        <is>
          <t>Fund of funds allocation</t>
        </is>
      </c>
      <c r="H64" s="189" t="n"/>
      <c r="L64" s="236" t="n"/>
      <c r="M64" s="203" t="n"/>
      <c r="N64" s="188" t="inlineStr">
        <is>
          <t>L</t>
        </is>
      </c>
      <c r="O64" s="202">
        <f>1000000*1820</f>
        <v/>
      </c>
      <c r="P64" s="202">
        <f>1000000*1820</f>
        <v/>
      </c>
      <c r="Q64" s="254" t="n"/>
      <c r="V64" s="188" t="inlineStr">
        <is>
          <t>HKD</t>
        </is>
      </c>
      <c r="W64" s="188" t="inlineStr">
        <is>
          <t>ASIAPACIFIC</t>
        </is>
      </c>
      <c r="X64" s="203" t="n"/>
    </row>
    <row r="65" customFormat="1" s="188">
      <c r="A65" s="188" t="inlineStr">
        <is>
          <t>POSITION</t>
        </is>
      </c>
      <c r="B65" s="188" t="inlineStr">
        <is>
          <t>Delta Value Fund</t>
        </is>
      </c>
      <c r="C65" s="198" t="inlineStr">
        <is>
          <t>PHY_RES_COML</t>
        </is>
      </c>
      <c r="E65" s="188" t="inlineStr">
        <is>
          <t>Infrastructure investment</t>
        </is>
      </c>
      <c r="H65" s="189" t="n"/>
      <c r="L65" s="236" t="n"/>
      <c r="M65" s="203" t="n"/>
      <c r="N65" s="188" t="inlineStr">
        <is>
          <t>L</t>
        </is>
      </c>
      <c r="O65" s="202">
        <f>1000000*1378</f>
        <v/>
      </c>
      <c r="P65" s="202">
        <f>1000000*1378</f>
        <v/>
      </c>
      <c r="Q65" s="254" t="n"/>
      <c r="V65" s="188" t="inlineStr">
        <is>
          <t>HKD</t>
        </is>
      </c>
      <c r="W65" s="188" t="inlineStr">
        <is>
          <t>ASIAPACIFIC</t>
        </is>
      </c>
      <c r="X65" s="203" t="n"/>
    </row>
    <row r="66" customFormat="1" s="188">
      <c r="A66" s="188" t="inlineStr">
        <is>
          <t>POSITION</t>
        </is>
      </c>
      <c r="B66" s="188" t="inlineStr">
        <is>
          <t>Delta Value Fund</t>
        </is>
      </c>
      <c r="C66" s="198" t="inlineStr">
        <is>
          <t>OTH_OTH_OTHR</t>
        </is>
      </c>
      <c r="E66" s="188" t="inlineStr">
        <is>
          <t>Financial assets at amortised cost</t>
        </is>
      </c>
      <c r="H66" s="189" t="n"/>
      <c r="L66" s="236" t="n"/>
      <c r="M66" s="203" t="n"/>
      <c r="N66" s="188" t="inlineStr">
        <is>
          <t>L</t>
        </is>
      </c>
      <c r="O66" s="202" t="n">
        <v>0</v>
      </c>
      <c r="P66" s="202" t="n">
        <v>0</v>
      </c>
      <c r="Q66" s="254" t="n"/>
      <c r="V66" s="188" t="inlineStr">
        <is>
          <t>HKD</t>
        </is>
      </c>
      <c r="W66" s="188" t="inlineStr">
        <is>
          <t>ASIAPACIFIC</t>
        </is>
      </c>
      <c r="X66" s="203" t="n"/>
    </row>
    <row r="67" customFormat="1" s="188">
      <c r="A67" s="188" t="inlineStr">
        <is>
          <t>POSITION</t>
        </is>
      </c>
      <c r="B67" s="188" t="inlineStr">
        <is>
          <t>Delta Value Fund</t>
        </is>
      </c>
      <c r="C67" s="198" t="inlineStr">
        <is>
          <t>OTH_OTH_OTHR</t>
        </is>
      </c>
      <c r="E67" s="188" t="inlineStr">
        <is>
          <t>Deposits and prepayments</t>
        </is>
      </c>
      <c r="H67" s="189" t="n"/>
      <c r="L67" s="236" t="n"/>
      <c r="M67" s="203" t="n"/>
      <c r="N67" s="188" t="inlineStr">
        <is>
          <t>L</t>
        </is>
      </c>
      <c r="O67" s="202">
        <f>1000000*158</f>
        <v/>
      </c>
      <c r="P67" s="202">
        <f>1000000*158</f>
        <v/>
      </c>
      <c r="Q67" s="254" t="n"/>
      <c r="V67" s="188" t="inlineStr">
        <is>
          <t>HKD</t>
        </is>
      </c>
      <c r="W67" s="188" t="inlineStr">
        <is>
          <t>ASIAPACIFIC</t>
        </is>
      </c>
      <c r="X67" s="203" t="n"/>
    </row>
    <row r="68" customFormat="1" s="188">
      <c r="A68" s="188" t="inlineStr">
        <is>
          <t>POSITION</t>
        </is>
      </c>
      <c r="B68" s="188" t="inlineStr">
        <is>
          <t>Delta Value Fund</t>
        </is>
      </c>
      <c r="C68" s="198" t="inlineStr">
        <is>
          <t>OTH_OTH_OTHR</t>
        </is>
      </c>
      <c r="E68" s="188" t="inlineStr">
        <is>
          <t>Derivative financial instruments</t>
        </is>
      </c>
      <c r="H68" s="189" t="n"/>
      <c r="L68" s="236" t="n"/>
      <c r="M68" s="203" t="n"/>
      <c r="N68" s="188" t="inlineStr">
        <is>
          <t>L</t>
        </is>
      </c>
      <c r="O68" s="202">
        <f>1000000*253</f>
        <v/>
      </c>
      <c r="P68" s="202">
        <f>1000000*253</f>
        <v/>
      </c>
      <c r="Q68" s="254" t="n"/>
      <c r="V68" s="188" t="inlineStr">
        <is>
          <t>HKD</t>
        </is>
      </c>
      <c r="W68" s="188" t="inlineStr">
        <is>
          <t>ASIAPACIFIC</t>
        </is>
      </c>
      <c r="X68" s="203" t="n"/>
    </row>
    <row r="69" customFormat="1" s="188">
      <c r="A69" s="188" t="inlineStr">
        <is>
          <t>POSITION</t>
        </is>
      </c>
      <c r="B69" s="188" t="inlineStr">
        <is>
          <t>Delta Value Fund</t>
        </is>
      </c>
      <c r="C69" s="198" t="inlineStr">
        <is>
          <t>OTH_OTH_OTHR</t>
        </is>
      </c>
      <c r="E69" s="188" t="inlineStr">
        <is>
          <t>Trade and other receivables</t>
        </is>
      </c>
      <c r="H69" s="189" t="n"/>
      <c r="L69" s="236" t="n"/>
      <c r="M69" s="203" t="n"/>
      <c r="N69" s="188" t="inlineStr">
        <is>
          <t>L</t>
        </is>
      </c>
      <c r="O69" s="202">
        <f>1000000*1278</f>
        <v/>
      </c>
      <c r="P69" s="202">
        <f>1000000*1278</f>
        <v/>
      </c>
      <c r="Q69" s="254" t="n"/>
      <c r="V69" s="188" t="inlineStr">
        <is>
          <t>HKD</t>
        </is>
      </c>
      <c r="W69" s="188" t="inlineStr">
        <is>
          <t>ASIAPACIFIC</t>
        </is>
      </c>
      <c r="X69" s="203" t="n"/>
    </row>
    <row r="70" customFormat="1" s="188">
      <c r="A70" s="188" t="inlineStr">
        <is>
          <t>POSITION</t>
        </is>
      </c>
      <c r="B70" s="188" t="inlineStr">
        <is>
          <t>Delta Value Fund</t>
        </is>
      </c>
      <c r="C70" s="198" t="inlineStr">
        <is>
          <t>SEC_CSH_OTHD</t>
        </is>
      </c>
      <c r="E70" s="188" t="inlineStr">
        <is>
          <t>Bank deposits</t>
        </is>
      </c>
      <c r="H70" s="189" t="n"/>
      <c r="L70" s="236" t="n"/>
      <c r="M70" s="203" t="n"/>
      <c r="N70" s="188" t="inlineStr">
        <is>
          <t>L</t>
        </is>
      </c>
      <c r="O70" s="202">
        <f>1000000*2462</f>
        <v/>
      </c>
      <c r="P70" s="202">
        <f>1000000*2462</f>
        <v/>
      </c>
      <c r="Q70" s="254" t="n"/>
      <c r="V70" s="188" t="inlineStr">
        <is>
          <t>HKD</t>
        </is>
      </c>
      <c r="W70" s="188" t="inlineStr">
        <is>
          <t>ASIAPACIFIC</t>
        </is>
      </c>
      <c r="X70" s="203" t="n"/>
    </row>
    <row r="71" customFormat="1" s="188">
      <c r="A71" s="188" t="inlineStr">
        <is>
          <t>POSITION</t>
        </is>
      </c>
      <c r="B71" s="188" t="inlineStr">
        <is>
          <t>Delta Value Fund</t>
        </is>
      </c>
      <c r="C71" s="198" t="inlineStr">
        <is>
          <t>SEC_CSH_OTHC</t>
        </is>
      </c>
      <c r="E71" s="188" t="inlineStr">
        <is>
          <t>Cash and cash equivalents</t>
        </is>
      </c>
      <c r="H71" s="189" t="n"/>
      <c r="L71" s="236" t="n"/>
      <c r="M71" s="203" t="n"/>
      <c r="N71" s="188" t="inlineStr">
        <is>
          <t>L</t>
        </is>
      </c>
      <c r="O71" s="202">
        <f>1000000*2737</f>
        <v/>
      </c>
      <c r="P71" s="202">
        <f>1000000*2737</f>
        <v/>
      </c>
      <c r="Q71" s="254" t="n"/>
      <c r="V71" s="188" t="inlineStr">
        <is>
          <t>HKD</t>
        </is>
      </c>
      <c r="W71" s="188" t="inlineStr">
        <is>
          <t>ASIAPACIFIC</t>
        </is>
      </c>
      <c r="X71" s="203" t="n"/>
    </row>
    <row r="72" customFormat="1" s="188">
      <c r="A72" s="188" t="inlineStr">
        <is>
          <t>POSITION</t>
        </is>
      </c>
      <c r="B72" s="188" t="inlineStr">
        <is>
          <t>Delta Value Fund</t>
        </is>
      </c>
      <c r="C72" s="198" t="inlineStr">
        <is>
          <t>PHY_RES_COML</t>
        </is>
      </c>
      <c r="E72" s="188" t="inlineStr">
        <is>
          <t>Non-controlling interests</t>
        </is>
      </c>
      <c r="H72" s="189" t="n"/>
      <c r="L72" s="236" t="n"/>
      <c r="M72" s="203" t="n"/>
      <c r="N72" s="188" t="inlineStr">
        <is>
          <t>L</t>
        </is>
      </c>
      <c r="O72" s="202" t="n">
        <v>0</v>
      </c>
      <c r="P72" s="253">
        <f>1000000*684</f>
        <v/>
      </c>
      <c r="Q72" s="254" t="n"/>
      <c r="V72" s="188" t="inlineStr">
        <is>
          <t>HKD</t>
        </is>
      </c>
      <c r="W72" s="188" t="inlineStr">
        <is>
          <t>ASIAPACIFIC</t>
        </is>
      </c>
      <c r="X72" s="203" t="n"/>
    </row>
    <row r="73" customFormat="1" s="188">
      <c r="A73" s="188" t="inlineStr">
        <is>
          <t>POSITION</t>
        </is>
      </c>
      <c r="B73" s="188" t="inlineStr">
        <is>
          <t>Delta Value Fund</t>
        </is>
      </c>
      <c r="C73" s="198" t="inlineStr">
        <is>
          <t>OTH_OTH_OTHR</t>
        </is>
      </c>
      <c r="E73" s="188" t="inlineStr">
        <is>
          <t>Total Liabilities</t>
        </is>
      </c>
      <c r="H73" s="189" t="n"/>
      <c r="L73" s="236" t="n"/>
      <c r="M73" s="203" t="n"/>
      <c r="N73" s="188" t="inlineStr">
        <is>
          <t>S</t>
        </is>
      </c>
      <c r="O73" s="202">
        <f>1000000*0</f>
        <v/>
      </c>
      <c r="P73" s="202">
        <f>1000000*-69765</f>
        <v/>
      </c>
      <c r="Q73" s="254" t="n"/>
      <c r="V73" s="188" t="inlineStr">
        <is>
          <t>HKD</t>
        </is>
      </c>
      <c r="W73" s="188" t="inlineStr">
        <is>
          <t>ASIAPACIFIC</t>
        </is>
      </c>
      <c r="X73" s="203" t="n"/>
    </row>
    <row r="74" customFormat="1" s="188">
      <c r="C74" s="198" t="n"/>
      <c r="H74" s="189" t="n"/>
      <c r="L74" s="236" t="n"/>
      <c r="M74" s="203" t="n"/>
      <c r="O74" s="255">
        <f>SUM(O62:O73)</f>
        <v/>
      </c>
      <c r="P74" s="255">
        <f>SUM(P62:P73)</f>
        <v/>
      </c>
      <c r="Q74" s="254" t="n"/>
      <c r="X74" s="203" t="n"/>
    </row>
    <row r="75" customFormat="1" s="188">
      <c r="C75" s="198" t="n"/>
      <c r="H75" s="189" t="n"/>
      <c r="L75" s="236" t="n"/>
      <c r="M75" s="203" t="n"/>
      <c r="O75" s="202" t="n"/>
      <c r="P75" s="202" t="n"/>
      <c r="Q75" s="254" t="n"/>
      <c r="X75" s="203" t="n"/>
    </row>
    <row r="76" customFormat="1" s="205">
      <c r="A76" s="204" t="inlineStr">
        <is>
          <t>#END OF TEMPLATE FOR REGISTERED/LIGHT/3(3)(d) FUNDS</t>
        </is>
      </c>
      <c r="B76" s="204" t="n"/>
      <c r="C76" s="204" t="n"/>
      <c r="D76" s="204" t="n"/>
      <c r="E76" s="204" t="inlineStr">
        <is>
          <t>#END OF TEMPLATE FOR REGISTERED/LIGHT/3(3)(d) FUNDS</t>
        </is>
      </c>
      <c r="F76" s="204" t="n"/>
      <c r="G76" s="204" t="n"/>
      <c r="H76" s="204" t="n"/>
      <c r="I76" s="204" t="n"/>
      <c r="J76" s="204" t="inlineStr">
        <is>
          <t>#END OF TEMPLATE FOR REGISTERED/LIGHT/3(3)(d) FUNDS</t>
        </is>
      </c>
      <c r="K76" s="204" t="n"/>
      <c r="L76" s="204" t="n"/>
      <c r="M76" s="204" t="n"/>
      <c r="N76" s="204" t="n"/>
      <c r="P76" s="204" t="inlineStr">
        <is>
          <t>#END OF TEMPLATE FOR REGISTERED/LIGHT/3(3)(d) FUNDS</t>
        </is>
      </c>
      <c r="U76" s="204" t="inlineStr">
        <is>
          <t>#END OF TEMPLATE FOR REGISTERED/LIGHT/3(3)(d) FUNDS</t>
        </is>
      </c>
    </row>
    <row r="77"/>
    <row r="78">
      <c r="A78" s="182" t="inlineStr">
        <is>
          <t>#TURNOVER</t>
        </is>
      </c>
      <c r="B78" s="182" t="inlineStr">
        <is>
          <t>Custom AIF Identification</t>
        </is>
      </c>
      <c r="C78" s="206" t="inlineStr">
        <is>
          <t>Sub-Asset Type of Turnover</t>
        </is>
      </c>
      <c r="D78" s="182" t="inlineStr">
        <is>
          <t>Market Value of Turnover</t>
        </is>
      </c>
      <c r="E78" s="182" t="inlineStr">
        <is>
          <t>Notional Value of Turnover</t>
        </is>
      </c>
      <c r="F78" s="184" t="n"/>
      <c r="G78" s="184" t="n"/>
      <c r="H78" s="184" t="n"/>
      <c r="I78" s="184" t="n"/>
      <c r="J78" s="184" t="n"/>
      <c r="K78" s="184" t="n"/>
      <c r="L78" s="184" t="n"/>
      <c r="M78" s="184" t="n"/>
    </row>
    <row r="79">
      <c r="A79" s="185" t="inlineStr">
        <is>
          <t>#AIF fieldnumbers →</t>
        </is>
      </c>
      <c r="B79" s="191" t="inlineStr">
        <is>
          <t>AIF_ID</t>
        </is>
      </c>
      <c r="C79" s="185" t="n">
        <v>125</v>
      </c>
      <c r="D79" s="185" t="n">
        <v>126</v>
      </c>
      <c r="E79" s="185" t="n">
        <v>127</v>
      </c>
    </row>
    <row r="80" customFormat="1" s="188">
      <c r="A80" s="188" t="inlineStr">
        <is>
          <t>TURNOVER</t>
        </is>
      </c>
      <c r="B80" s="188" t="inlineStr">
        <is>
          <t>Delta Value Fund</t>
        </is>
      </c>
      <c r="C80" s="198" t="inlineStr">
        <is>
          <t>PHY_RES_RES</t>
        </is>
      </c>
      <c r="D80" s="243">
        <f>G145+H145</f>
        <v/>
      </c>
      <c r="E80" s="254" t="n"/>
    </row>
    <row r="81" customFormat="1" s="188">
      <c r="C81" s="198" t="n"/>
      <c r="D81" s="254" t="n"/>
      <c r="E81" s="254" t="n"/>
    </row>
    <row r="82" customFormat="1" s="188">
      <c r="C82" s="198" t="n"/>
      <c r="D82" s="254" t="n"/>
      <c r="E82" s="254" t="n"/>
    </row>
    <row r="83" customFormat="1" s="188">
      <c r="C83" s="198" t="n"/>
      <c r="D83" s="254" t="n"/>
      <c r="E83" s="254" t="n"/>
    </row>
    <row r="84">
      <c r="A84" s="182" t="inlineStr">
        <is>
          <t>#DOMINANT_INFLUENCE</t>
        </is>
      </c>
      <c r="B84" s="182" t="inlineStr">
        <is>
          <t>Custom AIF Identification</t>
        </is>
      </c>
      <c r="C84" s="182" t="inlineStr">
        <is>
          <t>Dominant influence company name</t>
        </is>
      </c>
      <c r="D84" s="182" t="inlineStr">
        <is>
          <t>Dominant influence company LEI code</t>
        </is>
      </c>
      <c r="E84" s="182" t="inlineStr">
        <is>
          <t xml:space="preserve">Dominant influence company BIC code </t>
        </is>
      </c>
      <c r="F84" s="182" t="inlineStr">
        <is>
          <t>Transaction Type</t>
        </is>
      </c>
      <c r="G84" s="182" t="inlineStr">
        <is>
          <t>Description of other transaction type</t>
        </is>
      </c>
      <c r="H84" s="182" t="inlineStr">
        <is>
          <t>% Voting Rights</t>
        </is>
      </c>
      <c r="I84" s="184" t="n"/>
      <c r="J84" s="184" t="n"/>
      <c r="K84" s="184" t="n"/>
      <c r="L84" s="184" t="n"/>
      <c r="M84" s="184" t="n"/>
    </row>
    <row r="85">
      <c r="A85" s="185" t="inlineStr">
        <is>
          <t>#AIF fieldnumbers →</t>
        </is>
      </c>
      <c r="B85" s="191" t="inlineStr">
        <is>
          <t>AIF_ID</t>
        </is>
      </c>
      <c r="C85" s="185" t="n">
        <v>131</v>
      </c>
      <c r="D85" s="185" t="n">
        <v>132</v>
      </c>
      <c r="E85" s="185" t="n">
        <v>133</v>
      </c>
      <c r="F85" s="185" t="n">
        <v>134</v>
      </c>
      <c r="G85" s="185" t="n">
        <v>135</v>
      </c>
      <c r="H85" s="185" t="n">
        <v>136</v>
      </c>
    </row>
    <row r="86" customFormat="1" s="188">
      <c r="D86" s="189" t="n"/>
      <c r="E86" s="189" t="n"/>
      <c r="G86" s="139" t="n"/>
      <c r="H86" s="203" t="n"/>
    </row>
    <row r="87" customFormat="1" s="188">
      <c r="D87" s="189" t="n"/>
      <c r="E87" s="189" t="n"/>
      <c r="G87" s="139" t="n"/>
      <c r="H87" s="203" t="n"/>
    </row>
    <row r="88" customFormat="1" s="188">
      <c r="D88" s="189" t="n"/>
      <c r="E88" s="189" t="n"/>
      <c r="G88" s="139" t="n"/>
      <c r="H88" s="203" t="n"/>
    </row>
    <row r="89">
      <c r="A89" s="182" t="inlineStr">
        <is>
          <t>#RISK</t>
        </is>
      </c>
      <c r="B89" s="182" t="inlineStr">
        <is>
          <t>Custom AIF Identification</t>
        </is>
      </c>
      <c r="C89" s="182" t="inlineStr">
        <is>
          <t>Risk measure type</t>
        </is>
      </c>
      <c r="D89" s="182" t="inlineStr">
        <is>
          <t>Risk measure value in base currency</t>
        </is>
      </c>
      <c r="E89" s="182" t="inlineStr">
        <is>
          <t>Risk measure value for Net DV01 and CS01 for bucket &lt; 5 years in base currency</t>
        </is>
      </c>
      <c r="F89" s="182" t="inlineStr">
        <is>
          <t>Risk measure value Net DV01 and CS01 for for bucket 5-15 years in base currency</t>
        </is>
      </c>
      <c r="G89" s="182" t="inlineStr">
        <is>
          <t>Risk measure value Net DV01 and CS01 for for bucket &gt; 15 years in base currency</t>
        </is>
      </c>
      <c r="H89" s="182" t="inlineStr">
        <is>
          <t>Risk measure value for Vega exposure at current market levels in base currency</t>
        </is>
      </c>
      <c r="I89" s="182" t="inlineStr">
        <is>
          <t>Risk measure value for Vega exposure at market levels 10% lower in base currency</t>
        </is>
      </c>
      <c r="J89" s="182" t="inlineStr">
        <is>
          <t>Risk measure value for Vega exposure at market levels 10% higher in base currency</t>
        </is>
      </c>
      <c r="K89" s="182" t="inlineStr">
        <is>
          <t>VAR Value as a percentage</t>
        </is>
      </c>
      <c r="L89" s="182" t="inlineStr">
        <is>
          <t>VAR Calculation Method Code Type</t>
        </is>
      </c>
      <c r="M89" s="182" t="inlineStr">
        <is>
          <t>Risk Measure description</t>
        </is>
      </c>
    </row>
    <row r="90">
      <c r="A90" s="207" t="inlineStr">
        <is>
          <t>#AIF fieldnumbers →</t>
        </is>
      </c>
      <c r="B90" s="191" t="inlineStr">
        <is>
          <t>AIF_ID</t>
        </is>
      </c>
      <c r="C90" s="207" t="n">
        <v>138</v>
      </c>
      <c r="D90" s="207" t="n">
        <v>139</v>
      </c>
      <c r="E90" s="207" t="n">
        <v>140</v>
      </c>
      <c r="F90" s="207" t="n">
        <v>141</v>
      </c>
      <c r="G90" s="207" t="n">
        <v>142</v>
      </c>
      <c r="H90" s="207" t="n">
        <v>143</v>
      </c>
      <c r="I90" s="207" t="n">
        <v>144</v>
      </c>
      <c r="J90" s="207" t="n">
        <v>145</v>
      </c>
      <c r="K90" s="207" t="n">
        <v>302</v>
      </c>
      <c r="L90" s="207" t="n">
        <v>146</v>
      </c>
      <c r="M90" s="207" t="n">
        <v>147</v>
      </c>
    </row>
    <row r="91" customFormat="1" s="208">
      <c r="D91" s="209" t="n"/>
      <c r="E91" s="210" t="n"/>
      <c r="F91" s="210" t="n"/>
      <c r="G91" s="210" t="n"/>
      <c r="H91" s="210" t="n"/>
      <c r="I91" s="210" t="n"/>
      <c r="J91" s="210" t="n"/>
      <c r="K91" s="210" t="n"/>
      <c r="M91" s="237" t="n"/>
    </row>
    <row r="92" customFormat="1" s="208">
      <c r="D92" s="209" t="n"/>
      <c r="E92" s="210" t="n"/>
      <c r="F92" s="210" t="n"/>
      <c r="G92" s="210" t="n"/>
      <c r="H92" s="210" t="n"/>
      <c r="I92" s="210" t="n"/>
      <c r="J92" s="210" t="n"/>
      <c r="K92" s="210" t="n"/>
      <c r="M92" s="237" t="n"/>
    </row>
    <row r="93" customFormat="1" s="208">
      <c r="D93" s="209" t="n"/>
      <c r="E93" s="210" t="n"/>
      <c r="F93" s="210" t="n"/>
      <c r="G93" s="210" t="n"/>
      <c r="H93" s="210" t="n"/>
      <c r="I93" s="210" t="n"/>
      <c r="J93" s="210" t="n"/>
      <c r="K93" s="210" t="n"/>
      <c r="M93" s="237" t="n"/>
    </row>
    <row r="94" customFormat="1" s="208">
      <c r="D94" s="209" t="n"/>
      <c r="E94" s="210" t="n"/>
      <c r="F94" s="210" t="n"/>
      <c r="G94" s="210" t="n"/>
      <c r="H94" s="210" t="n"/>
      <c r="I94" s="210" t="n"/>
      <c r="J94" s="210" t="n"/>
      <c r="K94" s="210" t="n"/>
      <c r="M94" s="237" t="n"/>
    </row>
    <row r="95" customFormat="1" s="208">
      <c r="D95" s="209" t="n"/>
      <c r="E95" s="210" t="n"/>
      <c r="F95" s="210" t="n"/>
      <c r="G95" s="210" t="n"/>
      <c r="H95" s="210" t="n"/>
      <c r="I95" s="210" t="n"/>
      <c r="J95" s="210" t="n"/>
      <c r="K95" s="210" t="n"/>
      <c r="M95" s="237" t="n"/>
    </row>
    <row r="96" customFormat="1" s="208">
      <c r="D96" s="209" t="n"/>
      <c r="E96" s="210" t="n"/>
      <c r="F96" s="210" t="n"/>
      <c r="G96" s="210" t="n"/>
      <c r="H96" s="210" t="n"/>
      <c r="I96" s="210" t="n"/>
      <c r="J96" s="210" t="n"/>
      <c r="K96" s="210" t="n"/>
      <c r="M96" s="237" t="n"/>
    </row>
    <row r="97" customFormat="1" s="208">
      <c r="D97" s="209" t="n"/>
      <c r="E97" s="210" t="n"/>
      <c r="F97" s="210" t="n"/>
      <c r="G97" s="210" t="n"/>
      <c r="H97" s="210" t="n"/>
      <c r="I97" s="210" t="n"/>
      <c r="J97" s="210" t="n"/>
      <c r="K97" s="210" t="n"/>
      <c r="M97" s="237" t="n"/>
    </row>
    <row r="98" ht="10.5" customHeight="1">
      <c r="A98" s="182" t="inlineStr">
        <is>
          <t>#COUNTERPARTY_RISK_PROFILE</t>
        </is>
      </c>
      <c r="B98" s="182" t="inlineStr">
        <is>
          <t>Custom AIF Identification</t>
        </is>
      </c>
      <c r="C98" s="182" t="inlineStr">
        <is>
          <t>Percentage of market value for securities traded on regulated exchanges (non-OTC)</t>
        </is>
      </c>
      <c r="D98" s="183" t="inlineStr">
        <is>
          <t>(Legacy) Percentage of market value for securities traded on OTC</t>
        </is>
      </c>
      <c r="E98" s="182" t="inlineStr">
        <is>
          <t>Percentage of trade volumes for derivatives traded on regulated exchanges (non-OTC)</t>
        </is>
      </c>
      <c r="F98" s="183" t="inlineStr">
        <is>
          <t>(Legacy) Percentage of trade volumes for derivatives traded on OTC</t>
        </is>
      </c>
      <c r="G98" s="182" t="inlineStr">
        <is>
          <t>Percentage of trade volumes for derivatives cleared by a CCP</t>
        </is>
      </c>
      <c r="H98" s="183" t="inlineStr">
        <is>
          <t>(Legacy) Percentage of trade volumes for derivatives cleared bilaterally</t>
        </is>
      </c>
      <c r="I98" s="182" t="inlineStr">
        <is>
          <t>Percentage of market value for repos trades cleared by a CCP</t>
        </is>
      </c>
      <c r="J98" s="182" t="inlineStr">
        <is>
          <t>Percentage of market value for repos trades cleared bilaterally</t>
        </is>
      </c>
      <c r="K98" s="182" t="inlineStr">
        <is>
          <t>Percentage of market value for repos trades cleared with triparty repos</t>
        </is>
      </c>
      <c r="L98" s="182" t="inlineStr">
        <is>
          <t>Collateral Cash amount posted to all counterparties</t>
        </is>
      </c>
      <c r="M98" s="182" t="inlineStr">
        <is>
          <t>Collateral Securities amount posted to all counterparties</t>
        </is>
      </c>
      <c r="N98" s="182" t="inlineStr">
        <is>
          <t>Other Collateral amount posted to all counterparties</t>
        </is>
      </c>
    </row>
    <row r="99">
      <c r="A99" s="185" t="inlineStr">
        <is>
          <t>#AIF fieldnumbers →</t>
        </is>
      </c>
      <c r="B99" s="191" t="inlineStr">
        <is>
          <t>AIF_ID</t>
        </is>
      </c>
      <c r="C99" s="186" t="inlineStr">
        <is>
          <t>148, 149</t>
        </is>
      </c>
      <c r="D99" s="185" t="n">
        <v>149</v>
      </c>
      <c r="E99" s="186" t="inlineStr">
        <is>
          <t>150, 151</t>
        </is>
      </c>
      <c r="F99" s="185" t="n">
        <v>151</v>
      </c>
      <c r="G99" s="186" t="inlineStr">
        <is>
          <t>152, 153</t>
        </is>
      </c>
      <c r="H99" s="185" t="n">
        <v>153</v>
      </c>
      <c r="I99" s="185" t="n">
        <v>154</v>
      </c>
      <c r="J99" s="185" t="n">
        <v>155</v>
      </c>
      <c r="K99" s="185" t="n">
        <v>156</v>
      </c>
      <c r="L99" s="185" t="n">
        <v>157</v>
      </c>
      <c r="M99" s="185" t="n">
        <v>158</v>
      </c>
      <c r="N99" s="185" t="n">
        <v>159</v>
      </c>
    </row>
    <row r="100" customFormat="1" s="188">
      <c r="C100" s="195" t="n"/>
      <c r="D100" s="254" t="n"/>
      <c r="E100" s="254" t="n"/>
      <c r="F100" s="254" t="n"/>
      <c r="G100" s="254" t="n"/>
      <c r="H100" s="254" t="n"/>
      <c r="I100" s="254" t="n"/>
      <c r="J100" s="254" t="n"/>
      <c r="K100" s="254" t="n"/>
      <c r="L100" s="254" t="n"/>
      <c r="M100" s="254" t="n"/>
      <c r="N100" s="254" t="n"/>
    </row>
    <row r="101" customFormat="1" s="188">
      <c r="C101" s="195" t="n"/>
      <c r="D101" s="254" t="n"/>
      <c r="E101" s="254" t="n"/>
      <c r="F101" s="254" t="n"/>
      <c r="G101" s="254" t="n"/>
      <c r="H101" s="254" t="n"/>
      <c r="I101" s="254" t="n"/>
      <c r="J101" s="254" t="n"/>
      <c r="K101" s="254" t="n"/>
      <c r="L101" s="254" t="n"/>
      <c r="M101" s="254" t="n"/>
      <c r="N101" s="254" t="n"/>
    </row>
    <row r="102" customFormat="1" s="188">
      <c r="C102" s="195" t="n"/>
      <c r="D102" s="254" t="n"/>
      <c r="E102" s="254" t="n"/>
      <c r="F102" s="254" t="n"/>
      <c r="G102" s="254" t="n"/>
      <c r="H102" s="254" t="n"/>
      <c r="I102" s="254" t="n"/>
      <c r="J102" s="254" t="n"/>
      <c r="K102" s="254" t="n"/>
      <c r="L102" s="254" t="n"/>
      <c r="M102" s="254" t="n"/>
      <c r="N102" s="254" t="n"/>
    </row>
    <row r="103" customFormat="1" s="188">
      <c r="C103" s="195" t="n"/>
      <c r="D103" s="254" t="n"/>
      <c r="E103" s="254" t="n"/>
      <c r="F103" s="254" t="n"/>
      <c r="G103" s="254" t="n"/>
      <c r="H103" s="254" t="n"/>
      <c r="I103" s="254" t="n"/>
      <c r="J103" s="254" t="n"/>
      <c r="K103" s="254" t="n"/>
      <c r="L103" s="254" t="n"/>
      <c r="M103" s="254" t="n"/>
      <c r="N103" s="254" t="n"/>
    </row>
    <row r="104" customFormat="1" s="188">
      <c r="C104" s="195" t="n"/>
      <c r="D104" s="254" t="n"/>
      <c r="E104" s="254" t="n"/>
      <c r="F104" s="254" t="n"/>
      <c r="G104" s="254" t="n"/>
      <c r="H104" s="254" t="n"/>
      <c r="I104" s="254" t="n"/>
      <c r="J104" s="254" t="n"/>
      <c r="K104" s="254" t="n"/>
      <c r="L104" s="254" t="n"/>
      <c r="M104" s="254" t="n"/>
      <c r="N104" s="254" t="n"/>
    </row>
    <row r="105">
      <c r="A105" s="182" t="inlineStr">
        <is>
          <t>#PORTFOLIO_LIQUIDITY_PROFILE</t>
        </is>
      </c>
      <c r="B105" s="182" t="inlineStr">
        <is>
          <t>Custom AIF Identification</t>
        </is>
      </c>
      <c r="C105" s="182" t="inlineStr">
        <is>
          <t>Percentage of portfolio liquidity in 0 to 1 day</t>
        </is>
      </c>
      <c r="D105" s="182" t="inlineStr">
        <is>
          <t>Percentage of portfolio liquidity in 2 to 7 days</t>
        </is>
      </c>
      <c r="E105" s="182" t="inlineStr">
        <is>
          <t>Percentage of portfolio liquidity in 8 to 30 days</t>
        </is>
      </c>
      <c r="F105" s="182" t="inlineStr">
        <is>
          <t>Percentage of portfolio liquidity in 31 to 90 days</t>
        </is>
      </c>
      <c r="G105" s="182" t="inlineStr">
        <is>
          <t>Percentage of portfolio liquidity in 91 to 180 days</t>
        </is>
      </c>
      <c r="H105" s="182" t="inlineStr">
        <is>
          <t>Percentage of portfolio liquidity in 181 to 365 days</t>
        </is>
      </c>
      <c r="I105" s="182" t="inlineStr">
        <is>
          <t>Percentage of portfolio liquidity in more than 365 days</t>
        </is>
      </c>
      <c r="J105" s="182" t="inlineStr">
        <is>
          <t>Unencumbered cash amount</t>
        </is>
      </c>
      <c r="K105" s="211" t="n"/>
      <c r="L105" s="211" t="n"/>
      <c r="M105" s="211" t="n"/>
    </row>
    <row r="106">
      <c r="A106" s="185" t="inlineStr">
        <is>
          <t>#AIF fieldnumbers →</t>
        </is>
      </c>
      <c r="B106" s="191" t="inlineStr">
        <is>
          <t>AIF_ID</t>
        </is>
      </c>
      <c r="C106" s="185" t="n">
        <v>178</v>
      </c>
      <c r="D106" s="185" t="n">
        <v>179</v>
      </c>
      <c r="E106" s="185" t="n">
        <v>180</v>
      </c>
      <c r="F106" s="185" t="n">
        <v>181</v>
      </c>
      <c r="G106" s="185" t="n">
        <v>182</v>
      </c>
      <c r="H106" s="185" t="n">
        <v>183</v>
      </c>
      <c r="I106" s="185" t="n">
        <v>184</v>
      </c>
      <c r="J106" s="185" t="n">
        <v>185</v>
      </c>
    </row>
    <row r="107" customFormat="1" s="188">
      <c r="C107" s="254" t="n"/>
      <c r="D107" s="254" t="n"/>
      <c r="E107" s="254" t="n"/>
      <c r="F107" s="254" t="n"/>
      <c r="G107" s="254" t="n"/>
      <c r="H107" s="254" t="n"/>
      <c r="I107" s="254" t="n"/>
      <c r="J107" s="254" t="n"/>
    </row>
    <row r="108" customFormat="1" s="188">
      <c r="C108" s="254" t="n"/>
      <c r="D108" s="254" t="n"/>
      <c r="E108" s="254" t="n"/>
      <c r="F108" s="254" t="n"/>
      <c r="G108" s="254" t="n"/>
      <c r="H108" s="254" t="n"/>
      <c r="I108" s="254" t="n"/>
      <c r="J108" s="254" t="n"/>
    </row>
    <row r="109" customFormat="1" s="188">
      <c r="C109" s="254" t="n"/>
      <c r="D109" s="254" t="n"/>
      <c r="E109" s="254" t="n"/>
      <c r="F109" s="254" t="n"/>
      <c r="G109" s="254" t="n"/>
      <c r="H109" s="254" t="n"/>
      <c r="I109" s="254" t="n"/>
      <c r="J109" s="254" t="n"/>
    </row>
    <row r="110" customFormat="1" s="188">
      <c r="C110" s="254" t="n"/>
      <c r="D110" s="254" t="n"/>
      <c r="E110" s="254" t="n"/>
      <c r="F110" s="254" t="n"/>
      <c r="G110" s="254" t="n"/>
      <c r="H110" s="254" t="n"/>
      <c r="I110" s="254" t="n"/>
      <c r="J110" s="254" t="n"/>
    </row>
    <row r="111">
      <c r="A111" s="212" t="inlineStr">
        <is>
          <t>#INVESTOR_LIQUIDITY_PROFILE</t>
        </is>
      </c>
      <c r="B111" s="182" t="inlineStr">
        <is>
          <t>Custom AIF Identification</t>
        </is>
      </c>
      <c r="C111" s="213" t="inlineStr">
        <is>
          <t>Percentage of investor liquidity in 0 to 1 day</t>
        </is>
      </c>
      <c r="D111" s="213" t="inlineStr">
        <is>
          <t>Percentage of investor liquidity in 2 to 7 days</t>
        </is>
      </c>
      <c r="E111" s="213" t="inlineStr">
        <is>
          <t>Percentage of investor liquidity in 8 to 30 days</t>
        </is>
      </c>
      <c r="F111" s="213" t="inlineStr">
        <is>
          <t>Percentage of investor liquidity in 31 to 90 days</t>
        </is>
      </c>
      <c r="G111" s="213" t="inlineStr">
        <is>
          <t>Percentage of investor liquidity in 91 to 180 days</t>
        </is>
      </c>
      <c r="H111" s="213" t="inlineStr">
        <is>
          <t>Percentage of investor liquidity in 181 to 365 days</t>
        </is>
      </c>
      <c r="I111" s="213" t="inlineStr">
        <is>
          <t>Percentage of investor liquidity in more than 365 days</t>
        </is>
      </c>
    </row>
    <row r="112">
      <c r="A112" s="214" t="inlineStr">
        <is>
          <t>#AIF fieldnumbers →</t>
        </is>
      </c>
      <c r="B112" s="191" t="inlineStr">
        <is>
          <t>AIF_ID</t>
        </is>
      </c>
      <c r="C112" s="215" t="n">
        <v>186</v>
      </c>
      <c r="D112" s="215" t="n">
        <v>187</v>
      </c>
      <c r="E112" s="215" t="n">
        <v>188</v>
      </c>
      <c r="F112" s="215" t="n">
        <v>189</v>
      </c>
      <c r="G112" s="215" t="n">
        <v>190</v>
      </c>
      <c r="H112" s="215" t="n">
        <v>191</v>
      </c>
      <c r="I112" s="215" t="n">
        <v>192</v>
      </c>
    </row>
    <row r="113" customFormat="1" s="188">
      <c r="C113" s="254" t="n"/>
      <c r="D113" s="254" t="n"/>
      <c r="E113" s="254" t="n"/>
      <c r="F113" s="254" t="n"/>
      <c r="G113" s="254" t="n"/>
      <c r="H113" s="254" t="n"/>
      <c r="I113" s="254" t="n"/>
    </row>
    <row r="114" customFormat="1" s="188">
      <c r="C114" s="254" t="n"/>
      <c r="D114" s="254" t="n"/>
      <c r="E114" s="254" t="n"/>
      <c r="F114" s="254" t="n"/>
      <c r="G114" s="254" t="n"/>
      <c r="H114" s="254" t="n"/>
      <c r="I114" s="254" t="n"/>
    </row>
    <row r="115" customFormat="1" s="188">
      <c r="C115" s="254" t="n"/>
      <c r="D115" s="254" t="n"/>
      <c r="E115" s="254" t="n"/>
      <c r="F115" s="254" t="n"/>
      <c r="G115" s="254" t="n"/>
      <c r="H115" s="254" t="n"/>
      <c r="I115" s="254" t="n"/>
    </row>
    <row r="116" customFormat="1" s="188">
      <c r="C116" s="254" t="n"/>
      <c r="D116" s="254" t="n"/>
      <c r="E116" s="254" t="n"/>
      <c r="F116" s="254" t="n"/>
      <c r="G116" s="254" t="n"/>
      <c r="H116" s="254" t="n"/>
      <c r="I116" s="254" t="n"/>
    </row>
    <row r="117" customFormat="1" s="188">
      <c r="C117" s="254" t="n"/>
      <c r="D117" s="254" t="n"/>
      <c r="E117" s="254" t="n"/>
      <c r="F117" s="254" t="n"/>
      <c r="G117" s="254" t="n"/>
      <c r="H117" s="254" t="n"/>
      <c r="I117" s="254" t="n"/>
    </row>
    <row r="118" customFormat="1" s="188">
      <c r="C118" s="254" t="n"/>
      <c r="D118" s="254" t="n"/>
      <c r="E118" s="254" t="n"/>
      <c r="F118" s="254" t="n"/>
      <c r="G118" s="254" t="n"/>
      <c r="H118" s="254" t="n"/>
      <c r="I118" s="254" t="n"/>
    </row>
    <row r="119">
      <c r="A119" s="212" t="inlineStr">
        <is>
          <t>#INVESTOR_REDEMPTION</t>
        </is>
      </c>
      <c r="B119" s="182" t="inlineStr">
        <is>
          <t>Custom AIF Identification</t>
        </is>
      </c>
      <c r="C119" s="216" t="inlineStr">
        <is>
          <t>(Legacy) Withdrawal redemption rights flag</t>
        </is>
      </c>
      <c r="D119" s="213" t="inlineStr">
        <is>
          <t>Investor Redemption Frequency</t>
        </is>
      </c>
      <c r="E119" s="213" t="inlineStr">
        <is>
          <t>Investor Redemption Notice Period in days</t>
        </is>
      </c>
      <c r="F119" s="213" t="inlineStr">
        <is>
          <t>Investor Redemption Lock Up Period in days</t>
        </is>
      </c>
    </row>
    <row r="120">
      <c r="A120" s="214" t="inlineStr">
        <is>
          <t>#AIF fieldnumbers →</t>
        </is>
      </c>
      <c r="B120" s="191" t="inlineStr">
        <is>
          <t>AIF_ID</t>
        </is>
      </c>
      <c r="C120" s="215" t="n">
        <v>193</v>
      </c>
      <c r="D120" s="217" t="inlineStr">
        <is>
          <t>194, 193</t>
        </is>
      </c>
      <c r="E120" s="217" t="inlineStr">
        <is>
          <t>195, 193</t>
        </is>
      </c>
      <c r="F120" s="217" t="inlineStr">
        <is>
          <t>196, 193</t>
        </is>
      </c>
    </row>
    <row r="121" customFormat="1" s="188">
      <c r="E121" s="194" t="n"/>
      <c r="F121" s="194" t="n"/>
    </row>
    <row r="122" customFormat="1" s="188">
      <c r="E122" s="194" t="n"/>
      <c r="F122" s="194" t="n"/>
    </row>
    <row r="123" customFormat="1" s="188">
      <c r="E123" s="194" t="n"/>
      <c r="F123" s="194" t="n"/>
    </row>
    <row r="124" customFormat="1" s="188">
      <c r="E124" s="194" t="n"/>
      <c r="F124" s="194" t="n"/>
    </row>
    <row r="125" customFormat="1" s="188">
      <c r="E125" s="194" t="n"/>
      <c r="F125" s="194" t="n"/>
    </row>
    <row r="126" customFormat="1" s="188">
      <c r="E126" s="194" t="n"/>
      <c r="F126" s="194" t="n"/>
    </row>
    <row r="127">
      <c r="A127" s="212" t="inlineStr">
        <is>
          <t>#SPECIAL_ARRANGEMENT</t>
        </is>
      </c>
      <c r="B127" s="182" t="inlineStr">
        <is>
          <t>Custom AIF Identification</t>
        </is>
      </c>
      <c r="C127" s="213" t="inlineStr">
        <is>
          <t>Side Pocket percentage</t>
        </is>
      </c>
      <c r="D127" s="213" t="inlineStr">
        <is>
          <t>Gates percentage</t>
        </is>
      </c>
      <c r="E127" s="213" t="inlineStr">
        <is>
          <t>Dealing Suspension percentage</t>
        </is>
      </c>
      <c r="F127" s="213" t="inlineStr">
        <is>
          <t>Other Arrangement Type</t>
        </is>
      </c>
      <c r="G127" s="213" t="inlineStr">
        <is>
          <t>Other arrangement percentage</t>
        </is>
      </c>
      <c r="H127" s="213" t="inlineStr">
        <is>
          <t>Total arrangement percentage</t>
        </is>
      </c>
      <c r="I127" s="216" t="inlineStr">
        <is>
          <t>(Legacy) Investor preferential treatment Flag</t>
        </is>
      </c>
      <c r="J127" s="213" t="inlineStr">
        <is>
          <t>Disclosure Terms Preferential Treatment Flag</t>
        </is>
      </c>
      <c r="K127" s="213" t="inlineStr">
        <is>
          <t>Liquidity Terms Preferential Treatment Flag</t>
        </is>
      </c>
      <c r="L127" s="213" t="inlineStr">
        <is>
          <t>Fee Terms Preferential Treatment Flag</t>
        </is>
      </c>
      <c r="M127" s="213" t="inlineStr">
        <is>
          <t>Other Terms Preferential Treatment Flag</t>
        </is>
      </c>
    </row>
    <row r="128">
      <c r="A128" s="214" t="inlineStr">
        <is>
          <t>#AIF fieldnumbers →</t>
        </is>
      </c>
      <c r="B128" s="191" t="inlineStr">
        <is>
          <t>AIF_ID</t>
        </is>
      </c>
      <c r="C128" s="215" t="n">
        <v>197</v>
      </c>
      <c r="D128" s="215" t="n">
        <v>198</v>
      </c>
      <c r="E128" s="215" t="n">
        <v>199</v>
      </c>
      <c r="F128" s="215" t="n">
        <v>200</v>
      </c>
      <c r="G128" s="215" t="n">
        <v>201</v>
      </c>
      <c r="H128" s="215" t="n">
        <v>202</v>
      </c>
      <c r="I128" s="215" t="n">
        <v>203</v>
      </c>
      <c r="J128" s="217" t="inlineStr">
        <is>
          <t>204, 203</t>
        </is>
      </c>
      <c r="K128" s="217" t="inlineStr">
        <is>
          <t>205, 203</t>
        </is>
      </c>
      <c r="L128" s="217" t="inlineStr">
        <is>
          <t>206, 203</t>
        </is>
      </c>
      <c r="M128" s="217" t="inlineStr">
        <is>
          <t>207, 203</t>
        </is>
      </c>
    </row>
    <row r="129" customFormat="1" s="188">
      <c r="C129" s="195" t="n"/>
      <c r="D129" s="195" t="n"/>
      <c r="E129" s="195" t="n"/>
      <c r="F129" s="218" t="n"/>
      <c r="G129" s="195" t="n"/>
      <c r="H129" s="195" t="n"/>
    </row>
    <row r="130" customFormat="1" s="188">
      <c r="C130" s="195" t="n"/>
      <c r="D130" s="195" t="n"/>
      <c r="E130" s="195" t="n"/>
      <c r="F130" s="218" t="n"/>
      <c r="G130" s="195" t="n"/>
      <c r="H130" s="195" t="n"/>
    </row>
    <row r="131" customFormat="1" s="184">
      <c r="A131" s="212" t="inlineStr">
        <is>
          <t>#INVESTOR</t>
        </is>
      </c>
      <c r="B131" s="182" t="inlineStr">
        <is>
          <t>Custom AIF Identification</t>
        </is>
      </c>
      <c r="C131" s="213" t="inlineStr">
        <is>
          <t>Investor Group Type</t>
        </is>
      </c>
      <c r="D131" s="213" t="inlineStr">
        <is>
          <t>Investor group NAV percentage</t>
        </is>
      </c>
      <c r="E131" s="181" t="n"/>
      <c r="F131" s="181" t="n"/>
      <c r="G131" s="181" t="n"/>
      <c r="H131" s="181" t="n"/>
      <c r="I131" s="181" t="n"/>
      <c r="J131" s="181" t="n"/>
      <c r="K131" s="181" t="n"/>
      <c r="L131" s="181" t="n"/>
      <c r="M131" s="181" t="n"/>
    </row>
    <row r="132">
      <c r="A132" s="214" t="inlineStr">
        <is>
          <t>#AIF fieldnumbers →</t>
        </is>
      </c>
      <c r="B132" s="191" t="inlineStr">
        <is>
          <t>AIF_ID</t>
        </is>
      </c>
      <c r="C132" s="215" t="n">
        <v>208</v>
      </c>
      <c r="D132" s="215" t="n">
        <v>209</v>
      </c>
    </row>
    <row r="133" customFormat="1" s="188">
      <c r="A133" s="188" t="inlineStr">
        <is>
          <t>INVESTOR</t>
        </is>
      </c>
      <c r="B133" s="188" t="inlineStr">
        <is>
          <t>Delta Value Fund</t>
        </is>
      </c>
      <c r="C133" s="188" t="inlineStr">
        <is>
          <t>OFIN</t>
        </is>
      </c>
      <c r="D133" s="254" t="n">
        <v>15.28</v>
      </c>
    </row>
    <row r="134" customFormat="1" s="188">
      <c r="A134" s="188" t="inlineStr">
        <is>
          <t>INVESTOR</t>
        </is>
      </c>
      <c r="B134" s="188" t="inlineStr">
        <is>
          <t>Delta Value Fund</t>
        </is>
      </c>
      <c r="C134" s="188" t="inlineStr">
        <is>
          <t>HHLD</t>
        </is>
      </c>
      <c r="D134" s="254" t="n">
        <v>84.72</v>
      </c>
    </row>
    <row r="135" customFormat="1" s="188">
      <c r="D135" s="254" t="n"/>
    </row>
    <row r="136" customFormat="1" s="188">
      <c r="D136" s="254" t="n"/>
    </row>
    <row r="137" customFormat="1" s="184">
      <c r="A137" s="212" t="inlineStr">
        <is>
          <t>#FINANCING_LIQUIDITY</t>
        </is>
      </c>
      <c r="B137" s="182" t="inlineStr">
        <is>
          <t>Custom AIF Identification</t>
        </is>
      </c>
      <c r="C137" s="213" t="inlineStr">
        <is>
          <t>Available financing amount</t>
        </is>
      </c>
      <c r="D137" s="213" t="inlineStr">
        <is>
          <t>Percentage of financing amount in 0 to 1 day</t>
        </is>
      </c>
      <c r="E137" s="213" t="inlineStr">
        <is>
          <t>Percentage of financing amount in 2 to 7 days</t>
        </is>
      </c>
      <c r="F137" s="213" t="inlineStr">
        <is>
          <t>Percentage of financing amount in 8 to 30 days</t>
        </is>
      </c>
      <c r="G137" s="213" t="inlineStr">
        <is>
          <t>Percentage of financing amount in 31 to 90 days</t>
        </is>
      </c>
      <c r="H137" s="213" t="inlineStr">
        <is>
          <t>Percentage of financing amount in 91 to 180 days</t>
        </is>
      </c>
      <c r="I137" s="213" t="inlineStr">
        <is>
          <t>Percentage of financing amount in 181 to 365 days</t>
        </is>
      </c>
      <c r="J137" s="213" t="inlineStr">
        <is>
          <t>Percentage of financing amount longer than 365 days</t>
        </is>
      </c>
      <c r="K137" s="181" t="n"/>
      <c r="L137" s="181" t="n"/>
      <c r="M137" s="181" t="n"/>
    </row>
    <row r="138">
      <c r="A138" s="214" t="inlineStr">
        <is>
          <t>#AIF fieldnumbers →</t>
        </is>
      </c>
      <c r="B138" s="191" t="inlineStr">
        <is>
          <t>AIF_ID</t>
        </is>
      </c>
      <c r="C138" s="215" t="n">
        <v>210</v>
      </c>
      <c r="D138" s="215" t="n">
        <v>211</v>
      </c>
      <c r="E138" s="215" t="n">
        <v>212</v>
      </c>
      <c r="F138" s="215" t="n">
        <v>213</v>
      </c>
      <c r="G138" s="215" t="n">
        <v>214</v>
      </c>
      <c r="H138" s="215" t="n">
        <v>215</v>
      </c>
      <c r="I138" s="215" t="n">
        <v>216</v>
      </c>
      <c r="J138" s="215" t="n">
        <v>217</v>
      </c>
    </row>
    <row r="139" customFormat="1" s="188">
      <c r="C139" s="254" t="n"/>
      <c r="D139" s="254" t="n"/>
      <c r="E139" s="254" t="n"/>
      <c r="F139" s="254" t="n"/>
      <c r="G139" s="254" t="n"/>
      <c r="H139" s="254" t="n"/>
      <c r="I139" s="254" t="n"/>
      <c r="J139" s="254" t="n"/>
    </row>
    <row r="140" customFormat="1" s="188">
      <c r="C140" s="254" t="n"/>
      <c r="D140" s="254" t="n"/>
      <c r="E140" s="254" t="n"/>
      <c r="F140" s="254" t="n"/>
      <c r="G140" s="254" t="n"/>
      <c r="H140" s="254" t="n"/>
      <c r="I140" s="254" t="n"/>
      <c r="J140" s="254" t="n"/>
    </row>
    <row r="141" customFormat="1" s="188">
      <c r="C141" s="254" t="n"/>
      <c r="D141" s="254" t="n"/>
      <c r="E141" s="254" t="n"/>
      <c r="F141" s="254" t="n"/>
      <c r="G141" s="254" t="n"/>
      <c r="H141" s="254" t="n"/>
      <c r="I141" s="254" t="n"/>
      <c r="J141" s="254" t="n"/>
    </row>
    <row r="142" customFormat="1" s="188">
      <c r="C142" s="219" t="n"/>
      <c r="D142" s="254" t="n"/>
      <c r="E142" s="254" t="n"/>
      <c r="F142" s="254" t="n"/>
      <c r="G142" s="254" t="n"/>
      <c r="H142" s="254" t="n"/>
      <c r="I142" s="254" t="n"/>
      <c r="J142" s="254" t="n"/>
    </row>
    <row r="143" customFormat="1" s="184">
      <c r="A143" s="212" t="inlineStr">
        <is>
          <t>#HISTORICAL_RISK_PROFILE</t>
        </is>
      </c>
      <c r="B143" s="182" t="inlineStr">
        <is>
          <t>Custom AIF Identification</t>
        </is>
      </c>
      <c r="C143" s="213" t="inlineStr">
        <is>
          <t>Month</t>
        </is>
      </c>
      <c r="D143" s="213" t="inlineStr">
        <is>
          <t>Percentage of gross investment returns</t>
        </is>
      </c>
      <c r="E143" s="213" t="inlineStr">
        <is>
          <t>Percentage of net investment returns</t>
        </is>
      </c>
      <c r="F143" s="213" t="inlineStr">
        <is>
          <t>Percentage of NAV change</t>
        </is>
      </c>
      <c r="G143" s="213" t="inlineStr">
        <is>
          <t>Subscriptions in base currency</t>
        </is>
      </c>
      <c r="H143" s="213" t="inlineStr">
        <is>
          <t>Redemptions  in base currency</t>
        </is>
      </c>
      <c r="I143" s="181" t="n"/>
      <c r="J143" s="181" t="n"/>
      <c r="K143" s="181" t="n"/>
      <c r="L143" s="181" t="n"/>
      <c r="M143" s="181" t="n"/>
    </row>
    <row r="144">
      <c r="A144" s="214" t="inlineStr">
        <is>
          <t>#AIF fieldnumbers →</t>
        </is>
      </c>
      <c r="B144" s="191" t="inlineStr">
        <is>
          <t>AIF_ID</t>
        </is>
      </c>
      <c r="C144" s="217" t="inlineStr">
        <is>
          <t>219-278</t>
        </is>
      </c>
      <c r="D144" s="217" t="inlineStr">
        <is>
          <t>219-230</t>
        </is>
      </c>
      <c r="E144" s="217" t="inlineStr">
        <is>
          <t>231-242</t>
        </is>
      </c>
      <c r="F144" s="217" t="inlineStr">
        <is>
          <t>243-254</t>
        </is>
      </c>
      <c r="G144" s="217" t="inlineStr">
        <is>
          <t>255-266</t>
        </is>
      </c>
      <c r="H144" s="217" t="inlineStr">
        <is>
          <t>267-278</t>
        </is>
      </c>
    </row>
    <row r="145" customFormat="1" s="188">
      <c r="A145" s="188" t="inlineStr">
        <is>
          <t>HISTORICAL_RISK_PROFILE</t>
        </is>
      </c>
      <c r="B145" s="188" t="inlineStr">
        <is>
          <t>Delta Value Fund</t>
        </is>
      </c>
      <c r="C145" s="220" t="n"/>
      <c r="D145" s="252">
        <f>F155</f>
        <v/>
      </c>
      <c r="E145" s="252">
        <f>F159</f>
        <v/>
      </c>
      <c r="F145" s="252">
        <f>F151</f>
        <v/>
      </c>
      <c r="G145" s="252">
        <f>I160</f>
        <v/>
      </c>
      <c r="H145" s="252">
        <f>I161</f>
        <v/>
      </c>
    </row>
    <row r="146" customFormat="1" s="188">
      <c r="C146" s="220" t="n"/>
      <c r="D146" s="254" t="n"/>
      <c r="E146" s="254" t="n"/>
      <c r="F146" s="254" t="n"/>
      <c r="G146" s="254" t="n"/>
      <c r="H146" s="254" t="n"/>
    </row>
    <row r="147" customFormat="1" s="188">
      <c r="C147" s="220" t="n"/>
      <c r="D147" s="254" t="n"/>
      <c r="E147" s="254" t="n"/>
      <c r="F147" s="195" t="n"/>
      <c r="G147" s="254" t="n"/>
      <c r="H147" s="254" t="n"/>
    </row>
    <row r="148" customFormat="1" s="188">
      <c r="A148" s="188" t="inlineStr">
        <is>
          <t>#ignore this line</t>
        </is>
      </c>
      <c r="C148" s="220" t="n"/>
      <c r="D148" s="254" t="inlineStr">
        <is>
          <t>current NAV</t>
        </is>
      </c>
      <c r="E148" s="256">
        <f>AC29</f>
        <v/>
      </c>
      <c r="F148" s="254" t="n"/>
      <c r="G148" s="254" t="inlineStr">
        <is>
          <t>current units</t>
        </is>
      </c>
      <c r="H148" s="242" t="n">
        <v>2576645433</v>
      </c>
    </row>
    <row r="149" customFormat="1" s="188">
      <c r="A149" s="188" t="inlineStr">
        <is>
          <t>#ignore this line</t>
        </is>
      </c>
      <c r="C149" s="220" t="n"/>
      <c r="D149" s="254" t="inlineStr">
        <is>
          <t>previous NAV</t>
        </is>
      </c>
      <c r="E149" s="242">
        <f>1000000*178823</f>
        <v/>
      </c>
      <c r="F149" s="254" t="n"/>
      <c r="G149" s="254" t="inlineStr">
        <is>
          <t>previous units</t>
        </is>
      </c>
      <c r="H149" s="242" t="n">
        <v>2553845113</v>
      </c>
    </row>
    <row r="150" customFormat="1" s="188">
      <c r="A150" s="188" t="inlineStr">
        <is>
          <t>#ignore this line</t>
        </is>
      </c>
      <c r="C150" s="220" t="n"/>
      <c r="D150" s="238" t="inlineStr">
        <is>
          <t>absolute diffence NAV</t>
        </is>
      </c>
      <c r="E150" s="244">
        <f>E148-E149</f>
        <v/>
      </c>
      <c r="F150" s="246" t="inlineStr">
        <is>
          <t>per quarter</t>
        </is>
      </c>
      <c r="G150" s="238" t="inlineStr">
        <is>
          <t>diffence units</t>
        </is>
      </c>
      <c r="H150" s="244" t="n">
        <v>443651241</v>
      </c>
    </row>
    <row r="151" customFormat="1" s="188">
      <c r="A151" s="188" t="inlineStr">
        <is>
          <t>#ignore this line</t>
        </is>
      </c>
      <c r="C151" s="220" t="n"/>
      <c r="D151" s="240" t="inlineStr">
        <is>
          <t>percentage change NAV</t>
        </is>
      </c>
      <c r="E151" s="244">
        <f>E150/E149*100</f>
        <v/>
      </c>
      <c r="F151" s="247">
        <f>E151</f>
        <v/>
      </c>
      <c r="G151" s="254" t="n"/>
      <c r="H151" s="254" t="n"/>
    </row>
    <row r="152" customFormat="1" s="188">
      <c r="A152" s="188" t="inlineStr">
        <is>
          <t>#ignore this line</t>
        </is>
      </c>
      <c r="C152" s="220" t="n"/>
      <c r="D152" s="254" t="n"/>
      <c r="E152" s="254" t="n"/>
      <c r="F152" s="246" t="n"/>
      <c r="G152" s="254" t="inlineStr">
        <is>
          <t>current unit NAV</t>
        </is>
      </c>
      <c r="H152" s="242">
        <f>E148/H148</f>
        <v/>
      </c>
    </row>
    <row r="153" customFormat="1" s="188">
      <c r="A153" s="188" t="inlineStr">
        <is>
          <t>#ignore this line</t>
        </is>
      </c>
      <c r="C153" s="220" t="n"/>
      <c r="D153" s="254" t="n"/>
      <c r="E153" s="254" t="n"/>
      <c r="F153" s="246" t="n"/>
      <c r="G153" s="254" t="inlineStr">
        <is>
          <t>previous unit NAV</t>
        </is>
      </c>
      <c r="H153" s="242">
        <f>E149/H149</f>
        <v/>
      </c>
    </row>
    <row r="154" customFormat="1" s="188">
      <c r="A154" s="188" t="inlineStr">
        <is>
          <t>#ignore this line</t>
        </is>
      </c>
      <c r="C154" s="220" t="n"/>
      <c r="D154" s="238" t="inlineStr">
        <is>
          <t>Gross return</t>
        </is>
      </c>
      <c r="E154" s="245">
        <f>E150-H156+H158</f>
        <v/>
      </c>
      <c r="F154" s="248" t="n"/>
      <c r="G154" s="238" t="inlineStr">
        <is>
          <t>average price</t>
        </is>
      </c>
      <c r="H154" s="244">
        <f>AVERAGE(H152:H153)</f>
        <v/>
      </c>
    </row>
    <row r="155" customFormat="1" s="188">
      <c r="A155" s="188" t="inlineStr">
        <is>
          <t>#ignore this line</t>
        </is>
      </c>
      <c r="D155" s="238" t="inlineStr">
        <is>
          <t>Gross return in percent</t>
        </is>
      </c>
      <c r="E155" s="245">
        <f>E154/E149*100</f>
        <v/>
      </c>
      <c r="F155" s="247">
        <f>E155</f>
        <v/>
      </c>
      <c r="G155" s="254" t="n"/>
      <c r="H155" s="254" t="n"/>
    </row>
    <row r="156" customFormat="1" s="188">
      <c r="A156" s="188" t="inlineStr">
        <is>
          <t>#ignore this line</t>
        </is>
      </c>
      <c r="C156" s="220" t="n"/>
      <c r="D156" s="254" t="n"/>
      <c r="E156" s="254" t="n"/>
      <c r="F156" s="246" t="n"/>
      <c r="G156" s="241" t="inlineStr">
        <is>
          <t>Net in/out flow investments</t>
        </is>
      </c>
      <c r="H156" s="245">
        <f>H150*H154</f>
        <v/>
      </c>
    </row>
    <row r="157" customFormat="1" s="188">
      <c r="A157" s="188" t="inlineStr">
        <is>
          <t>#ignore this line</t>
        </is>
      </c>
      <c r="C157" s="220" t="n"/>
      <c r="D157" s="254" t="inlineStr">
        <is>
          <t>Operating expenses</t>
        </is>
      </c>
      <c r="E157" s="242">
        <f>1000000*1794</f>
        <v/>
      </c>
      <c r="F157" s="246" t="n"/>
      <c r="G157" s="254" t="n"/>
      <c r="H157" s="254" t="n"/>
    </row>
    <row r="158" customFormat="1" s="188">
      <c r="A158" s="188" t="inlineStr">
        <is>
          <t>#ignore this line</t>
        </is>
      </c>
      <c r="C158" s="220" t="n"/>
      <c r="D158" s="239" t="inlineStr">
        <is>
          <t>Net return</t>
        </is>
      </c>
      <c r="E158" s="245">
        <f>E154-E157</f>
        <v/>
      </c>
      <c r="F158" s="246" t="n"/>
      <c r="G158" s="188" t="inlineStr">
        <is>
          <t>Distributions</t>
        </is>
      </c>
      <c r="H158" s="242">
        <f>1000000*3476</f>
        <v/>
      </c>
    </row>
    <row r="159" customFormat="1" s="188">
      <c r="A159" s="188" t="inlineStr">
        <is>
          <t>#ignore this line</t>
        </is>
      </c>
      <c r="C159" s="220" t="n"/>
      <c r="D159" s="241" t="inlineStr">
        <is>
          <t>Net return in percent</t>
        </is>
      </c>
      <c r="E159" s="245">
        <f>E158/E149*100</f>
        <v/>
      </c>
      <c r="F159" s="247">
        <f>E159</f>
        <v/>
      </c>
      <c r="G159" s="254" t="n"/>
      <c r="H159" s="254" t="n"/>
      <c r="I159" s="249" t="inlineStr">
        <is>
          <t>per quarter</t>
        </is>
      </c>
    </row>
    <row r="160" customFormat="1" s="188">
      <c r="A160" s="188" t="inlineStr">
        <is>
          <t>#ignore this line</t>
        </is>
      </c>
      <c r="C160" s="220" t="n"/>
      <c r="D160" s="254" t="n"/>
      <c r="E160" s="254" t="n"/>
      <c r="F160" s="254" t="n"/>
      <c r="G160" s="195" t="inlineStr">
        <is>
          <t>Subscriptions</t>
        </is>
      </c>
      <c r="H160" s="243">
        <f>IF(H156&gt;0,H156,0)</f>
        <v/>
      </c>
      <c r="I160" s="250">
        <f>H160/2</f>
        <v/>
      </c>
    </row>
    <row r="161" customFormat="1" s="188">
      <c r="A161" s="188" t="inlineStr">
        <is>
          <t>#ignore this line</t>
        </is>
      </c>
      <c r="C161" s="220" t="n"/>
      <c r="D161" s="254" t="n"/>
      <c r="E161" s="254" t="n"/>
      <c r="F161" s="254" t="n"/>
      <c r="G161" s="195" t="inlineStr">
        <is>
          <t>Redemptions</t>
        </is>
      </c>
      <c r="H161" s="243">
        <f>IF(H156&lt;0,-H156,0)+H158</f>
        <v/>
      </c>
      <c r="I161" s="250">
        <f>H161/2</f>
        <v/>
      </c>
    </row>
    <row r="162" customFormat="1" s="188">
      <c r="C162" s="220" t="n"/>
      <c r="D162" s="254" t="n"/>
      <c r="E162" s="254" t="n"/>
      <c r="F162" s="254" t="n"/>
    </row>
    <row r="163" customFormat="1" s="184">
      <c r="A163" s="182" t="inlineStr">
        <is>
          <t>#STRESS_TEST</t>
        </is>
      </c>
      <c r="B163" s="182" t="inlineStr">
        <is>
          <t>Custom AIF Identification</t>
        </is>
      </c>
      <c r="C163" s="182" t="inlineStr">
        <is>
          <t>Results of stress tests performed in accordance with point(b) of Article 15(3)</t>
        </is>
      </c>
      <c r="D163" s="182" t="inlineStr">
        <is>
          <t>Results of stress tests performed in accordance with the second subparagraph of Article 16(1)</t>
        </is>
      </c>
      <c r="E163" s="251" t="n"/>
    </row>
    <row r="164">
      <c r="A164" s="185" t="inlineStr">
        <is>
          <t>#AIF fieldnumbers →</t>
        </is>
      </c>
      <c r="B164" s="191" t="inlineStr">
        <is>
          <t>AIF_ID</t>
        </is>
      </c>
      <c r="C164" s="185" t="n">
        <v>279</v>
      </c>
      <c r="D164" s="185" t="n">
        <v>280</v>
      </c>
    </row>
    <row r="165" customFormat="1" s="188">
      <c r="A165" s="208" t="inlineStr">
        <is>
          <t>STRESS_TEST</t>
        </is>
      </c>
      <c r="B165" s="208" t="inlineStr">
        <is>
          <t>Delta Value Fund</t>
        </is>
      </c>
      <c r="C165" s="138" t="inlineStr">
        <is>
          <t>Not applicable</t>
        </is>
      </c>
      <c r="D165" s="138" t="inlineStr">
        <is>
          <t>Not applicable</t>
        </is>
      </c>
    </row>
    <row r="166" customFormat="1" s="188">
      <c r="C166" s="139" t="n"/>
      <c r="D166" s="139" t="n"/>
    </row>
    <row r="167" customFormat="1" s="188">
      <c r="C167" s="139" t="n"/>
      <c r="D167" s="139" t="n"/>
    </row>
    <row r="168" customFormat="1" s="188">
      <c r="C168" s="139" t="n"/>
      <c r="D168" s="139" t="n"/>
    </row>
    <row r="169" customFormat="1" s="188">
      <c r="C169" s="139" t="n"/>
      <c r="D169" s="139" t="n"/>
    </row>
    <row r="170" customFormat="1" s="188">
      <c r="C170" s="139" t="n"/>
      <c r="D170" s="139" t="n"/>
    </row>
    <row r="171" customFormat="1" s="188">
      <c r="C171" s="139" t="n"/>
      <c r="D171" s="139" t="n"/>
    </row>
    <row r="172" customFormat="1" s="188">
      <c r="C172" s="139" t="n"/>
      <c r="D172" s="139" t="n"/>
    </row>
    <row r="173" customFormat="1" s="29">
      <c r="A173" s="182" t="inlineStr">
        <is>
          <t>#FINANCE</t>
        </is>
      </c>
      <c r="B173" s="182" t="inlineStr">
        <is>
          <t>Custom AIF Identification</t>
        </is>
      </c>
      <c r="C173" s="182" t="inlineStr">
        <is>
          <t>Rehypothecation flag</t>
        </is>
      </c>
      <c r="D173" s="182" t="inlineStr">
        <is>
          <t>Rehypothecated percentage of collateral amount posted to all counterparties</t>
        </is>
      </c>
      <c r="E173" s="182" t="inlineStr">
        <is>
          <t>Unsecured cash borrowing amount</t>
        </is>
      </c>
      <c r="F173" s="182" t="inlineStr">
        <is>
          <t>Collaterised/secured cash borrowing via prime broker amount</t>
        </is>
      </c>
      <c r="G173" s="182" t="inlineStr">
        <is>
          <t>Collaterised/secured cash borrowing via reverse repo amount</t>
        </is>
      </c>
      <c r="H173" s="182" t="inlineStr">
        <is>
          <t>Collaterised/secured cash borrowing via other amount</t>
        </is>
      </c>
      <c r="I173" s="182" t="inlineStr">
        <is>
          <t>Exchange traded derivatives exposure amount</t>
        </is>
      </c>
      <c r="J173" s="182" t="inlineStr">
        <is>
          <t>OTC derivatives exposure amount</t>
        </is>
      </c>
      <c r="K173" s="182" t="inlineStr">
        <is>
          <t>Short position borrowed securities value</t>
        </is>
      </c>
      <c r="L173" s="182" t="inlineStr">
        <is>
          <t>Leverage under gross method</t>
        </is>
      </c>
      <c r="M173" s="182" t="inlineStr">
        <is>
          <t>Leverage under commitment method</t>
        </is>
      </c>
    </row>
    <row r="174" customFormat="1" s="221">
      <c r="A174" s="185" t="inlineStr">
        <is>
          <t>#AIF fieldnumbers →</t>
        </is>
      </c>
      <c r="B174" s="191" t="inlineStr">
        <is>
          <t>AIF_ID</t>
        </is>
      </c>
      <c r="C174" s="185" t="n">
        <v>281</v>
      </c>
      <c r="D174" s="185" t="n">
        <v>282</v>
      </c>
      <c r="E174" s="185" t="n">
        <v>283</v>
      </c>
      <c r="F174" s="185" t="n">
        <v>284</v>
      </c>
      <c r="G174" s="185" t="n">
        <v>285</v>
      </c>
      <c r="H174" s="185" t="n">
        <v>286</v>
      </c>
      <c r="I174" s="185" t="n">
        <v>287</v>
      </c>
      <c r="J174" s="185" t="n">
        <v>288</v>
      </c>
      <c r="K174" s="185" t="n">
        <v>289</v>
      </c>
      <c r="L174" s="185" t="n">
        <v>294</v>
      </c>
      <c r="M174" s="185" t="n">
        <v>295</v>
      </c>
    </row>
    <row r="175" customFormat="1" s="188">
      <c r="D175" s="254" t="n"/>
      <c r="E175" s="254" t="n"/>
      <c r="F175" s="254" t="n"/>
      <c r="G175" s="254" t="n"/>
      <c r="H175" s="254" t="n"/>
      <c r="I175" s="254" t="n"/>
      <c r="J175" s="254" t="n"/>
      <c r="K175" s="254" t="n"/>
      <c r="L175" s="254" t="n"/>
      <c r="M175" s="254" t="n"/>
    </row>
    <row r="176" customFormat="1" s="188">
      <c r="D176" s="254" t="n"/>
      <c r="E176" s="254" t="n"/>
      <c r="F176" s="254" t="n"/>
      <c r="G176" s="254" t="n"/>
      <c r="H176" s="254" t="n"/>
      <c r="I176" s="254" t="n"/>
      <c r="J176" s="254" t="n"/>
      <c r="K176" s="254" t="n"/>
      <c r="L176" s="254" t="n"/>
      <c r="M176" s="254" t="n"/>
    </row>
    <row r="177" customFormat="1" s="188">
      <c r="D177" s="254" t="n"/>
      <c r="E177" s="254" t="n"/>
      <c r="F177" s="254" t="n"/>
      <c r="G177" s="254" t="n"/>
      <c r="H177" s="254" t="n"/>
      <c r="I177" s="254" t="n"/>
      <c r="J177" s="254" t="n"/>
      <c r="K177" s="254" t="n"/>
      <c r="L177" s="254" t="n"/>
      <c r="M177" s="254" t="n"/>
    </row>
    <row r="178" customFormat="1" s="188">
      <c r="D178" s="254" t="n"/>
      <c r="E178" s="254" t="n"/>
      <c r="F178" s="254" t="n"/>
      <c r="G178" s="254" t="n"/>
      <c r="H178" s="254" t="n"/>
      <c r="I178" s="254" t="n"/>
      <c r="J178" s="254" t="n"/>
      <c r="K178" s="254" t="n"/>
      <c r="L178" s="254" t="n"/>
      <c r="M178" s="254" t="n"/>
    </row>
    <row r="179" customFormat="1" s="188">
      <c r="D179" s="254" t="n"/>
      <c r="E179" s="254" t="n"/>
      <c r="F179" s="254" t="n"/>
      <c r="G179" s="254" t="n"/>
      <c r="H179" s="254" t="n"/>
      <c r="I179" s="254" t="n"/>
      <c r="J179" s="254" t="n"/>
      <c r="K179" s="254" t="n"/>
      <c r="L179" s="254" t="n"/>
      <c r="M179" s="254" t="n"/>
    </row>
    <row r="180" customFormat="1" s="188">
      <c r="D180" s="254" t="n"/>
      <c r="E180" s="254" t="n"/>
      <c r="F180" s="254" t="n"/>
      <c r="G180" s="254" t="n"/>
      <c r="H180" s="254" t="n"/>
      <c r="I180" s="254" t="n"/>
      <c r="J180" s="254" t="n"/>
      <c r="K180" s="254" t="n"/>
      <c r="L180" s="254" t="n"/>
      <c r="M180" s="254" t="n"/>
    </row>
    <row r="181" customFormat="1" s="188">
      <c r="D181" s="254" t="n"/>
      <c r="E181" s="254" t="n"/>
      <c r="F181" s="254" t="n"/>
      <c r="G181" s="254" t="n"/>
      <c r="H181" s="254" t="n"/>
      <c r="I181" s="254" t="n"/>
      <c r="J181" s="254" t="n"/>
      <c r="K181" s="254" t="n"/>
      <c r="L181" s="254" t="n"/>
      <c r="M181" s="254" t="n"/>
    </row>
    <row r="182">
      <c r="A182" s="182" t="inlineStr">
        <is>
          <t>#CONTROLLED_STRUCTURE</t>
        </is>
      </c>
      <c r="B182" s="182" t="inlineStr">
        <is>
          <t>Custom AIF Identification</t>
        </is>
      </c>
      <c r="C182" s="182" t="inlineStr">
        <is>
          <t>Controlled structure Name</t>
        </is>
      </c>
      <c r="D182" s="182" t="inlineStr">
        <is>
          <t>Controlled structure LEI code</t>
        </is>
      </c>
      <c r="E182" s="182" t="inlineStr">
        <is>
          <t>Controlled structure BIC code</t>
        </is>
      </c>
      <c r="F182" s="182" t="inlineStr">
        <is>
          <t>Controlled structure Exposure value</t>
        </is>
      </c>
    </row>
    <row r="183">
      <c r="A183" s="185" t="inlineStr">
        <is>
          <t>#AIF fieldnumbers →</t>
        </is>
      </c>
      <c r="B183" s="191" t="inlineStr">
        <is>
          <t>AIF_ID</t>
        </is>
      </c>
      <c r="C183" s="185" t="n">
        <v>290</v>
      </c>
      <c r="D183" s="185" t="n">
        <v>291</v>
      </c>
      <c r="E183" s="185" t="n">
        <v>292</v>
      </c>
      <c r="F183" s="185" t="n">
        <v>293</v>
      </c>
    </row>
    <row r="184" customFormat="1" s="188">
      <c r="F184" s="195" t="n"/>
    </row>
    <row r="185" customFormat="1" s="188">
      <c r="F185" s="195" t="n"/>
    </row>
    <row r="186" customFormat="1" s="188">
      <c r="F186" s="195" t="n"/>
    </row>
    <row r="187" customFormat="1" s="188">
      <c r="F187" s="195" t="n"/>
    </row>
    <row r="188" customFormat="1" s="188">
      <c r="F188" s="195" t="n"/>
    </row>
    <row r="189" customFormat="1" s="188">
      <c r="F189" s="195" t="n"/>
    </row>
    <row r="190" customFormat="1" s="188">
      <c r="F190" s="195" t="n"/>
    </row>
    <row r="191">
      <c r="A191" s="182" t="inlineStr">
        <is>
          <t>#BORROW_SOURCE</t>
        </is>
      </c>
      <c r="B191" s="182" t="inlineStr">
        <is>
          <t>Custom AIF Identification</t>
        </is>
      </c>
      <c r="C191" s="182" t="inlineStr">
        <is>
          <t>Name of the source</t>
        </is>
      </c>
      <c r="D191" s="182" t="inlineStr">
        <is>
          <t>LEI code of the source</t>
        </is>
      </c>
      <c r="E191" s="182" t="inlineStr">
        <is>
          <t>BIC code of the source</t>
        </is>
      </c>
      <c r="F191" s="182" t="inlineStr">
        <is>
          <t>Received leverage amount</t>
        </is>
      </c>
    </row>
    <row r="192">
      <c r="A192" s="185" t="inlineStr">
        <is>
          <t>#AIF fieldnumbers →</t>
        </is>
      </c>
      <c r="B192" s="191" t="inlineStr">
        <is>
          <t>AIF_ID</t>
        </is>
      </c>
      <c r="C192" s="185" t="n">
        <v>298</v>
      </c>
      <c r="D192" s="185" t="n">
        <v>299</v>
      </c>
      <c r="E192" s="185" t="n">
        <v>300</v>
      </c>
      <c r="F192" s="185" t="n">
        <v>301</v>
      </c>
    </row>
    <row r="193" customFormat="1" s="188">
      <c r="B193" s="208" t="n"/>
      <c r="F193" s="195" t="n"/>
    </row>
    <row r="194" customFormat="1" s="188">
      <c r="B194" s="208" t="n"/>
      <c r="F194" s="195" t="n"/>
    </row>
    <row r="195" customFormat="1" s="188">
      <c r="B195" s="208" t="n"/>
      <c r="F195" s="195" t="n"/>
    </row>
    <row r="196" customFormat="1" s="188">
      <c r="B196" s="208" t="n"/>
      <c r="F196" s="195" t="n"/>
    </row>
    <row r="197" customFormat="1" s="188">
      <c r="B197" s="208" t="n"/>
      <c r="F197" s="195" t="n"/>
    </row>
    <row r="198" customFormat="1" s="188">
      <c r="B198" s="208" t="n"/>
      <c r="F198" s="195" t="n"/>
    </row>
    <row r="199" customFormat="1" s="188">
      <c r="B199" s="208" t="n"/>
      <c r="F199" s="195" t="n"/>
    </row>
    <row r="200" customFormat="1" s="188">
      <c r="B200" s="208" t="n"/>
      <c r="F200" s="195" t="n"/>
    </row>
    <row r="201" customFormat="1" s="188">
      <c r="B201" s="208" t="n"/>
      <c r="F201" s="195" t="n"/>
    </row>
    <row r="202" customFormat="1" s="188">
      <c r="B202" s="208" t="n"/>
      <c r="F202" s="195" t="n"/>
    </row>
    <row r="203" customFormat="1" s="188">
      <c r="B203" s="208" t="n"/>
      <c r="F203" s="195" t="n"/>
    </row>
    <row r="204" customFormat="1" s="188">
      <c r="B204" s="208" t="n"/>
      <c r="F204" s="195" t="n"/>
    </row>
    <row r="205" customFormat="1" s="188">
      <c r="B205" s="208" t="n"/>
      <c r="F205" s="195" t="n"/>
    </row>
    <row r="206" customFormat="1" s="188">
      <c r="B206" s="208" t="n"/>
      <c r="F206" s="195" t="n"/>
    </row>
    <row r="207" customFormat="1" s="188">
      <c r="B207" s="208" t="n"/>
      <c r="F207" s="195" t="n"/>
    </row>
    <row r="208" customFormat="1" s="223">
      <c r="A208" s="222" t="inlineStr">
        <is>
          <t>#END OF REGULAR TEMPLATE</t>
        </is>
      </c>
      <c r="B208" s="222" t="n"/>
      <c r="C208" s="222" t="n"/>
      <c r="D208" s="222" t="n"/>
      <c r="E208" s="222" t="inlineStr">
        <is>
          <t>#END OF REGULAR TEMPLATE</t>
        </is>
      </c>
      <c r="F208" s="222" t="n"/>
      <c r="G208" s="222" t="n"/>
      <c r="H208" s="222" t="n"/>
      <c r="I208" s="222" t="n"/>
      <c r="J208" s="222" t="inlineStr">
        <is>
          <t>#END OF REGULAR TEMPLATE</t>
        </is>
      </c>
      <c r="K208" s="222" t="n"/>
      <c r="L208" s="222" t="n"/>
      <c r="M208" s="222" t="n"/>
      <c r="N208" s="222" t="n"/>
      <c r="P208" s="222" t="inlineStr">
        <is>
          <t>#END OF REGULAR TEMPLATE</t>
        </is>
      </c>
    </row>
    <row r="209"/>
    <row r="210">
      <c r="A210" s="182" t="inlineStr">
        <is>
          <t>#CUSTOM_FX_RATE</t>
        </is>
      </c>
      <c r="B210" s="182" t="inlineStr">
        <is>
          <t>Value Date</t>
        </is>
      </c>
      <c r="C210" s="182" t="inlineStr">
        <is>
          <t>Currency</t>
        </is>
      </c>
      <c r="D210" s="182" t="inlineStr">
        <is>
          <t>Currency / EUR FX rate</t>
        </is>
      </c>
      <c r="E210" s="182" t="inlineStr">
        <is>
          <t>Rate type</t>
        </is>
      </c>
      <c r="F210" s="182" t="inlineStr">
        <is>
          <t>Description</t>
        </is>
      </c>
    </row>
    <row r="211">
      <c r="A211" s="185" t="inlineStr">
        <is>
          <t>#AIF fieldnumbers →</t>
        </is>
      </c>
      <c r="B211" s="185" t="inlineStr">
        <is>
          <t>FX_DATE</t>
        </is>
      </c>
      <c r="C211" s="185" t="n">
        <v>49</v>
      </c>
      <c r="D211" s="185" t="n">
        <v>50</v>
      </c>
      <c r="E211" s="185" t="n">
        <v>51</v>
      </c>
      <c r="F211" s="185" t="n">
        <v>52</v>
      </c>
    </row>
    <row r="212" customFormat="1" s="188">
      <c r="A212" s="188" t="inlineStr">
        <is>
          <t>#ignore this line</t>
        </is>
      </c>
      <c r="B212" s="235" t="inlineStr">
        <is>
          <t>2024-12-31</t>
        </is>
      </c>
      <c r="C212" s="188" t="inlineStr">
        <is>
          <t>HKD</t>
        </is>
      </c>
      <c r="D212" s="224" t="n"/>
      <c r="E212" s="188" t="inlineStr">
        <is>
          <t>ECB</t>
        </is>
      </c>
      <c r="F212" s="139" t="n"/>
    </row>
    <row r="213" customFormat="1" s="188">
      <c r="B213" s="235" t="n"/>
      <c r="D213" s="224" t="n"/>
      <c r="F213" s="139" t="n"/>
    </row>
    <row r="214" customFormat="1" s="188">
      <c r="B214" s="235" t="n"/>
      <c r="D214" s="224" t="n"/>
      <c r="F214" s="139" t="n"/>
    </row>
    <row r="215" customFormat="1" s="188">
      <c r="B215" s="235" t="n"/>
      <c r="D215" s="224" t="n"/>
      <c r="F215" s="139" t="n"/>
    </row>
    <row r="216" customFormat="1" s="188">
      <c r="B216" s="235" t="n"/>
      <c r="D216" s="224" t="n"/>
      <c r="F216" s="139" t="n"/>
    </row>
    <row r="217">
      <c r="A217" s="182" t="inlineStr">
        <is>
          <t>#AIF_EXTERNAL</t>
        </is>
      </c>
      <c r="B217" s="182" t="inlineStr">
        <is>
          <t>Custom AIF Identification</t>
        </is>
      </c>
      <c r="C217" s="183" t="inlineStr">
        <is>
          <t>Reporting Period Start Date (Legacy)</t>
        </is>
      </c>
      <c r="D217" s="183" t="inlineStr">
        <is>
          <t>Reporting Period End Date (Legacy)</t>
        </is>
      </c>
      <c r="E217" s="183" t="inlineStr">
        <is>
          <t>(Legacy) Reporting Period Type</t>
        </is>
      </c>
      <c r="F217" s="183" t="inlineStr">
        <is>
          <t>(Legacy) Reporting Period Year</t>
        </is>
      </c>
      <c r="G217" s="182" t="inlineStr">
        <is>
          <t>Base currency of the AIF</t>
        </is>
      </c>
      <c r="H217" s="182" t="inlineStr">
        <is>
          <t>Total AuM amount of the AIF in base currency</t>
        </is>
      </c>
    </row>
    <row r="218">
      <c r="A218" s="185" t="inlineStr">
        <is>
          <t>#AIF fieldnumbers →</t>
        </is>
      </c>
      <c r="B218" s="191" t="inlineStr">
        <is>
          <t>AIF_ID</t>
        </is>
      </c>
      <c r="C218" s="185" t="n">
        <v>6</v>
      </c>
      <c r="D218" s="185" t="n">
        <v>7</v>
      </c>
      <c r="E218" s="185" t="n">
        <v>8</v>
      </c>
      <c r="F218" s="185" t="n">
        <v>9</v>
      </c>
      <c r="G218" s="185" t="n">
        <v>49</v>
      </c>
      <c r="H218" s="185" t="n">
        <v>48</v>
      </c>
    </row>
    <row r="219" customFormat="1" s="188">
      <c r="B219" s="192" t="n"/>
      <c r="F219" s="189" t="n"/>
      <c r="H219" s="195" t="n"/>
    </row>
    <row r="220" customFormat="1" s="188">
      <c r="B220" s="192" t="n"/>
      <c r="F220" s="189" t="n"/>
      <c r="H220" s="195" t="n"/>
    </row>
    <row r="221" customFormat="1" s="188">
      <c r="B221" s="192" t="n"/>
      <c r="F221" s="189" t="n"/>
      <c r="H221" s="195" t="n"/>
    </row>
    <row r="222" customFormat="1" s="188">
      <c r="B222" s="192" t="n"/>
      <c r="F222" s="189" t="n"/>
      <c r="H222" s="195" t="n"/>
    </row>
    <row r="223">
      <c r="A223" s="182" t="inlineStr">
        <is>
          <t>#POSITION_EXTERNAL</t>
        </is>
      </c>
      <c r="B223" s="182" t="inlineStr">
        <is>
          <t>Custom AIF Identification</t>
        </is>
      </c>
      <c r="C223" s="182" t="inlineStr">
        <is>
          <t>Sub-Asset Type</t>
        </is>
      </c>
      <c r="D223" s="182" t="inlineStr">
        <is>
          <t>Market Type Code</t>
        </is>
      </c>
      <c r="E223" s="182" t="inlineStr">
        <is>
          <t xml:space="preserve">Market Identifier Code (MIC) </t>
        </is>
      </c>
      <c r="F223" s="182" t="inlineStr">
        <is>
          <t>Position value (Article 2 AIFMD)</t>
        </is>
      </c>
    </row>
    <row r="224">
      <c r="A224" s="185" t="inlineStr">
        <is>
          <t>#AIF fieldnumbers →</t>
        </is>
      </c>
      <c r="B224" s="191" t="inlineStr">
        <is>
          <t>AIF_ID</t>
        </is>
      </c>
      <c r="C224" s="185" t="n">
        <v>65</v>
      </c>
      <c r="D224" s="200" t="inlineStr">
        <is>
          <t>106, 115</t>
        </is>
      </c>
      <c r="E224" s="200" t="inlineStr">
        <is>
          <t>69, 107, 116</t>
        </is>
      </c>
      <c r="F224" s="200" t="inlineStr">
        <is>
          <t>48, 76, 86-93, 98, 108, 117, 123-124, 129-130</t>
        </is>
      </c>
    </row>
    <row r="225" customFormat="1" s="188">
      <c r="B225" s="208" t="n"/>
      <c r="C225" s="198" t="n"/>
      <c r="E225" s="189" t="n"/>
      <c r="F225" s="202" t="n"/>
    </row>
    <row r="226" customFormat="1" s="188">
      <c r="B226" s="208" t="n"/>
      <c r="C226" s="198" t="n"/>
      <c r="E226" s="189" t="n"/>
      <c r="F226" s="202" t="n"/>
    </row>
    <row r="227" customFormat="1" s="188">
      <c r="B227" s="208" t="n"/>
      <c r="C227" s="198" t="n"/>
      <c r="E227" s="189" t="n"/>
      <c r="F227" s="202" t="n"/>
    </row>
    <row r="228" customFormat="1" s="188">
      <c r="B228" s="208" t="n"/>
      <c r="C228" s="198" t="n"/>
      <c r="E228" s="189" t="n"/>
      <c r="F228" s="202" t="n"/>
    </row>
    <row r="229" customFormat="1" s="188">
      <c r="B229" s="208" t="n"/>
      <c r="C229" s="198" t="n"/>
      <c r="E229" s="189" t="n"/>
      <c r="F229" s="202" t="n"/>
    </row>
    <row r="230" customFormat="1" s="188">
      <c r="B230" s="208" t="n"/>
      <c r="C230" s="198" t="n"/>
      <c r="E230" s="189" t="n"/>
      <c r="F230" s="202" t="n"/>
    </row>
    <row r="231" customFormat="1" s="188">
      <c r="B231" s="208" t="n"/>
      <c r="C231" s="198" t="n"/>
      <c r="E231" s="189" t="n"/>
      <c r="F231" s="202" t="n"/>
    </row>
    <row r="232" customFormat="1" s="188">
      <c r="B232" s="208" t="n"/>
      <c r="C232" s="198" t="n"/>
      <c r="E232" s="189" t="n"/>
      <c r="F232" s="202" t="n"/>
    </row>
    <row r="233" customFormat="1" s="226">
      <c r="A233" s="225" t="inlineStr">
        <is>
          <t>#END OF  TEMPLATE</t>
        </is>
      </c>
      <c r="B233" s="225" t="n"/>
      <c r="C233" s="225" t="n"/>
      <c r="D233" s="225" t="n"/>
      <c r="E233" s="225" t="inlineStr">
        <is>
          <t>#END OF  TEMPLATE</t>
        </is>
      </c>
      <c r="F233" s="225" t="n"/>
      <c r="G233" s="225" t="n"/>
      <c r="H233" s="225" t="n"/>
      <c r="I233" s="225" t="n"/>
      <c r="J233" s="225" t="inlineStr">
        <is>
          <t>#END OF  TEMPLATE</t>
        </is>
      </c>
      <c r="K233" s="225" t="n"/>
      <c r="L233" s="225" t="n"/>
      <c r="M233" s="225" t="n"/>
      <c r="N233" s="225" t="n"/>
      <c r="P233" s="225" t="inlineStr">
        <is>
          <t>#END OF  TEMPLATE</t>
        </is>
      </c>
    </row>
  </sheetData>
  <mergeCells count="2">
    <mergeCell ref="A4:B4"/>
    <mergeCell ref="A6:B6"/>
  </mergeCells>
  <dataValidations xWindow="110" yWindow="871" count="206">
    <dataValidation sqref="C175:C181"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C225:C232" showDropDown="0" showInputMessage="1" showErrorMessage="1" allowBlank="1" promptTitle="Mandatory" prompt="See Annex II table 1 for more information" type="list">
      <formula1>Fund65</formula1>
    </dataValidation>
    <dataValidation sqref="A12" showDropDown="0" showInputMessage="1" showErrorMessage="1" allowBlank="1" promptTitle="Mandatory" prompt="This describes the manager. Only one AIFM record allowed."/>
    <dataValidation sqref="A175:A181" showDropDown="0" showInputMessage="1" showErrorMessage="1" allowBlank="1" promptTitle="Conditional" prompt="The FINANCE record is mandatory for AIFs with content type 2, 4 and 5, and forbidden otherwise._x000a_Filled in with default values by the Matterhorn software if mandatory and not present." type="list">
      <formula1>"FINANCE,#ignore this line"</formula1>
    </dataValidation>
    <dataValidation sqref="K175:K181" showDropDown="0" showInputMessage="1" showErrorMessage="1" allowBlank="1" promptTitle="Optional" prompt="Value of securities borrowed for short positions._x000a__x000a_Amount expressed in base currency."/>
    <dataValidation sqref="L175:L181" showDropDown="0" showInputMessage="1" showErrorMessage="1" allowBlank="1" promptTitle="Optional" prompt="Leverage value of the AIF under gross method espressed as a percentage of the NAV._x000a__x000a_If empty, (AuM-Cash in base currency)/NAV*100 is used._x000a__x000a_Expressed as a percentage (entered here as a number, e.g. enter 1.23% as 1.23)."/>
    <dataValidation sqref="M175:M181" showDropDown="0" showInputMessage="1" showErrorMessage="1" allowBlank="1" promptTitle="Optional" prompt="Leverage value of the AIF under commitment method espressed as a percentage of the NAV._x000a__x000a_If empty, AuM/NAV*100 is used._x000a__x000a_Expressed as a percentage (entered here as a number, e.g. enter 1.23% as 1.23)."/>
    <dataValidation sqref="A46:A50"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C91:C97"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K91:K97" showDropDown="0" showInputMessage="1" showErrorMessage="1" allowBlank="1" promptTitle="Conditional" prompt="Mandatory for Risk Measure Type [138] equal to &quot;VAR&quot;,_x000a_forbidden otherwise._x000a__x000a_Expressed as a percentage (entered here as a number, e.g. enter 1.23% as 1.23)."/>
    <dataValidation sqref="L91:L97"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M91:M97" showDropDown="0" showInputMessage="1" showErrorMessage="1" allowBlank="1" promptTitle="Conditional" prompt="Free description._x000a__x000a_Mandatory when any Risk Measure Value [139-145, 302] is 0,_x000a_optional otherwise."/>
    <dataValidation sqref="C121:C126 C219:D222 D12 D62:D75 D100:D104 E29:F31 F100:F104 F219:F222 H29:H31 I129:I130 N29:N31 O12 Z29:Z31" showDropDown="0" showInputMessage="1" showErrorMessage="1" allowBlank="1" promptTitle="Legacy, not needed anymore." prompt="Legacy, not needed anymore."/>
    <dataValidation sqref="C39:C43" showDropDown="0" showInputMessage="1" showErrorMessage="1" allowBlank="1" promptTitle="Mandatory" prompt="AIF report:_x000a_Question number (also known as the Field number) this assumption refers to."/>
    <dataValidation sqref="D39:D43" showDropDown="0" showInputMessage="1" showErrorMessage="1" allowBlank="1" promptTitle="Mandatory" prompt="AIF report:_x000a_Free description for assumption."/>
    <dataValidation sqref="A20:A24" showDropDown="0" showInputMessage="1" showErrorMessage="1" allowBlank="1" promptTitle="Optional" prompt="AIFM_ASSUMPTION only required to if you want to list assumption on the AIFM report" type="list">
      <formula1>"AIFM_ASSUMPTION,#ignore this line"</formula1>
    </dataValidation>
    <dataValidation sqref="B16 C34:C36" showDropDown="0" showInputMessage="1" showErrorMessage="1" allowBlank="1" promptTitle="Mandatory" prompt="Country code of the State to which the AIFM reports the AIFMD reporting. Must be in EU/EEA or GB, GG or JE._x000a__x000a_2-character ISO-3166-1 country code." type="list">
      <formula1>EEC</formula1>
    </dataValidation>
    <dataValidation sqref="F12"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G12" showDropDown="0" showInputMessage="1" showErrorMessage="1" allowBlank="1" promptTitle="Mandatory" prompt="Reporting Year" type="list">
      <formula1>Both9</formula1>
    </dataValidation>
    <dataValidation sqref="H12" showDropDown="0" showInputMessage="1" showErrorMessage="1" allowBlank="1" promptTitle="Optional" prompt="See Annex II - Table 8 and 10 on our Reporting Application Help menu." type="list">
      <formula1>Both10</formula1>
    </dataValidation>
    <dataValidation sqref="C12"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B12 C29:C31"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A91:A97" showDropDown="0" showInputMessage="1" showErrorMessage="1" allowBlank="1" promptTitle="Conditional" prompt="The RISK record is optional for AIFs with content type 2 and 4, and forbidden otherwise." type="list">
      <formula1>"RISK,#ignore this line"</formula1>
    </dataValidation>
    <dataValidation sqref="I12" showDropDown="0" showInputMessage="1" showErrorMessage="1" allowBlank="1" promptTitle="Optional" prompt="See Annex II - Table 8 on our Reporting Application Help menu." type="list">
      <formula1>Manager11</formula1>
    </dataValidation>
    <dataValidation sqref="J12 K29:K31"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K12"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L12" showDropDown="0" showInputMessage="1" showErrorMessage="1" allowBlank="1" promptTitle="Mandatory" prompt="See tab: #DOC Reporting Code" type="list">
      <formula1>Manager16</formula1>
    </dataValidation>
    <dataValidation sqref="M12" showDropDown="0" showInputMessage="1" showErrorMessage="1" allowBlank="1" promptTitle="Mandatory" prompt="Jurisdiction in which the AIFM is established._x000a__x000a_2-character ISO-3166-1 country code." type="list">
      <formula1>AllCountries</formula1>
    </dataValidation>
    <dataValidation sqref="N12"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P12"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Q12 S29:S31" showDropDown="0" showInputMessage="1" showErrorMessage="1" allowBlank="1" promptTitle="Conditional" prompt="Mandatory when present in www.gleif.org"/>
    <dataValidation sqref="R12" showDropDown="0" showInputMessage="1" showErrorMessage="1" allowBlank="1" promptTitle="Optional" prompt="11 Character BIC code of the AIFM itself, not of the bank of the AIFM."/>
    <dataValidation sqref="G219:G222 AA29:AA31" showDropDown="0" showInputMessage="1" showErrorMessage="1" allowBlank="1" promptTitle="Mandatory" prompt="Base currency of the AIF" type="list">
      <formula1>AllCur</formula1>
    </dataValidation>
    <dataValidation sqref="B34:B36 B86:B88 B100:B104 B113:B118 B121:B126 B129:B130 B133:B134 B136 B145:B162 B175:B181" showDropDown="0" showInputMessage="1" showErrorMessage="1" allowBlank="1" promptTitle="Mandatory" prompt="Unique AIF id to which this record applies.  _x000a__x000a_Add new AIFs in the AIF section._x000a_" type="list">
      <formula1>AIF_ID</formula1>
    </dataValidation>
    <dataValidation sqref="F225:F232 O62:O75 P62:P71" showDropDown="0" showInputMessage="1" showErrorMessage="1" allowBlank="1" promptTitle="Mandatory" prompt="Position value expressed in base currency (as calculated under Article 2 AIFMD)._x000a__x000a_Value cannot be negative."/>
    <dataValidation sqref="B39:B43 B46:B50 B53:B54 B57:B59 B62:B75 B80:B83 B91:B97 B107:B110 B139:B142 B165:B172 B184:B190 B193:B207" showDropDown="0" showInputMessage="1" showErrorMessage="1" allowBlank="1" promptTitle="Mandatory" prompt="Unique AIF id to which this record applies.  _x000a__x000a_Add new AIFs in the AIF section." type="list">
      <formula1>AIF_ID</formula1>
    </dataValidation>
    <dataValidation sqref="B20:B24" showDropDown="0" showInputMessage="1" showErrorMessage="1" allowBlank="1" promptTitle="Mandatory" prompt="AIFM report:_x000a_Question number (also known as the Field number) this assumption refers to."/>
    <dataValidation sqref="C20:C24" showDropDown="0" showInputMessage="1" showErrorMessage="1" allowBlank="1" promptTitle="Mandatory" prompt="AIFM report:_x000a_Free description for assumption."/>
    <dataValidation sqref="D175:D181"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E175:E181" showDropDown="0" showInputMessage="1" showErrorMessage="1" allowBlank="1" promptTitle="Optional" prompt="Value of borrowings of cash or securities by unsecured cash borrowing. _x000a__x000a_Amount expressed in base currency."/>
    <dataValidation sqref="F175:F181" showDropDown="0" showInputMessage="1" showErrorMessage="1" allowBlank="1" promptTitle="Optional" prompt="Value of borrowings of cash or securities by collateralised/secured cash borrowing - via prime broker._x000a__x000a_Amount expressed in base currency."/>
    <dataValidation sqref="G175:G181" showDropDown="0" showInputMessage="1" showErrorMessage="1" allowBlank="1" promptTitle="Optional" prompt="Value of borrowings of cash or securities by collateralised/secured cash borrowing - via reverse repo._x000a__x000a_Amount expressed in base currency."/>
    <dataValidation sqref="H175:H181" showDropDown="0" showInputMessage="1" showErrorMessage="1" allowBlank="1" promptTitle="Optional" prompt="Value of borrowings of cash or securities by collateralised/secured cash borrowing - via other._x000a__x000a_Amount expressed in base currency."/>
    <dataValidation sqref="I175:I181" showDropDown="0" showInputMessage="1" showErrorMessage="1" allowBlank="1" promptTitle="Optional" prompt="Value of borrowing embedded in financial instruments by exchange traded derivatives (gross exposure less margin posted).  _x000a__x000a_Amount expressed in base currency."/>
    <dataValidation sqref="J175:J181" showDropDown="0" showInputMessage="1" showErrorMessage="1" allowBlank="1" promptTitle="Optional" prompt="Value of borrowing embedded in financial instruments by OTC derivatives (gross exposure less margin posted)._x000a__x000a_Amount expressed in base currency."/>
    <dataValidation sqref="A193:A207" showDropDown="0" showInputMessage="1" showErrorMessage="1" allowBlank="1" promptTitle="Conditional" prompt="The BORROW_SOURCE record is optional for AIFs with content type 4 and 5, and forbidden otherwise." type="list">
      <formula1>"BORROW_SOURCE,#ignore this line"</formula1>
    </dataValidation>
    <dataValidation sqref="C193:C207" showDropDown="0" showInputMessage="1" showErrorMessage="1" allowBlank="1" promptTitle="Mandatory" prompt="Entity name (no standard).  It is strongly recommended to provide the full name corresponding to the allocated LEI code (or BIC code if any and LEI not available)."/>
    <dataValidation sqref="D193:D207" showDropDown="0" showInputMessage="1" showErrorMessage="1" allowBlank="1" promptTitle="Optional" prompt="LEI Code borrow source"/>
    <dataValidation sqref="E193:E207" showDropDown="0" showInputMessage="1" showErrorMessage="1" allowBlank="1" promptTitle="Optional" prompt="11 Character BIC code (ISO 9362 standard)"/>
    <dataValidation sqref="F193:F207" showDropDown="0" showInputMessage="1" showErrorMessage="1" allowBlank="1" promptTitle="Mandatory" prompt="Received leverage amount expressed in base currency."/>
    <dataValidation sqref="C184:C190" showDropDown="0" showInputMessage="1" showErrorMessage="1" allowBlank="1" promptTitle="Mandatory" prompt="Entity name (no standard). It is strongly recommended to provide the full name corresponding to the allocated LEI code (or BIC code if any and LEI not available)."/>
    <dataValidation sqref="D184:D190" showDropDown="0" showInputMessage="1" showErrorMessage="1" allowBlank="1" promptTitle="Optional" prompt="LEI code of controlled structure"/>
    <dataValidation sqref="E184:E190" showDropDown="0" showInputMessage="1" showErrorMessage="1" allowBlank="1" promptTitle="Optional" prompt="11 Character BIC  code of controlled structure"/>
    <dataValidation sqref="F184:F190" showDropDown="0" showInputMessage="1" showErrorMessage="1" allowBlank="1" promptTitle="Mandatory" prompt="Gross exposure of financial and/or legal structures controlled by the AIF as defined in Recital 78 of the AIFMD expressed in base currency."/>
    <dataValidation sqref="H46:H50" showDropDown="0" showInputMessage="1" showErrorMessage="1" allowBlank="1" promptTitle="Optional" prompt="Where available, the Reuters Identifier Code (RIC) identifying each share class."/>
    <dataValidation sqref="I46:I50" showDropDown="0" showInputMessage="1" showErrorMessage="1" allowBlank="1" promptTitle="Mandatory" prompt="The name of the share class."/>
    <dataValidation sqref="A39:A43" showDropDown="0" showInputMessage="1" showErrorMessage="1" allowBlank="1" promptTitle="Optional" prompt="AIF_ASSUMPTION record only required for AIFs if you want to list assumption on the AIF report" type="list">
      <formula1>"AIF_ASSUMPTION,#ignore this line"</formula1>
    </dataValidation>
    <dataValidation sqref="A184:A190"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A225:A232" showDropDown="0" showInputMessage="1" showErrorMessage="1" allowBlank="1" promptTitle="Optional" prompt="POSITION_EXTERNAL record contains positions of an External AIF at end of the reporting period. _x000a__x000a_Only used to import data from AIF managed by 3rd party._x000a__x000a_Used on form AIFM 24(1)." type="list">
      <formula1>"POSITION_EXTERNAL,#ignore this line"</formula1>
    </dataValidation>
    <dataValidation sqref="C46:C50" showDropDown="0" showInputMessage="1" showErrorMessage="1" allowBlank="1" promptTitle="Optional" prompt="Where available, unique reference allocated by the national competent authority to which the AIFM reports under AIFMD identifying each share class."/>
    <dataValidation sqref="D46:D50" showDropDown="0" showInputMessage="1" showErrorMessage="1" allowBlank="1" promptTitle="Optional" prompt="Where available, the ISIN code (ISO 6166 standard) identifying each share class."/>
    <dataValidation sqref="F46:F50" showDropDown="0" showInputMessage="1" showErrorMessage="1" allowBlank="1" promptTitle="Optional" prompt="Where available, the CUSIP code identifying each share class."/>
    <dataValidation sqref="E46:E50" showDropDown="0" showInputMessage="1" showErrorMessage="1" allowBlank="1" promptTitle="Optional" prompt="Where available, the SEDOL code identifying each share class."/>
    <dataValidation sqref="G46:G50" showDropDown="0" showInputMessage="1" showErrorMessage="1" allowBlank="1" promptTitle="Optional" prompt="Where available, the Bloomberg ticker symbol identifying each share class."/>
    <dataValidation sqref="A16" showDropDown="0" showInputMessage="1" showErrorMessage="1" allowBlank="1" promptTitle="Mandatory" prompt="create one AIFM_NATIONAL_CODE record per NCA (regulator)" type="list">
      <formula1>"AIFM_NATIONAL_CODE,#ignore this line"</formula1>
    </dataValidation>
    <dataValidation sqref="A219:A222" showDropDown="0" showInputMessage="1" showErrorMessage="1" allowBlank="1" promptTitle="Optional" prompt="The AIF_EXTERNAL input record describes AIF which are reported by an external company. This data is only used on form AIFM 24(1)." type="list">
      <formula1>"AIF_EXTERNAL,#ignore this line"</formula1>
    </dataValidation>
    <dataValidation sqref="B219:B222" showDropDown="0" showInputMessage="1" showErrorMessage="1" allowBlank="1" promptTitle="Mandatory" prompt="Create a List of all unique external AIF ids_x000a_"/>
    <dataValidation sqref="B225:B232" showDropDown="0" showInputMessage="1" showErrorMessage="1" allowBlank="1" promptTitle="Mandatory" prompt="Unique external AIF id to which this record applies.  _x000a__x000a_Add new AIFs in the AIF_EXTERNAL section _x000a_" type="list">
      <formula1>AIF_external</formula1>
    </dataValidation>
    <dataValidation sqref="E225:E232 H62:H75" showDropDown="0" showInputMessage="1" showErrorMessage="1" allowBlank="1" promptTitle="Conditional" prompt="Four character MIC code (ISO 10383)._x000a__x000a_Mandatory when Market Code Type [106 / 115] is equal to &quot;MIC&quot; or when AII Exchange Product Code [70] is present. Forbiden otherwise." type="textLength">
      <formula1>4</formula1>
      <formula2>4</formula2>
    </dataValidation>
    <dataValidation sqref="H219:H222"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_EXTERNALs, field 76."/>
    <dataValidation sqref="C16"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C212:C216" showDropDown="0" showInputMessage="1" showErrorMessage="1" allowBlank="1" promptTitle="Mandatory" prompt="Currency code (3-character currency code according to the ISO 4217)" type="list">
      <formula1>AllCur</formula1>
    </dataValidation>
    <dataValidation sqref="A212:A216" showDropDown="0" showInputMessage="1" showErrorMessage="1" allowBlank="1" promptTitle="Optional" prompt="CUSTOM_FX_RATE record only required if you want to use custom FX rates. _x000a__x000a_By default the system uses ECB rates, which are already available in the system" type="list">
      <formula1>"CUSTOM_FX_RATE,#ignore this line"</formula1>
    </dataValidation>
    <dataValidation sqref="D212:D216" showDropDown="0" showInputMessage="1" showErrorMessage="1" allowBlank="1" promptTitle="Mandatory" prompt="Conversion rate filled in with 4 decimal places. Rate in the non-eur currency. E.g. 2022-06-30 USD: 1.0387" type="decimal">
      <formula1>0</formula1>
      <formula2>100000000000</formula2>
    </dataValidation>
    <dataValidation sqref="E212:E216" showDropDown="0" showInputMessage="1" showErrorMessage="1" allowBlank="1" promptTitle="Mandatory" prompt="2 types are admitted:_x000a_- “ECB” when the rate is a euro reference rate as published by the ECB,_x000a_- “OTH” in other cases." type="list">
      <formula1>Fund51</formula1>
    </dataValidation>
    <dataValidation sqref="F212:F216" showDropDown="0" showInputMessage="1" showErrorMessage="1" allowBlank="1" promptTitle="Conditional" prompt="Mandatory when Rate type [51] is &quot;OTH&quot;, forbidden otherwise."/>
    <dataValidation sqref="B212:B216" showDropDown="0" showInputMessage="1" showErrorMessage="1" allowBlank="1" promptTitle="Mandatory" prompt="Date of the FX rate._x000a__x000a_Format: yyyy-mm-dd"/>
    <dataValidation sqref="A2:C2" showDropDown="0" showInputMessage="1" showErrorMessage="1" allowBlank="1" promptTitle="Mandatory" prompt="Please don't change. Required by the system to select the right report type."/>
    <dataValidation sqref="D91:D97"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E91:G97" showDropDown="0" showInputMessage="1" showErrorMessage="1" allowBlank="1" promptTitle="Conditional" prompt="Mandatory for Risk Measure Type [138] equal to &quot;NET_DV01&quot; and &quot;NET_CS01&quot;,_x000a_forbidden otherwise._x000a__x000a_Expressed in base currency."/>
    <dataValidation sqref="H91:J97" showDropDown="0" showInputMessage="1" showErrorMessage="1" allowBlank="1" promptTitle="Conditional" prompt="Mandatory for Risk Measure Type [138] equal to &quot;VEGA_EXPO&quot;,_x000a_forbidden otherwise._x000a__x000a_Expressed in base currency."/>
    <dataValidation sqref="F16"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D16"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_x000a_2-character ISO-3166-1 country code._x000a_" type="list">
      <formula1>EEC</formula1>
    </dataValidation>
    <dataValidation sqref="E16"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E219:E222" showDropDown="0" showInputMessage="1" showErrorMessage="1" allowBlank="1" promptTitle="Legacy, not needed anymore." prompt="Legacy, not needed anymore." type="list">
      <formula1>Both8</formula1>
    </dataValidation>
    <dataValidation sqref="E12" showDropDown="0" showInputMessage="1" showErrorMessage="1" allowBlank="1" promptTitle="Optional" prompt="Only needed upon liquidation of the AIFM, then it should be the liquidation date._x000a__x000a_Leave empty otherwise."/>
    <dataValidation sqref="A133:A134 A136" showDropDown="0" showInputMessage="1" showErrorMessage="1" allowBlank="1" promptTitle="Conditional" prompt="The INVESTOR record is mandatory for AIFs with content type 2 and 4, and forbidden otherwise." type="list">
      <formula1>"INVESTOR,#ignore this line"</formula1>
    </dataValidation>
    <dataValidation sqref="D53:D54" showDropDown="0" showInputMessage="1" showErrorMessage="1" allowBlank="1" promptTitle="Optional" prompt="Prime Broker LEI code (ISO 17442 standard) or if not available the interim entity identifier."/>
    <dataValidation sqref="E53:E54" showDropDown="0" showInputMessage="1" showErrorMessage="1" allowBlank="1" promptTitle="Optional" prompt="Prime Broker 11 Character BIC code (ISO 9362 standard)."/>
    <dataValidation sqref="C53:C54"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A53:A54"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A80:A83" showDropDown="0" showInputMessage="1" showErrorMessage="1" allowBlank="1" promptTitle="Conditional" prompt="The TURNOVER record is optional for AIFs with content type 2 and 4, and forbidden otherwise." type="list">
      <formula1>"TURNOVER,#ignore this line"</formula1>
    </dataValidation>
    <dataValidation sqref="E80:E83" showDropDown="0" showInputMessage="1" showErrorMessage="1" allowBlank="1" promptTitle="Conditional" prompt="Only for sub-asset-types starting with DER_xxx.  Notional value of turnover in each relevant sub-asset-type during the reporting period in base-currency"/>
    <dataValidation sqref="D80:D83" showDropDown="0" showInputMessage="1" showErrorMessage="1" allowBlank="1" promptTitle="Mandatory" prompt="Market value of turnover in each relevant sub-asset-type during the month in base currency._x000a__x000a_The value of the turnover should be the sum of the absolute values of buys and sells that occur during the month."/>
    <dataValidation sqref="C86:C88" showDropDown="0" showInputMessage="1" showErrorMessage="1" allowBlank="1" promptTitle="Optional" prompt="Entity name. (no standard)_x000a_It is strongly recommended to provide the full name corresponding to the allocated LEI code (or BIC code if any and LEI not available)."/>
    <dataValidation sqref="A86:A88"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F86:F88" showDropDown="0" showInputMessage="1" showErrorMessage="1" allowBlank="1" promptTitle="Mandatory" prompt="See Annex II - Table 5 (“Transaction type)_x000a_" type="list">
      <formula1>Fund134</formula1>
    </dataValidation>
    <dataValidation sqref="G86:G88" showDropDown="0" showInputMessage="1" showErrorMessage="1" allowBlank="1" promptTitle="Conditional" prompt="Free text_x000a__x000a_Only mandatory for Transaction type = OTHR"/>
    <dataValidation sqref="H86:H88" showDropDown="0" showInputMessage="1" showErrorMessage="1" allowBlank="1" promptTitle="Mandatory" prompt="Expressed as a percentage (entered here as a number, e.g. enter 1.23% as 1.23)." type="decimal">
      <formula1>0</formula1>
      <formula2>100</formula2>
    </dataValidation>
    <dataValidation sqref="D86:D88" showDropDown="0" showInputMessage="1" showErrorMessage="1" allowBlank="1" promptTitle="Optional" prompt="When available Dominant influence company LEI code"/>
    <dataValidation sqref="E86:E88" showDropDown="0" showInputMessage="1" showErrorMessage="1" allowBlank="1" promptTitle="Optional" prompt="When available Dominant influence company 11 Character BIC code "/>
    <dataValidation sqref="L100:L104" showDropDown="0" showInputMessage="1" showErrorMessage="1" allowBlank="1" promptTitle="Optional" prompt="Value of collateral posted in the form of other securities (excluding cash and cash equivalent) expressed in base currency."/>
    <dataValidation sqref="M100:N104" showDropDown="0" showInputMessage="1" showErrorMessage="1" allowBlank="1" promptTitle="Optional" prompt="Value of other collateral and credit support posted (including face amount of letters of credit and similar third party credit support) expressed in base currency."/>
    <dataValidation sqref="A100:A104"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K100:K104"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H100:H104" showDropDown="0" showInputMessage="1" showErrorMessage="1" allowBlank="1" promptTitle="Optional" prompt="Legacy, not needed anymore."/>
    <dataValidation sqref="C100:C104"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E100:E104"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G100:G104"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I100:I104" showDropDown="0" showInputMessage="1" showErrorMessage="1" allowBlank="1" promptTitle="Optional" prompt="Estimated % in terms of market value of repo trades that are cleared by a CCP._x000a__x000a_Expressed as a percentage (entered here as a number, e.g. enter 1.23% as 1.23)."/>
    <dataValidation sqref="J100:J104" showDropDown="0" showInputMessage="1" showErrorMessage="1" allowBlank="1" promptTitle="Optional" prompt="Estimated % in terms of market value of repo trades that are cleared bilateraly._x000a__x000a_Expressed as a percentage (entered here as a number, e.g. enter 1.23% as 1.23)."/>
    <dataValidation sqref="J107:J110" showDropDown="0" showInputMessage="1" showErrorMessage="1" allowBlank="1" promptTitle="Optional" prompt="Unencumbered Cash Amount expressed in Base currency [49]._x000a__x000a_If empty, the sum of all POSITION records with Sub-Asset Type [65] equal to “SEC_CSH_OTHC” is used."/>
    <dataValidation sqref="A107:A110" showDropDown="0" showInputMessage="1" showErrorMessage="1" allowBlank="1" promptTitle="Conditional" prompt="The PORTFOLIO_LIQUIDITY_PROFILE record is mandatory for AIFs with content type 2 and 4, and forbidden otherwise._x000a_Filled in with default values by the Matterhorn software if mandatory and not present." type="list">
      <formula1>"PORTFOLIO_LIQUIDITY_PROFILE,#ignore this line"</formula1>
    </dataValidation>
    <dataValidation sqref="I107:I110" showDropDown="0" showInputMessage="1" showErrorMessage="1" allowBlank="1" promptTitle="Optional" prompt="The percentage of portfolio capable of being liquidated in more than 365 days._x000a__x000a_If empty, 0 is reported._x000a_The total of fields 178-184 must equal 100._x000a_Expressed as a percentage (entered here as a number, e.g. enter 1.23% as 1.23)."/>
    <dataValidation sqref="C107:C110" showDropDown="0" showInputMessage="1" showErrorMessage="1" allowBlank="1" promptTitle="Optional" prompt="The percentage of portfolio capable of being liquidated within 1 day or less._x000a__x000a_If empty, 0 is reported._x000a_The total of fields 178-184 must equal 100._x000a_Expressed as a percentage (entered here as a number, e.g. enter 1.23% as 1.23)._x000a_"/>
    <dataValidation sqref="D107:D110" showDropDown="0" showInputMessage="1" showErrorMessage="1" allowBlank="1" promptTitle="Optional" prompt="The percentage of portfolio capable of being liquidated in 2 to 7 days._x000a__x000a_If empty, 0 is reported._x000a_The total of fields 178-184 must equal 100._x000a_Expressed as a percentage (entered here as a number, e.g. enter 1.23% as 1.23)."/>
    <dataValidation sqref="E107:E110" showDropDown="0" showInputMessage="1" showErrorMessage="1" allowBlank="1" promptTitle="Optional" prompt="The percentage of portfolio capable of being liquidated in 8 to 30 days._x000a__x000a_If empty, 0 is reported._x000a_The total of fields 178-184 must equal 100._x000a_Expressed as a percentage (entered here as a number, e.g. enter 1.23% as 1.23)."/>
    <dataValidation sqref="F107:F110" showDropDown="0" showInputMessage="1" showErrorMessage="1" allowBlank="1" promptTitle="Optional" prompt="The percentage of portfolio capable of being liquidated in 31 to 90 days._x000a__x000a_If empty, 0 is reported._x000a_The total of fields 178-184 must equal 100._x000a_Expressed as a percentage (entered here as a number, e.g. enter 1.23% as 1.23)."/>
    <dataValidation sqref="G107:G110" showDropDown="0" showInputMessage="1" showErrorMessage="1" allowBlank="1" promptTitle="Optional" prompt="The percentage of portfolio capable of being liquidated in 91 to 180 days._x000a__x000a_If empty, 0 is reported._x000a_The total of fields 178-184 must equal 100._x000a_Expressed as a percentage (entered here as a number, e.g. enter 1.23% as 1.23)."/>
    <dataValidation sqref="H107:H110" showDropDown="0" showInputMessage="1" showErrorMessage="1" allowBlank="1" promptTitle="Optional" prompt="The percentage of portfolio capable of being liquidated in 181 to 365 days._x000a__x000a_If empty, 0 is reported._x000a_The total of fields 178-184 must equal 100._x000a_Expressed as a percentage (entered here as a number, e.g. enter 1.23% as 1.23)."/>
    <dataValidation sqref="A113:A118" showDropDown="0" showInputMessage="1" showErrorMessage="1" allowBlank="1" promptTitle="Conditional" prompt="The INVESTOR_LIQUIDITY_PROFILE record is optional for AIFs with content type 2 and 4, and forbidden otherwise._x000a_Filled in with default values by the Matterhorn software if mandatory and not present." type="list">
      <formula1>"INVESTOR_LIQUIDITY_PROFILE,#ignore this line"</formula1>
    </dataValidation>
    <dataValidation sqref="C113:I118" showDropDown="0" showInputMessage="1" showErrorMessage="1" allowBlank="1" promptTitle="Optional" prompt="If empty, 0 is reported._x000a_The total of fields 186-192 must equal 100._x000a__x000a_Expressed as a percentage (entered here as a number, e.g. enter 1.23% as 1.23)."/>
    <dataValidation sqref="A121:A126"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D121:D126" showDropDown="0" showInputMessage="1" showErrorMessage="1" allowBlank="1" promptTitle="Optional" prompt="See Annex II Table 6:_x000a_D: Daily,_x000a_W: Weekly,_x000a_F: Fortnightly,_x000a_M: Monthly,_x000a_Q: Quarterly,_x000a_H: Half-yearly, Y: Yearly,_x000a_O: Other, N: None._x000a__x000a_" type="list">
      <formula1>Fund194</formula1>
    </dataValidation>
    <dataValidation sqref="E121:E126" showDropDown="0" showInputMessage="1" showErrorMessage="1" allowBlank="1" promptTitle="Optional" prompt="Notice period in days.  Asset weighted when multiple share classes."/>
    <dataValidation sqref="F121:F126" showDropDown="0" showInputMessage="1" showErrorMessage="1" allowBlank="1" promptTitle="Optional" prompt="Investor lock-up period in days.  Asset weighted when multiple share classes."/>
    <dataValidation sqref="A129:A130"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F129:F130"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H129:H130"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C129:C130"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D129:D130"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E129:E130"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G129:G130"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J129:J130" showDropDown="0" showInputMessage="1" showErrorMessage="1" allowBlank="1" promptTitle="Optional" prompt="Flag indicating whether there are any different disclosure/reporting to investors_x000a__x000a_yes/no flag" type="list">
      <formula1>YesNo</formula1>
    </dataValidation>
    <dataValidation sqref="K129:K130" showDropDown="0" showInputMessage="1" showErrorMessage="1" allowBlank="1" promptTitle="Optional" prompt="Flag indicating whether there are any different investor liquidity terms_x000a__x000a_yes/no flag" type="list">
      <formula1>YesNo</formula1>
    </dataValidation>
    <dataValidation sqref="L129:L130" showDropDown="0" showInputMessage="1" showErrorMessage="1" allowBlank="1" promptTitle="Optional" prompt="Flag indicating whether there are any different fee terms for investors_x000a__x000a_yes/no flag" type="list">
      <formula1>YesNo</formula1>
    </dataValidation>
    <dataValidation sqref="M129:M130" showDropDown="0" showInputMessage="1" showErrorMessage="1" allowBlank="1" promptTitle="Optional" prompt="Flag indicating whether there are any other preferential treatment_x000a__x000a_yes/no flag" type="list">
      <formula1>YesNo</formula1>
    </dataValidation>
    <dataValidation sqref="A139:A14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39:C142" showDropDown="0" showInputMessage="1" showErrorMessage="1" allowBlank="1" promptTitle="Mandatory" prompt="The aggregate amount of borrowing by and cash financing available to the AIF (including all drawn and undrawn, committed and uncommitted lines of credit as well as any term financing)._x000a_Amount expressed in base currency."/>
    <dataValidation sqref="D139:J142" showDropDown="0" showInputMessage="1" showErrorMessage="1" allowBlank="1" promptTitle="Optional" prompt="If empty, 0 is reported._x000a_The total of fields 211-217 must equal 100._x000a__x000a_Expressed as a percentage (entered here as a number, e.g. enter 1.23% as 1.23)."/>
    <dataValidation sqref="I29:I31" showDropDown="0" showInputMessage="1" showErrorMessage="1" allowBlank="1" promptTitle="Optional" prompt="See Annex II - Table 9 and 10 on our Reporting Application Help menu." type="list">
      <formula1>Both10</formula1>
    </dataValidation>
    <dataValidation sqref="E149 AC29:AC31" showDropDown="0" showInputMessage="1" showErrorMessage="1" allowBlank="1" promptTitle="Optional" prompt="The total Total Net Asset Value (NAV) of the AIF expressed in base currency._x000a__x000a_If left empy, the system calculates this based on the POSITIONs, field NAV."/>
    <dataValidation sqref="AI29:AI31" showDropDown="0" showInputMessage="1" showErrorMessage="1" allowBlank="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type="list">
      <formula1>Fund113</formula1>
    </dataValidation>
    <dataValidation sqref="AJ29:AJ31" showDropDown="0" showInputMessage="1" showErrorMessage="1" allowBlank="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dataValidation sqref="AK29:AK31"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B29:AB31"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D29:D31"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 sqref="A29:A31" showDropDown="0" showInputMessage="1" showErrorMessage="1" allowBlank="1" promptTitle="Mandatory" prompt="This describes a fund. Create one AIF record for each fund (also for feeders)._x000a_" type="list">
      <formula1>",AIF,#ignore this line"</formula1>
    </dataValidation>
    <dataValidation sqref="J29:J31" showDropDown="0" showInputMessage="1" showErrorMessage="1" allowBlank="1" promptTitle="Optional" prompt="See Annex II - Table 9 on our Reporting Application Help menu." type="list">
      <formula1>Fund11</formula1>
    </dataValidation>
    <dataValidation sqref="L29:L31"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M29:M31" showDropDown="0" showInputMessage="1" showErrorMessage="1" allowBlank="1" promptTitle="Mandatory" prompt="The legal name of the AIF (no standard)._x000a_In the case of umbrella funds, the names of the umbrella fund and the sub-funds should be reported."/>
    <dataValidation sqref="O29:O31" showDropDown="0" showInputMessage="1" showErrorMessage="1" allowBlank="1" promptTitle="Mandatory" prompt="See tab: #DOC Reporting Code" type="list">
      <formula1>Fund20</formula1>
    </dataValidation>
    <dataValidation sqref="P29:P31" showDropDown="0" showInputMessage="1" showErrorMessage="1" allowBlank="1" promptTitle="Conditional" prompt="Country where AIF is registered._x000a__x000a_Only required when different from the AIFM (Manager) Jurisdiction [AIFM 17]._x000a__x000a_2-character ISO-3166-1 country code._x000a_" type="list">
      <formula1>AllCountries</formula1>
    </dataValidation>
    <dataValidation sqref="Q29:Q31" showDropDown="0" showInputMessage="1" showErrorMessage="1" allowBlank="1" promptTitle="Mandatory" prompt="The date the AIF started business._x000a__x000a_The AFM (NL) expects the registration date._x000a__x000a_Format: yyyy-mm-dd (ISO 8601 Date format)."/>
    <dataValidation sqref="U29:U31" showDropDown="0" showInputMessage="1" showErrorMessage="1" allowBlank="1" promptTitle="Optional " prompt="AIF CUSIP code when available"/>
    <dataValidation sqref="T29:T31" showDropDown="0" showInputMessage="1" showErrorMessage="1" allowBlank="1" promptTitle="Optional " prompt="AIF ISIN code when available"/>
    <dataValidation sqref="V29:V31" showDropDown="0" showInputMessage="1" showErrorMessage="1" allowBlank="1" promptTitle="Optional " prompt="AIF SEDOL code when available"/>
    <dataValidation sqref="W29:W31" showDropDown="0" showInputMessage="1" showErrorMessage="1" allowBlank="1" promptTitle="Optional " prompt="AIF Bloomberg code when available"/>
    <dataValidation sqref="X29:X31" showDropDown="0" showInputMessage="1" showErrorMessage="1" allowBlank="1" promptTitle="Optional " prompt="AIF Reuters code when available"/>
    <dataValidation sqref="Y29:Y31" showDropDown="0" showInputMessage="1" showErrorMessage="1" allowBlank="1" promptTitle="Optional " prompt="AIF ECB code when available"/>
    <dataValidation sqref="AD29:AD31" showDropDown="0" showInputMessage="1" showErrorMessage="1" allowBlank="1" promptTitle="Optional" prompt="The country of the first main funding source (counterparty of the liability) (excluding units or shares of the AIF bought by investors)._x000a__x000a_2-character ISO-3166-1 country code." type="list">
      <formula1>AllCountries</formula1>
    </dataValidation>
    <dataValidation sqref="AE29:AE31" showDropDown="0" showInputMessage="1" showErrorMessage="1" allowBlank="1" promptTitle="Optional" prompt="The country of the second main funding source (counterparty of the liability) (excluding units or shares of the AIF bought by investors)._x000a__x000a_2-character ISO-3166-1 country code." type="list">
      <formula1>AllCountries</formula1>
    </dataValidation>
    <dataValidation sqref="AF29:AF31" showDropDown="0" showInputMessage="1" showErrorMessage="1" allowBlank="1" promptTitle="Optional" prompt="The country of the third main funding source (counterparty of the liability) (excluding units or shares of the AIF bought by investors)._x000a__x000a_2-character ISO-3166-1 country code." type="list">
      <formula1>AllCountries</formula1>
    </dataValidation>
    <dataValidation sqref="AH29:AH31" showDropDown="0" showInputMessage="1" showErrorMessage="1" allowBlank="1" promptTitle="Optional" prompt="The market value of buys and sells in the base currency of the AIF corresponding to the total number of transactions carried out using a high frequency algorithmic trading technique._x000a__x000a_Reported as 0 to the FSMA (BE) when not filled in._x000a__x000a_"/>
    <dataValidation sqref="AG29:AG31" showDropDown="0" showInputMessage="1" showErrorMessage="1" allowBlank="1" promptTitle="Optional" prompt="The total number of transactions carried out using a high frequency algorithmic trading technique, as defined in the forthcoming revised Markets in Financial Instruments Directive (MiFID II)._x000a__x000a_Reported as 0 to the FSMA (BE) when not filled in."/>
    <dataValidation sqref="AL29:AL31" showDropDown="0" showInputMessage="1" showErrorMessage="1" allowBlank="1" promptTitle="Conditional" prompt="Mandatory for Registered/Light funds._x000a_Mandatory for AIF Content types (AIF field 5) 1,3 and 5, optional otherwise._x000a__x000a_If empty and mandatory, INVESTORS - HHLD is used._x000a__x000a_Expressed as a percentage (entered here as a number, e.g. enter 1.23% as 1.23)_x000a_"/>
    <dataValidation sqref="AM29:AM31"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B29:B31" showDropDown="0" showInputMessage="1" showErrorMessage="1" allowBlank="1" promptTitle="Mandatory" prompt="Create a list of all unique AIF ids. This field is only used to link the different data records to a specific AIF."/>
    <dataValidation sqref="G29:G31"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R29:R31" showDropDown="0" showInputMessage="1" showErrorMessage="1" allowBlank="1" promptTitle="Optional" prompt="yes for nothing to report,_x000a_no or empty otherwise." type="list">
      <formula1>YesNo</formula1>
    </dataValidation>
    <dataValidation sqref="D34:D36"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A34:A36" showDropDown="0" showInputMessage="1" showErrorMessage="1" allowBlank="1" promptTitle="Mandatory" prompt="Create one AIF_NATIONAL_CODE record per AIF per NCA (regulator)" type="list">
      <formula1>"AIF_NATIONAL_CODE,#ignore this line"</formula1>
    </dataValidation>
    <dataValidation sqref="F34:F36"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 sqref="E34:E36"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_x000a_2-character ISO-3166-1 country code._x000a_" type="list">
      <formula1>EEC</formula1>
    </dataValidation>
    <dataValidation sqref="C133:C136"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33:D136" showDropDown="0" showInputMessage="1" showErrorMessage="1" allowBlank="1" promptTitle="Mandatory" prompt="The percentage of NAV for each typology of investors._x000a_If empty, 0 is reported._x000a__x000a_Expressed as a percentage (entered here as a number, e.g. enter 1.23% as 1.23)."/>
    <dataValidation sqref="A145:A162"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145:D162"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45:E148 E150:E162"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145:F162" showDropDown="0" showInputMessage="1" showErrorMessage="1" allowBlank="1" promptTitle="Mandatory" prompt="Monthly changes in NAV including the impact of subscriptions and redemptions._x000a__x000a_Expressed as a percentage (entered here as a number, e.g. enter 1.23% as 1.23)."/>
    <dataValidation sqref="A165:A172" showDropDown="0" showInputMessage="1" showErrorMessage="1" allowBlank="1" promptTitle="Conditional" prompt="The STRESS_TEST record is mandatory for AIFs with content type 2 and 4, and forbidden otherwise." type="list">
      <formula1>"STRESS_TEST,#ignore this line"</formula1>
    </dataValidation>
    <dataValidation sqref="D165:D172"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C165:C172"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C57:C59"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57:D59"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57:E59"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7:A59" showDropDown="0" showInputMessage="1" showErrorMessage="1" allowBlank="1" promptTitle="Mandatory" prompt="STRATEGY record required for each AIF _x000a__x000a_there should be at least one or more  strategies listed_x000a__x000a_For all content types" type="list">
      <formula1>"STRATEGYv2,#ignore this line"</formula1>
    </dataValidation>
    <dataValidation sqref="E62:E75" showDropDown="0" showInputMessage="1" showErrorMessage="1" allowBlank="1" promptTitle="Mandatory" prompt="No standard. It is strongly recommended to provide the instrument short name as provided by Swift under ISO18774 when available."/>
    <dataValidation sqref="I62:I75" showDropDown="0" showInputMessage="1" showErrorMessage="1" allowBlank="1" promptTitle="Conditional" prompt="A code that is uniquely associated with a particular underlying instrument and settlement type and other characteristics of the contract, when available._x000a__x000a_Forbidden when Instrument ISIN Code [68] is present."/>
    <dataValidation sqref="N62:N75" showDropDown="0" showInputMessage="1" showErrorMessage="1" allowBlank="1" promptTitle="Mandatory" prompt="“L” for long_x000a_“S” for short" type="list">
      <formula1>Fund75</formula1>
    </dataValidation>
    <dataValidation sqref="A62:A75" showDropDown="0" showInputMessage="1" showErrorMessage="1" allowBlank="1" promptTitle="Optional" prompt="POSITION records for each AIF that has positions to report._x000a__x000a_All positions should be listed, including cash and cash equivalents. _x000a_Used to calculate all reported rankings." type="list">
      <formula1>"POSITION,#ignore this line"</formula1>
    </dataValidation>
    <dataValidation sqref="F62:F75" showDropDown="0" showInputMessage="1" showErrorMessage="1" allowBlank="1" promptTitle="Optional" prompt="The ISIN code of the instrument (ISO 6166 standard) when available."/>
    <dataValidation sqref="J62:J75" showDropDown="0" showInputMessage="1" showErrorMessage="1" allowBlank="1" promptTitle="Conditional" prompt="&quot;O&quot; for opttion._x000a_&quot;F&quot; for future._x000a__x000a_Mandatory when AII Exchange Product Code [70] is present. Forbiden otherwise." type="list">
      <formula1>Fund71</formula1>
    </dataValidation>
    <dataValidation sqref="K62:K75" showDropDown="0" showInputMessage="1" showErrorMessage="1" allowBlank="1" promptTitle="Conditional" prompt="&quot;P&quot; for a put option._x000a_&quot;C&quot; for a call option._x000a__x000a_Mandatory for AII Derivative Type [71] equal to &quot;O&quot;. Forbiden otherwise." type="list">
      <formula1>Fund72</formula1>
    </dataValidation>
    <dataValidation sqref="L62:L75" showDropDown="0" showInputMessage="1" showErrorMessage="1" allowBlank="1" promptTitle="Conditional" prompt="Exercise/maturity/expiry/delivery/prompt date of a derivative contract._x000a__x000a_Mandatory when AII Exchange Product Code [70] is present. Forbiden otherwise._x000a__x000a_Format: yyyy-mm-dd"/>
    <dataValidation sqref="M62:M75" showDropDown="0" showInputMessage="1" showErrorMessage="1" allowBlank="1" promptTitle="Conditional" prompt="The strike price of an option._x000a__x000a_Mandatory for AII Derivative Type [71] equal to &quot;O&quot;. Forbiden otherwise." type="decimal">
      <formula1>-999999999</formula1>
      <formula2>999999999</formula2>
    </dataValidation>
    <dataValidation sqref="Q62:Q75" showDropDown="0" showInputMessage="1" showErrorMessage="1" allowBlank="1" promptTitle="Optional " prompt="Optional for short positions, forbidden otherwise._x000a__x000a_Expressed as a percentage (entered here as a number, e.g. enter 1.23% as 1.23)."/>
    <dataValidation sqref="S62:S75" showDropDown="0" showInputMessage="1" showErrorMessage="1" allowBlank="1" promptTitle="Optional" prompt="Entity name (no standard). It is strongly recommended to provide the full name corresponding to the allocated LEI code (or BIC code if any and LEI not available)."/>
    <dataValidation sqref="T62:T75" showDropDown="0" showInputMessage="1" showErrorMessage="1" allowBlank="1" promptTitle="Conditional" prompt="Optional when Counterparty Name [100] is present, forbidden otherwise._x000a__x000a__x000a__x000a_"/>
    <dataValidation sqref="U62:U75" showDropDown="0" showInputMessage="1" showErrorMessage="1" allowBlank="1" promptTitle="Conditional" prompt="11 Character BIC Code._x000a__x000a_Optional when Counterparty Name [100] is present, forbidden otherwise._x000a_"/>
    <dataValidation sqref="V62:V75" showDropDown="0" showInputMessage="1" showErrorMessage="1" allowBlank="1" promptTitle="Conditional" prompt="Not required for Registered/Light funds._x000a__x000a_Three character currency code (ISO 4217)._x000a__x000a_Mandatory for AIF Content types 2 and 4 (AIF field 5), ignored otherwise." type="list">
      <formula1>AllCur</formula1>
    </dataValidation>
    <dataValidation sqref="X62:X75" showDropDown="0" showInputMessage="1" showErrorMessage="1" allowBlank="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dataValidation sqref="P72:P75"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G145:G157 G159:G161" showDropDown="0" showInputMessage="1" showErrorMessage="1" allowBlank="1" promptTitle="Mandatory" prompt="Subscriptions in base currency during month."/>
    <dataValidation sqref="H145:H161" showDropDown="0" showInputMessage="1" showErrorMessage="1" allowBlank="1" promptTitle="Mandatory" prompt="Redemptions in base currency during month."/>
    <dataValidation sqref="C145:C154 C156:C162"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s>
  <hyperlinks>
    <hyperlink xmlns:r="http://schemas.openxmlformats.org/officeDocument/2006/relationships" ref="A5" r:id="rId1"/>
  </hyperlinks>
  <pageMargins left="0.7086614173228347" right="0.7086614173228347" top="0.7480314960629921" bottom="0.7480314960629921" header="0.3149606299212598" footer="0.3149606299212598"/>
  <pageSetup orientation="landscape" paperSize="8" scale="70"/>
  <drawing xmlns:r="http://schemas.openxmlformats.org/officeDocument/2006/relationships" r:id="rId2"/>
</worksheet>
</file>

<file path=xl/worksheets/sheet2.xml><?xml version="1.0" encoding="utf-8"?>
<worksheet xmlns="http://schemas.openxmlformats.org/spreadsheetml/2006/main">
  <sheetPr>
    <tabColor theme="4" tint="-0.499984740745262"/>
    <outlinePr summaryBelow="1" summaryRight="1"/>
    <pageSetUpPr fitToPage="1"/>
  </sheetPr>
  <dimension ref="A1:F319"/>
  <sheetViews>
    <sheetView workbookViewId="0">
      <selection activeCell="A2" sqref="A2"/>
    </sheetView>
  </sheetViews>
  <sheetFormatPr baseColWidth="10" defaultColWidth="8.85546875" defaultRowHeight="11.25"/>
  <cols>
    <col width="40.85546875" customWidth="1" style="82" min="1" max="1"/>
    <col width="19.140625" customWidth="1" style="109" min="2" max="2"/>
    <col width="43.85546875" customWidth="1" style="92" min="3" max="3"/>
    <col width="38" customWidth="1" style="90" min="4" max="4"/>
    <col width="99.85546875" customWidth="1" style="91" min="5" max="5"/>
    <col width="56.42578125" customWidth="1" style="91" min="6" max="6"/>
    <col width="8.85546875" customWidth="1" style="92" min="7" max="16384"/>
  </cols>
  <sheetData>
    <row r="1" ht="12" customFormat="1" customHeight="1" s="17">
      <c r="A1" s="18" t="inlineStr">
        <is>
          <t># 2024-01-17</t>
        </is>
      </c>
      <c r="B1" s="135" t="n"/>
      <c r="C1" s="133" t="inlineStr">
        <is>
          <t>(Click here to download the latest template)</t>
        </is>
      </c>
      <c r="D1" s="130" t="inlineStr">
        <is>
          <t>Please note: older versions of the template can still be processed, only update if you prefer the latest documentation.</t>
        </is>
      </c>
      <c r="E1" s="131" t="n"/>
    </row>
    <row r="2" ht="12" customFormat="1" customHeight="1" s="17">
      <c r="A2" s="18" t="inlineStr">
        <is>
          <t>#</t>
        </is>
      </c>
      <c r="B2" s="135" t="n"/>
      <c r="C2" s="133" t="inlineStr">
        <is>
          <t>(Click here to download the Quick Guide)</t>
        </is>
      </c>
    </row>
    <row r="3"/>
    <row r="4" ht="15.75" customHeight="1">
      <c r="A4" s="80" t="inlineStr">
        <is>
          <t>Matterhorn Annex IV Input Format</t>
        </is>
      </c>
      <c r="B4" s="110" t="n"/>
      <c r="C4" s="111" t="n"/>
      <c r="D4" s="81" t="n"/>
      <c r="E4" s="80" t="n"/>
      <c r="F4" s="80" t="n"/>
    </row>
    <row r="5" ht="15.75" customHeight="1">
      <c r="A5" s="115" t="inlineStr">
        <is>
          <t>To ensure future expandability, no data may be present other than the fields specified below (i.e. no extras columns to the right).</t>
        </is>
      </c>
      <c r="B5" s="112" t="n"/>
      <c r="C5" s="113" t="n"/>
      <c r="D5" s="116" t="n"/>
      <c r="E5" s="114" t="n"/>
      <c r="F5" s="114" t="n"/>
    </row>
    <row r="6" ht="15.75" customHeight="1">
      <c r="A6" s="115" t="inlineStr">
        <is>
          <t>In the input data, any row that has no data in the first column or has data starting with a "#" in the first column is ignored. These rows are meant for documentation purposes only.</t>
        </is>
      </c>
      <c r="B6" s="112" t="n"/>
      <c r="C6" s="113" t="n"/>
      <c r="D6" s="116" t="n"/>
      <c r="E6" s="114" t="n"/>
      <c r="F6" s="114" t="n"/>
    </row>
    <row r="7" ht="15.75" customHeight="1">
      <c r="A7" s="115" t="inlineStr">
        <is>
          <t>If using an Excel document for input, sheet names starting with a "#" are ignored. These sheets are meant for documentation purposes only.</t>
        </is>
      </c>
      <c r="B7" s="112" t="n"/>
      <c r="C7" s="113" t="n"/>
      <c r="D7" s="116" t="n"/>
      <c r="E7" s="114" t="n"/>
      <c r="F7" s="114" t="n"/>
    </row>
    <row r="8" ht="15.75" customHeight="1">
      <c r="A8" s="115" t="inlineStr">
        <is>
          <t>All fields that accept true/false also accept yes/no (e.g. AIF Last reporting flag [AIF 13]). Matterhorn automatically converts yes/no into true/false. The app shows the ESMA standard true/false.</t>
        </is>
      </c>
      <c r="B8" s="112" t="n"/>
      <c r="C8" s="113" t="n"/>
      <c r="D8" s="116" t="n"/>
      <c r="E8" s="114" t="n"/>
      <c r="F8" s="114" t="n"/>
    </row>
    <row r="9">
      <c r="A9" s="87" t="n"/>
      <c r="B9" s="88" t="n"/>
      <c r="C9" s="89" t="n"/>
    </row>
    <row r="10">
      <c r="A10" s="83" t="inlineStr">
        <is>
          <t>Input Record Name</t>
        </is>
      </c>
      <c r="B10" s="84" t="inlineStr">
        <is>
          <t>ESMA ID or Custom ID</t>
        </is>
      </c>
      <c r="C10" s="83" t="inlineStr">
        <is>
          <t>displayName (from ESMA it technical)</t>
        </is>
      </c>
      <c r="D10" s="85" t="inlineStr">
        <is>
          <t>Mandatory/Optional/Conditional/Legacy</t>
        </is>
      </c>
      <c r="E10" s="86" t="inlineStr">
        <is>
          <t>Description</t>
        </is>
      </c>
      <c r="F10" s="86" t="inlineStr">
        <is>
          <t>Notes</t>
        </is>
      </c>
    </row>
    <row r="11">
      <c r="A11" s="87" t="n"/>
      <c r="B11" s="88" t="n"/>
      <c r="C11" s="89" t="n"/>
    </row>
    <row r="12">
      <c r="A12" s="83" t="inlineStr">
        <is>
          <t>INPUT_FORMAT (Only used to instruct the Reporting application, mandatory record for all file uploads )</t>
        </is>
      </c>
      <c r="B12" s="93" t="n"/>
      <c r="C12" s="94" t="n"/>
      <c r="D12" s="95" t="inlineStr">
        <is>
          <t>Mandatory</t>
        </is>
      </c>
      <c r="E12" s="96" t="inlineStr">
        <is>
          <t>For all AIF Content Types</t>
        </is>
      </c>
      <c r="F12" s="97" t="n"/>
    </row>
    <row r="13">
      <c r="A13" s="87" t="inlineStr">
        <is>
          <t>INPUT_FORMAT</t>
        </is>
      </c>
      <c r="B13" s="98" t="inlineStr">
        <is>
          <t>input_format_type</t>
        </is>
      </c>
      <c r="C13" s="89" t="inlineStr">
        <is>
          <t>Input Format Type</t>
        </is>
      </c>
      <c r="D13" s="90" t="inlineStr">
        <is>
          <t>Mandatory</t>
        </is>
      </c>
      <c r="E13" s="91" t="inlineStr">
        <is>
          <t>Must be 'AIFMD'</t>
        </is>
      </c>
    </row>
    <row r="14">
      <c r="A14" s="87" t="inlineStr">
        <is>
          <t>INPUT_FORMAT</t>
        </is>
      </c>
      <c r="B14" s="98" t="inlineStr">
        <is>
          <t>input_format_version</t>
        </is>
      </c>
      <c r="C14" s="89" t="inlineStr">
        <is>
          <t>Input Format Version</t>
        </is>
      </c>
      <c r="D14" s="90" t="inlineStr">
        <is>
          <t>Mandatory</t>
        </is>
      </c>
      <c r="E14" s="91" t="inlineStr">
        <is>
          <t>Must be 'V1'</t>
        </is>
      </c>
    </row>
    <row r="15" ht="33.75" customHeight="1">
      <c r="A15" s="87" t="inlineStr">
        <is>
          <t>INPUT_FORMAT</t>
        </is>
      </c>
      <c r="B15" s="98" t="inlineStr">
        <is>
          <t>input_format_options</t>
        </is>
      </c>
      <c r="C15" s="89" t="inlineStr">
        <is>
          <t>Input Format Options</t>
        </is>
      </c>
      <c r="D15" s="90" t="inlineStr">
        <is>
          <t>Optional</t>
        </is>
      </c>
      <c r="E15" s="91" t="inlineStr">
        <is>
          <t>To set the decimal separator for CSV files. 
Default it is a point ("."). The only possble alternative is to set a comma (",") using DECIMAL_SEPARATOR=",".
For a comma the whole line becomes: INPUT_FORMAT;AIFMD;V1;DECIMAL_SEPARATOR=","</t>
        </is>
      </c>
    </row>
    <row r="16">
      <c r="A16" s="87" t="n"/>
      <c r="B16" s="88" t="n"/>
      <c r="C16" s="89" t="n"/>
    </row>
    <row r="17">
      <c r="A17" s="83" t="inlineStr">
        <is>
          <t>AIFM_NATIONAL_CODE (AIFM 24/1)</t>
        </is>
      </c>
      <c r="B17" s="93" t="n"/>
      <c r="C17" s="94" t="n"/>
      <c r="D17" s="95" t="inlineStr">
        <is>
          <t>M</t>
        </is>
      </c>
      <c r="E17" s="96" t="inlineStr">
        <is>
          <t>For all AIF Content Types</t>
        </is>
      </c>
      <c r="F17" s="97" t="n"/>
    </row>
    <row r="18">
      <c r="A18" s="87" t="inlineStr">
        <is>
          <t>AIFM_NATIONAL_CODE</t>
        </is>
      </c>
      <c r="B18" s="88" t="n">
        <v>1</v>
      </c>
      <c r="C18" s="89" t="inlineStr">
        <is>
          <t>AIFM Reporting Member State</t>
        </is>
      </c>
      <c r="D18" s="90" t="inlineStr">
        <is>
          <t>Mandatory</t>
        </is>
      </c>
      <c r="E18" s="91" t="inlineStr">
        <is>
          <t>EEA/EU Country code standard ISO-3166-1 of the Member State to which the AIFM reports the AIFMD reporting.</t>
        </is>
      </c>
    </row>
    <row r="19" ht="22.5" customHeight="1">
      <c r="A19" s="87" t="inlineStr">
        <is>
          <t>AIFM_NATIONAL_CODE</t>
        </is>
      </c>
      <c r="B19" s="88" t="n">
        <v>18</v>
      </c>
      <c r="C19" s="89" t="inlineStr">
        <is>
          <t>AIFM National Code</t>
        </is>
      </c>
      <c r="D19" s="90" t="inlineStr">
        <is>
          <t>Mandatory</t>
        </is>
      </c>
      <c r="E19" s="91" t="inlineStr">
        <is>
          <t>Unique reference identifying each AIFM allocated by the national competent authority of the reporting Member State of the AIFM to which the AIFM reports under AIFMD</t>
        </is>
      </c>
    </row>
    <row r="20" ht="22.5" customHeight="1">
      <c r="A20" s="87" t="inlineStr">
        <is>
          <t>AIFM_NATIONAL_CODE</t>
        </is>
      </c>
      <c r="B20" s="88" t="n">
        <v>24</v>
      </c>
      <c r="C20" s="89" t="inlineStr">
        <is>
          <t>Old AIFM Reporting Member State</t>
        </is>
      </c>
      <c r="D20" s="90" t="inlineStr">
        <is>
          <t>C
M for Old AIFM National Code filled in</t>
        </is>
      </c>
      <c r="E20" s="91"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2.5" customHeight="1">
      <c r="A21" s="87" t="inlineStr">
        <is>
          <t>AIFM_NATIONAL_CODE</t>
        </is>
      </c>
      <c r="B21" s="88" t="n">
        <v>25</v>
      </c>
      <c r="C21" s="89" t="inlineStr">
        <is>
          <t>Old AIFM National Code</t>
        </is>
      </c>
      <c r="D21" s="90" t="inlineStr">
        <is>
          <t>C
M for Old AIFM Reporting Member State filled in</t>
        </is>
      </c>
      <c r="E21" s="91" t="inlineStr">
        <is>
          <t>Former national identification code to provide when the national identification code of the AIFM changes (for the first reporting following the change of the national code and any subsequent reporting).</t>
        </is>
      </c>
    </row>
    <row r="22" ht="22.5" customHeight="1">
      <c r="A22" s="87" t="inlineStr">
        <is>
          <t>AIFM_NATIONAL_CODE</t>
        </is>
      </c>
      <c r="B22" s="88" t="inlineStr">
        <is>
          <t>CNC</t>
        </is>
      </c>
      <c r="C22" s="89" t="inlineStr">
        <is>
          <t>Custom National Code</t>
        </is>
      </c>
      <c r="D22" s="90" t="inlineStr">
        <is>
          <t>Conditional</t>
        </is>
      </c>
      <c r="E22" s="91" t="inlineStr">
        <is>
          <t>Mandatory when 'AIFM Reporting Member State' [AIFM 1] is 'LU', forbidden otherwise.
Currently only used for the Luxembourg file name convention, as "Identification number of the sender".</t>
        </is>
      </c>
    </row>
    <row r="23">
      <c r="A23" s="87" t="n"/>
      <c r="B23" s="88" t="n"/>
      <c r="C23" s="89" t="n"/>
    </row>
    <row r="24">
      <c r="A24" s="83" t="inlineStr">
        <is>
          <t>AIF_NATIONAL_CODE (AIF 24/1)</t>
        </is>
      </c>
      <c r="B24" s="93" t="n"/>
      <c r="C24" s="94" t="n"/>
      <c r="D24" s="95" t="inlineStr">
        <is>
          <t>M</t>
        </is>
      </c>
      <c r="E24" s="96" t="inlineStr">
        <is>
          <t>For all AIF Content Types</t>
        </is>
      </c>
      <c r="F24" s="97" t="n"/>
    </row>
    <row r="25">
      <c r="A25" s="87" t="inlineStr">
        <is>
          <t>AIF_NATIONAL_CODE</t>
        </is>
      </c>
      <c r="B25" s="88" t="inlineStr">
        <is>
          <t>AIF_ID</t>
        </is>
      </c>
      <c r="C25" s="89" t="inlineStr">
        <is>
          <t>Custom AIF Identification</t>
        </is>
      </c>
      <c r="D25" s="90" t="inlineStr">
        <is>
          <t>Mandatory</t>
        </is>
      </c>
      <c r="E25" s="89" t="inlineStr">
        <is>
          <t>Custom AIF Identification to link AIF records to the correct AIF</t>
        </is>
      </c>
    </row>
    <row r="26">
      <c r="A26" s="87" t="inlineStr">
        <is>
          <t>AIF_NATIONAL_CODE</t>
        </is>
      </c>
      <c r="B26" s="88" t="n">
        <v>1</v>
      </c>
      <c r="C26" s="89" t="inlineStr">
        <is>
          <t>AIF Reporting Member State</t>
        </is>
      </c>
      <c r="D26" s="90" t="inlineStr">
        <is>
          <t>Mandatory</t>
        </is>
      </c>
      <c r="E26" s="91" t="inlineStr">
        <is>
          <t>EEA/EU Country code standard ISO-3166-1 of the Member State to which the AIFM reports the AIFMD reporting.</t>
        </is>
      </c>
    </row>
    <row r="27" ht="22.5" customHeight="1">
      <c r="A27" s="87" t="inlineStr">
        <is>
          <t>AIF_NATIONAL_CODE</t>
        </is>
      </c>
      <c r="B27" s="88" t="n">
        <v>17</v>
      </c>
      <c r="C27" s="89" t="inlineStr">
        <is>
          <t>AIF National Code</t>
        </is>
      </c>
      <c r="D27" s="90" t="inlineStr">
        <is>
          <t>Mandatory</t>
        </is>
      </c>
      <c r="E27" s="91" t="inlineStr">
        <is>
          <t>Unique reference identifying each AIF allocated by the national competent authority of the reporting Member State of the AIFM to which the AIFM reports under AIFMD</t>
        </is>
      </c>
    </row>
    <row r="28" ht="22.5" customHeight="1">
      <c r="A28" s="87" t="inlineStr">
        <is>
          <t>AIF_NATIONAL_CODE</t>
        </is>
      </c>
      <c r="B28" s="88" t="n">
        <v>31</v>
      </c>
      <c r="C28" s="89" t="inlineStr">
        <is>
          <t>Old AIF Reporting Member State</t>
        </is>
      </c>
      <c r="D28" s="90" t="inlineStr">
        <is>
          <t>C
M for Old AIF National Code filled in</t>
        </is>
      </c>
      <c r="E28" s="91" t="inlineStr">
        <is>
          <t>EEA/EU Country code standard ISO-3166-1 of the reporting Member State to which the AIFM reports under AIFMD when the national code identifying the AIF has been modified.</t>
        </is>
      </c>
    </row>
    <row r="29" ht="22.5" customHeight="1">
      <c r="A29" s="87" t="inlineStr">
        <is>
          <t>AIF_NATIONAL_CODE</t>
        </is>
      </c>
      <c r="B29" s="88" t="n">
        <v>32</v>
      </c>
      <c r="C29" s="89" t="inlineStr">
        <is>
          <t>Old AIF National Code</t>
        </is>
      </c>
      <c r="D29" s="90" t="inlineStr">
        <is>
          <t>C
M for Old AIF Reporting Member State filled in</t>
        </is>
      </c>
      <c r="E29" s="91" t="inlineStr">
        <is>
          <t>Former national identification code to provide when the national identification code of the AIF changes (for the first reporting following the change of the national code and any subsequent reporting).</t>
        </is>
      </c>
    </row>
    <row r="30">
      <c r="A30" s="87" t="n"/>
      <c r="B30" s="88" t="n"/>
      <c r="C30" s="89" t="n"/>
    </row>
    <row r="31">
      <c r="A31" s="83" t="inlineStr">
        <is>
          <t>The AIFM input record describes the AIFM (AIFM 24/1)</t>
        </is>
      </c>
      <c r="B31" s="93" t="n"/>
      <c r="C31" s="94" t="n"/>
      <c r="D31" s="95" t="inlineStr">
        <is>
          <t>M</t>
        </is>
      </c>
      <c r="E31" s="96" t="inlineStr">
        <is>
          <t>For all AIF Content Types</t>
        </is>
      </c>
      <c r="F31" s="97" t="n"/>
    </row>
    <row r="32" ht="45" customHeight="1">
      <c r="A32" s="87" t="inlineStr">
        <is>
          <t>AIFM</t>
        </is>
      </c>
      <c r="B32" s="88" t="n">
        <v>4</v>
      </c>
      <c r="C32" s="89" t="inlineStr">
        <is>
          <t>Filing Type</t>
        </is>
      </c>
      <c r="D32" s="90" t="inlineStr">
        <is>
          <t>Optional</t>
        </is>
      </c>
      <c r="E32" s="91" t="inlineStr">
        <is>
          <t>The filling types admitted are:
  - AMND for "amendment to one reporting previously submitted"
  - INIT or empty for "initial reporting for the reporting period"
  - CANCEL for "cancel one reporting previously submitted"</t>
        </is>
      </c>
    </row>
    <row r="33" ht="56.25" customHeight="1">
      <c r="A33" s="87" t="inlineStr">
        <is>
          <t>AIFM</t>
        </is>
      </c>
      <c r="B33" s="88" t="n">
        <v>5</v>
      </c>
      <c r="C33" s="89" t="inlineStr">
        <is>
          <t>AIFM Content Type</t>
        </is>
      </c>
      <c r="D33" s="90" t="inlineStr">
        <is>
          <t>Mandatory</t>
        </is>
      </c>
      <c r="E33" s="91"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3.75" customHeight="1">
      <c r="A34" s="87" t="inlineStr">
        <is>
          <t>AIFM</t>
        </is>
      </c>
      <c r="B34" s="88" t="n">
        <v>6</v>
      </c>
      <c r="C34" s="89" t="inlineStr">
        <is>
          <t>Reporting Period Start Date</t>
        </is>
      </c>
      <c r="D34" s="90" t="inlineStr">
        <is>
          <t>Legacy</t>
        </is>
      </c>
      <c r="E34" s="91" t="inlineStr">
        <is>
          <t>Legacy, not needed anymore. Now determined based on Reporting Period Type and Reporting Period Year.
The start date of the reporting period should begin on  the first calendar of January, April, July or October.</t>
        </is>
      </c>
    </row>
    <row r="35" ht="45" customHeight="1">
      <c r="A35" s="87" t="inlineStr">
        <is>
          <t>AIFM</t>
        </is>
      </c>
      <c r="B35" s="88" t="n">
        <v>7</v>
      </c>
      <c r="C35" s="89" t="inlineStr">
        <is>
          <t>Reporting Period End Date</t>
        </is>
      </c>
      <c r="D35" s="90" t="inlineStr">
        <is>
          <t>Legacy</t>
        </is>
      </c>
      <c r="E35" s="91"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58.75" customHeight="1">
      <c r="A36" s="87" t="inlineStr">
        <is>
          <t>AIFM</t>
        </is>
      </c>
      <c r="B36" s="88" t="n">
        <v>8</v>
      </c>
      <c r="C36" s="89" t="inlineStr">
        <is>
          <t>Reporting Period Type</t>
        </is>
      </c>
      <c r="D36" s="90" t="inlineStr">
        <is>
          <t>Mandatory</t>
        </is>
      </c>
      <c r="E36" s="91"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87" t="inlineStr">
        <is>
          <t>AIFM</t>
        </is>
      </c>
      <c r="B37" s="88" t="n">
        <v>9</v>
      </c>
      <c r="C37" s="89" t="inlineStr">
        <is>
          <t>Reporting Period Year</t>
        </is>
      </c>
      <c r="D37" s="90" t="inlineStr">
        <is>
          <t>Mandatory</t>
        </is>
      </c>
      <c r="E37" s="91" t="inlineStr">
        <is>
          <t>The reporting period year (2013, 2014…).</t>
        </is>
      </c>
    </row>
    <row r="38">
      <c r="A38" s="87" t="inlineStr">
        <is>
          <t>AIFM</t>
        </is>
      </c>
      <c r="B38" s="88" t="n">
        <v>10</v>
      </c>
      <c r="C38" s="89" t="inlineStr">
        <is>
          <t>Change in AIFM Reporting Obligation Frequency Code</t>
        </is>
      </c>
      <c r="D38" s="90" t="inlineStr">
        <is>
          <t>Optional</t>
        </is>
      </c>
      <c r="E38" s="91" t="inlineStr">
        <is>
          <t>The codes to report a change in the AIFM reporting obligation frequency are contained in Annex II - Table 8 and 10, available via our Help page.</t>
        </is>
      </c>
      <c r="F38" s="99" t="n"/>
    </row>
    <row r="39">
      <c r="A39" s="87" t="inlineStr">
        <is>
          <t>AIFM</t>
        </is>
      </c>
      <c r="B39" s="88" t="n">
        <v>11</v>
      </c>
      <c r="C39" s="89" t="inlineStr">
        <is>
          <t>Change in AIFM Reporting Obligation contents Code</t>
        </is>
      </c>
      <c r="D39" s="90" t="inlineStr">
        <is>
          <t>Optional</t>
        </is>
      </c>
      <c r="E39" s="91" t="inlineStr">
        <is>
          <t>The codes to report a change in the AIFM reporting obligation contents are contained in Annex II - Table 8, available via our Help page.</t>
        </is>
      </c>
      <c r="F39" s="99" t="n"/>
    </row>
    <row r="40" ht="67.5" customHeight="1">
      <c r="A40" s="87" t="inlineStr">
        <is>
          <t>AIFM</t>
        </is>
      </c>
      <c r="B40" s="88" t="n">
        <v>12</v>
      </c>
      <c r="C40" s="89" t="inlineStr">
        <is>
          <t>Change in AIFM Reporting Obligation Quarter</t>
        </is>
      </c>
      <c r="D40" s="90" t="inlineStr">
        <is>
          <t>C
M when AIFM 10 or AIFM 11 are filled in.</t>
        </is>
      </c>
      <c r="E40" s="91"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99" t="n"/>
    </row>
    <row r="41" ht="45" customHeight="1">
      <c r="A41" s="87" t="inlineStr">
        <is>
          <t>AIFM</t>
        </is>
      </c>
      <c r="B41" s="88" t="n">
        <v>13</v>
      </c>
      <c r="C41" s="89" t="inlineStr">
        <is>
          <t>Last Reporting Flag</t>
        </is>
      </c>
      <c r="D41" s="90" t="inlineStr">
        <is>
          <t>Mandatory</t>
        </is>
      </c>
      <c r="E41" s="118" t="inlineStr">
        <is>
          <t>Flag indicating whether the reporting is the last reporting. To be filled in when the AIFM has been liquidated or merged during the reporting period.
true for last AIFM reporting file.
false otherwise</t>
        </is>
      </c>
    </row>
    <row r="42" ht="146.25" customHeight="1">
      <c r="A42" s="87" t="inlineStr">
        <is>
          <t>AIFM</t>
        </is>
      </c>
      <c r="B42" s="88" t="n">
        <v>16</v>
      </c>
      <c r="C42" s="89" t="inlineStr">
        <is>
          <t>AIFM Reporting Code</t>
        </is>
      </c>
      <c r="D42" s="90" t="inlineStr">
        <is>
          <t>Mandatory</t>
        </is>
      </c>
      <c r="E42" s="91"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99" t="inlineStr">
        <is>
          <t>See tab: #DOC Reporting Code</t>
        </is>
      </c>
    </row>
    <row r="43">
      <c r="A43" s="87" t="inlineStr">
        <is>
          <t>AIFM</t>
        </is>
      </c>
      <c r="B43" s="88" t="n">
        <v>17</v>
      </c>
      <c r="C43" s="89" t="inlineStr">
        <is>
          <t>AIFM Jurisdiction</t>
        </is>
      </c>
      <c r="D43" s="90" t="inlineStr">
        <is>
          <t>Mandatory</t>
        </is>
      </c>
      <c r="E43" s="91" t="inlineStr">
        <is>
          <t>Jurisdiction in which the AIFM is established (Country code standard ISO-3166-1)</t>
        </is>
      </c>
    </row>
    <row r="44" ht="22.5" customHeight="1">
      <c r="A44" s="87" t="inlineStr">
        <is>
          <t>AIFM</t>
        </is>
      </c>
      <c r="B44" s="88" t="n">
        <v>19</v>
      </c>
      <c r="C44" s="89" t="inlineStr">
        <is>
          <t>AIFM Name</t>
        </is>
      </c>
      <c r="D44" s="90" t="inlineStr">
        <is>
          <t>Mandatory</t>
        </is>
      </c>
      <c r="E44" s="91" t="inlineStr">
        <is>
          <t>Alternative Investment Fund manager name. (no standard)
It is strongly recommended to provide the full name corresponding to the allocated LEI code (or BIC code if any and LEI not available).</t>
        </is>
      </c>
    </row>
    <row r="45" ht="56.25" customHeight="1">
      <c r="A45" s="87" t="inlineStr">
        <is>
          <t>AIFM</t>
        </is>
      </c>
      <c r="B45" s="88" t="n">
        <v>20</v>
      </c>
      <c r="C45" s="89" t="inlineStr">
        <is>
          <t>AIFM EEA Flag</t>
        </is>
      </c>
      <c r="D45" s="90" t="inlineStr">
        <is>
          <t>Legacy</t>
        </is>
      </c>
      <c r="E45" s="91" t="inlineStr">
        <is>
          <t xml:space="preserve">Legacy, not needed anymore. Now determined based on AIFM Jurisdiction.
Flag indicating whether the AIFM is domiciled in the EEA.
true for EEA AIFMs
false for non-EEA AIFMs  </t>
        </is>
      </c>
    </row>
    <row r="46" ht="56.25" customHeight="1">
      <c r="A46" s="87" t="inlineStr">
        <is>
          <t>AIFM</t>
        </is>
      </c>
      <c r="B46" s="88" t="n">
        <v>21</v>
      </c>
      <c r="C46" s="89" t="inlineStr">
        <is>
          <t>AIFM no reporting flag</t>
        </is>
      </c>
      <c r="D46" s="90" t="inlineStr">
        <is>
          <t>Mandatory</t>
        </is>
      </c>
      <c r="E46" s="91"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67.5" customHeight="1">
      <c r="A47" s="87" t="inlineStr">
        <is>
          <t>AIFM</t>
        </is>
      </c>
      <c r="B47" s="88" t="n">
        <v>22</v>
      </c>
      <c r="C47" s="89" t="inlineStr">
        <is>
          <t>AIFM LEI Code</t>
        </is>
      </c>
      <c r="D47" s="90" t="inlineStr">
        <is>
          <t>C
Mandatory when present in www.gleif.org</t>
        </is>
      </c>
      <c r="E47" s="117"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87" t="inlineStr">
        <is>
          <t>AIFM</t>
        </is>
      </c>
      <c r="B48" s="88" t="n">
        <v>23</v>
      </c>
      <c r="C48" s="89" t="inlineStr">
        <is>
          <t>AIFM BIC Code</t>
        </is>
      </c>
      <c r="D48" s="90" t="inlineStr">
        <is>
          <t>O</t>
        </is>
      </c>
      <c r="E48" s="117" t="inlineStr">
        <is>
          <t>11 Character BIC code of the entity (ISO 9362 standard)</t>
        </is>
      </c>
    </row>
    <row r="49"/>
    <row r="50">
      <c r="A50" s="83" t="inlineStr">
        <is>
          <t>The AIF input record describes the AIF (AIF 24/1)</t>
        </is>
      </c>
      <c r="B50" s="100" t="n"/>
      <c r="C50" s="101" t="n"/>
      <c r="D50" s="95" t="inlineStr">
        <is>
          <t>M</t>
        </is>
      </c>
      <c r="E50" s="96" t="inlineStr">
        <is>
          <t>For all AIF Content Types</t>
        </is>
      </c>
      <c r="F50" s="102" t="n"/>
    </row>
    <row r="51">
      <c r="A51" s="87" t="inlineStr">
        <is>
          <t>AIF</t>
        </is>
      </c>
      <c r="B51" s="88" t="inlineStr">
        <is>
          <t>AIF_ID</t>
        </is>
      </c>
      <c r="C51" s="89" t="inlineStr">
        <is>
          <t>Custom AIF Identification</t>
        </is>
      </c>
      <c r="D51" s="90" t="inlineStr">
        <is>
          <t>Mandatory</t>
        </is>
      </c>
      <c r="E51" s="89" t="inlineStr">
        <is>
          <t>Custom AIF Identification to link AIF records to the correct AIF</t>
        </is>
      </c>
    </row>
    <row r="52" ht="56.25" customHeight="1">
      <c r="A52" s="87" t="inlineStr">
        <is>
          <t>AIF</t>
        </is>
      </c>
      <c r="B52" s="88" t="n">
        <v>4</v>
      </c>
      <c r="C52" s="89" t="inlineStr">
        <is>
          <t>Filing Type</t>
        </is>
      </c>
      <c r="D52" s="90" t="inlineStr">
        <is>
          <t>Optional</t>
        </is>
      </c>
      <c r="E52" s="118"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91" t="inlineStr">
        <is>
          <t>For first filing will be INIT</t>
        </is>
      </c>
    </row>
    <row r="53" ht="135" customHeight="1">
      <c r="A53" s="87" t="inlineStr">
        <is>
          <t>AIF</t>
        </is>
      </c>
      <c r="B53" s="88" t="n">
        <v>5</v>
      </c>
      <c r="C53" s="89" t="inlineStr">
        <is>
          <t>AIF Content Type</t>
        </is>
      </c>
      <c r="D53" s="90" t="inlineStr">
        <is>
          <t>Mandatory</t>
        </is>
      </c>
      <c r="E53" s="118"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91" t="inlineStr">
        <is>
          <t>This relates the frequency of the reporting for the fund.   
See tab: #DOC Reporting Obligation</t>
        </is>
      </c>
    </row>
    <row r="54" ht="33.75" customHeight="1">
      <c r="A54" s="87" t="inlineStr">
        <is>
          <t>AIF</t>
        </is>
      </c>
      <c r="B54" s="88" t="n">
        <v>6</v>
      </c>
      <c r="C54" s="89" t="inlineStr">
        <is>
          <t>Reporting Period Start Date</t>
        </is>
      </c>
      <c r="D54" s="90" t="inlineStr">
        <is>
          <t>Legacy</t>
        </is>
      </c>
      <c r="E54" s="118" t="inlineStr">
        <is>
          <t>Legacy, not needed anymore. Now determined based on Reporting Period Type and Reporting Period Year.
The start date of the reporting period should begin on  the first calendar day of January, April, July or October.</t>
        </is>
      </c>
    </row>
    <row r="55" ht="33.75" customHeight="1">
      <c r="A55" s="87" t="inlineStr">
        <is>
          <t>AIF</t>
        </is>
      </c>
      <c r="B55" s="88" t="n">
        <v>7</v>
      </c>
      <c r="C55" s="89" t="inlineStr">
        <is>
          <t>Reporting Period End Date</t>
        </is>
      </c>
      <c r="D55" s="90" t="inlineStr">
        <is>
          <t>Legacy</t>
        </is>
      </c>
      <c r="E55" s="91" t="inlineStr">
        <is>
          <t>Legacy, not needed anymore. Now determined based on Reporting Period Type and Reporting Period Year.
The end date of the reporting period may be the last calendar day of March, June, September or December.</t>
        </is>
      </c>
    </row>
    <row r="56" ht="258.75" customHeight="1">
      <c r="A56" s="87" t="inlineStr">
        <is>
          <t>AIF</t>
        </is>
      </c>
      <c r="B56" s="88" t="n">
        <v>8</v>
      </c>
      <c r="C56" s="89" t="inlineStr">
        <is>
          <t>Reporting Period Type</t>
        </is>
      </c>
      <c r="D56" s="90" t="inlineStr">
        <is>
          <t>Mandatory</t>
        </is>
      </c>
      <c r="E56" s="91"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3.75" customHeight="1">
      <c r="A57" s="87" t="inlineStr">
        <is>
          <t>AIF</t>
        </is>
      </c>
      <c r="B57" s="88" t="n">
        <v>9</v>
      </c>
      <c r="C57" s="89" t="inlineStr">
        <is>
          <t>Reporting Period Year</t>
        </is>
      </c>
      <c r="D57" s="90" t="inlineStr">
        <is>
          <t>Legacy</t>
        </is>
      </c>
      <c r="E57" s="91" t="inlineStr">
        <is>
          <t>Legacy, not needed anymore. Now copied from AIFM field 9.
The reporting period year (2013, 2014…).</t>
        </is>
      </c>
    </row>
    <row r="58">
      <c r="A58" s="87" t="inlineStr">
        <is>
          <t>AIF</t>
        </is>
      </c>
      <c r="B58" s="88" t="n">
        <v>10</v>
      </c>
      <c r="C58" s="89" t="inlineStr">
        <is>
          <t>Change in AIF Reporting Obligation Frequency Code</t>
        </is>
      </c>
      <c r="D58" s="90" t="inlineStr">
        <is>
          <t>Optional</t>
        </is>
      </c>
      <c r="E58" s="118" t="inlineStr">
        <is>
          <t>The codes to report a change in the AIF reporting obligation frequency are contained in Annex II - Table 9 and 10, available via our Help page.</t>
        </is>
      </c>
    </row>
    <row r="59">
      <c r="A59" s="87" t="inlineStr">
        <is>
          <t>AIF</t>
        </is>
      </c>
      <c r="B59" s="88" t="n">
        <v>11</v>
      </c>
      <c r="C59" s="89" t="inlineStr">
        <is>
          <t>Change in AIF Reporting Obligation contents Code</t>
        </is>
      </c>
      <c r="D59" s="90" t="inlineStr">
        <is>
          <t>Optional</t>
        </is>
      </c>
      <c r="E59" s="118" t="inlineStr">
        <is>
          <t>The codes to report a change in the AIF reporting obligation contents are contained in Annex II - Table 9, available via our Help page.</t>
        </is>
      </c>
    </row>
    <row r="60" ht="90" customHeight="1">
      <c r="A60" s="87" t="inlineStr">
        <is>
          <t>AIF</t>
        </is>
      </c>
      <c r="B60" s="88" t="n">
        <v>12</v>
      </c>
      <c r="C60" s="89" t="inlineStr">
        <is>
          <t>Change in AIF Reporting Obligation Quarter</t>
        </is>
      </c>
      <c r="D60" s="90" t="inlineStr">
        <is>
          <t>C
M when AIF 10 or AIF 11 are filled in.
F otherwise.</t>
        </is>
      </c>
      <c r="E60" s="118"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33.75" customHeight="1">
      <c r="A61" s="87" t="inlineStr">
        <is>
          <t>AIF</t>
        </is>
      </c>
      <c r="B61" s="88" t="n">
        <v>13</v>
      </c>
      <c r="C61" s="89" t="inlineStr">
        <is>
          <t>Last reporting flag</t>
        </is>
      </c>
      <c r="D61" s="90" t="inlineStr">
        <is>
          <t>Mandatory</t>
        </is>
      </c>
      <c r="E61" s="137" t="inlineStr">
        <is>
          <t>Flag indicating whether the reporting is the last reporting. To be filled in when the AIF has been liquidated or merged during the reporting period.
true for last AIF reporting file.
false otherwise</t>
        </is>
      </c>
    </row>
    <row r="62" ht="22.5" customHeight="1">
      <c r="A62" s="87" t="inlineStr">
        <is>
          <t>AIF</t>
        </is>
      </c>
      <c r="B62" s="88" t="n">
        <v>18</v>
      </c>
      <c r="C62" s="89" t="inlineStr">
        <is>
          <t>AIF Name</t>
        </is>
      </c>
      <c r="D62" s="90" t="inlineStr">
        <is>
          <t>Mandatory</t>
        </is>
      </c>
      <c r="E62" s="118" t="inlineStr">
        <is>
          <t>The legal name of the AIF (no standard).
In the case of umbrella funds, the names of the umbrella fund and the sub-funds should be reported.</t>
        </is>
      </c>
    </row>
    <row r="63" ht="56.25" customHeight="1">
      <c r="A63" s="87" t="inlineStr">
        <is>
          <t>AIF</t>
        </is>
      </c>
      <c r="B63" s="88" t="n">
        <v>19</v>
      </c>
      <c r="C63" s="89" t="inlineStr">
        <is>
          <t>AIF EEA Flag</t>
        </is>
      </c>
      <c r="D63" s="90" t="inlineStr">
        <is>
          <t>Legacy</t>
        </is>
      </c>
      <c r="E63" s="118" t="inlineStr">
        <is>
          <t>Legacy, not needed anymore. Now determined based on AIFM Jurisdiction.
Flag indicating whether the AIF is domiciled in the EEA or the EU.
true for EEA or EU AIFs
false for non-EEA or EU AIFs</t>
        </is>
      </c>
    </row>
    <row r="64" ht="33.75" customHeight="1">
      <c r="A64" s="87" t="inlineStr">
        <is>
          <t>AIF</t>
        </is>
      </c>
      <c r="B64" s="88" t="n">
        <v>20</v>
      </c>
      <c r="C64" s="89" t="inlineStr">
        <is>
          <t>AIF reporting code</t>
        </is>
      </c>
      <c r="D64" s="90" t="inlineStr">
        <is>
          <t>Mandatory</t>
        </is>
      </c>
      <c r="E64" s="118" t="inlineStr">
        <is>
          <t>Code indicating the reporting category of the AIF.
See tab "#DOC Reporting Code" for a combined view.
The original ESMA table Annex II - Table 9 is available via our Help page.</t>
        </is>
      </c>
      <c r="F64" s="99" t="inlineStr">
        <is>
          <t>See tab: #DOC Reporting Code</t>
        </is>
      </c>
    </row>
    <row r="65" ht="56.25" customHeight="1">
      <c r="A65" s="87" t="inlineStr">
        <is>
          <t>AIF</t>
        </is>
      </c>
      <c r="B65" s="88" t="n">
        <v>21</v>
      </c>
      <c r="C65" s="89" t="inlineStr">
        <is>
          <t>Domicile of the AIF</t>
        </is>
      </c>
      <c r="D65" s="90" t="inlineStr">
        <is>
          <t>Conditional</t>
        </is>
      </c>
      <c r="E65" s="118"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2.5" customHeight="1">
      <c r="A66" s="87" t="inlineStr">
        <is>
          <t>AIF</t>
        </is>
      </c>
      <c r="B66" s="88" t="n">
        <v>22</v>
      </c>
      <c r="C66" s="89" t="inlineStr">
        <is>
          <t>Inception Date of AIF</t>
        </is>
      </c>
      <c r="D66" s="90" t="inlineStr">
        <is>
          <t>Mandatory</t>
        </is>
      </c>
      <c r="E66" s="118" t="inlineStr">
        <is>
          <t>The date the AIF started business (yyyy-mm-dd (ISO 8601 Date Format)).
The inception date should not be after the start date of the reporting period.</t>
        </is>
      </c>
    </row>
    <row r="67" ht="33.75" customHeight="1">
      <c r="A67" s="87" t="inlineStr">
        <is>
          <t>AIF</t>
        </is>
      </c>
      <c r="B67" s="88" t="n">
        <v>23</v>
      </c>
      <c r="C67" s="89" t="inlineStr">
        <is>
          <t>AIF No Reporting Flag</t>
        </is>
      </c>
      <c r="D67" s="90" t="inlineStr">
        <is>
          <t>Mandatory</t>
        </is>
      </c>
      <c r="E67" s="118" t="inlineStr">
        <is>
          <t>true for empty file (no information to report for the reporting period)
false otherwise
The AIFCompleteDescription block will not be filled in when the AIF no reporting flag is true.</t>
        </is>
      </c>
    </row>
    <row r="68" ht="67.5" customHeight="1">
      <c r="A68" s="87" t="inlineStr">
        <is>
          <t>AIF</t>
        </is>
      </c>
      <c r="B68" s="88" t="n">
        <v>24</v>
      </c>
      <c r="C68" s="89" t="inlineStr">
        <is>
          <t>AIF LEI code</t>
        </is>
      </c>
      <c r="D68" s="90" t="inlineStr">
        <is>
          <t>C
Mandatory when present in www.gleif.org</t>
        </is>
      </c>
      <c r="E68" s="11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87" t="inlineStr">
        <is>
          <t>AIF</t>
        </is>
      </c>
      <c r="B69" s="88" t="n">
        <v>25</v>
      </c>
      <c r="C69" s="89" t="inlineStr">
        <is>
          <t>AIF ISIN code</t>
        </is>
      </c>
      <c r="D69" s="90" t="inlineStr">
        <is>
          <t>Optional</t>
        </is>
      </c>
      <c r="E69" s="119" t="inlineStr">
        <is>
          <t>ISIN code (ISO 6166 standard)</t>
        </is>
      </c>
    </row>
    <row r="70">
      <c r="A70" s="87" t="inlineStr">
        <is>
          <t>AIF</t>
        </is>
      </c>
      <c r="B70" s="88" t="n">
        <v>26</v>
      </c>
      <c r="C70" s="89" t="inlineStr">
        <is>
          <t>AIF CUSIP code</t>
        </is>
      </c>
      <c r="D70" s="90" t="inlineStr">
        <is>
          <t>Optional</t>
        </is>
      </c>
      <c r="E70" s="119" t="inlineStr">
        <is>
          <t>CUSIP code</t>
        </is>
      </c>
    </row>
    <row r="71">
      <c r="A71" s="87" t="inlineStr">
        <is>
          <t>AIF</t>
        </is>
      </c>
      <c r="B71" s="88" t="n">
        <v>27</v>
      </c>
      <c r="C71" s="89" t="inlineStr">
        <is>
          <t>AIF Sedol code</t>
        </is>
      </c>
      <c r="D71" s="90" t="inlineStr">
        <is>
          <t>Optional</t>
        </is>
      </c>
      <c r="E71" s="119" t="inlineStr">
        <is>
          <t>SEDOL code</t>
        </is>
      </c>
    </row>
    <row r="72">
      <c r="A72" s="87" t="inlineStr">
        <is>
          <t>AIF</t>
        </is>
      </c>
      <c r="B72" s="88" t="n">
        <v>28</v>
      </c>
      <c r="C72" s="89" t="inlineStr">
        <is>
          <t>AIF Bloomberg code</t>
        </is>
      </c>
      <c r="D72" s="90" t="inlineStr">
        <is>
          <t>Optional</t>
        </is>
      </c>
      <c r="E72" s="119" t="inlineStr">
        <is>
          <t>Bloomberg ticker symbol</t>
        </is>
      </c>
    </row>
    <row r="73">
      <c r="A73" s="87" t="inlineStr">
        <is>
          <t>AIF</t>
        </is>
      </c>
      <c r="B73" s="88" t="n">
        <v>29</v>
      </c>
      <c r="C73" s="89" t="inlineStr">
        <is>
          <t>AIF Reuters code</t>
        </is>
      </c>
      <c r="D73" s="90" t="inlineStr">
        <is>
          <t>Optional</t>
        </is>
      </c>
      <c r="E73" s="119" t="inlineStr">
        <is>
          <t>Reuters Identifier Code (RIC)</t>
        </is>
      </c>
    </row>
    <row r="74">
      <c r="A74" s="87" t="inlineStr">
        <is>
          <t>AIF</t>
        </is>
      </c>
      <c r="B74" s="88" t="n">
        <v>30</v>
      </c>
      <c r="C74" s="89" t="inlineStr">
        <is>
          <t>AIF ECB code</t>
        </is>
      </c>
      <c r="D74" s="90" t="inlineStr">
        <is>
          <t>Optional</t>
        </is>
      </c>
      <c r="E74" s="119" t="inlineStr">
        <is>
          <t>European Central Bank code</t>
        </is>
      </c>
    </row>
    <row r="75" ht="45" customHeight="1">
      <c r="A75" s="87" t="inlineStr">
        <is>
          <t>AIF</t>
        </is>
      </c>
      <c r="B75" s="88" t="n">
        <v>41</v>
      </c>
      <c r="C75" s="89" t="inlineStr">
        <is>
          <t>Master feeder status</t>
        </is>
      </c>
      <c r="D75" s="90" t="inlineStr">
        <is>
          <t>Optional</t>
        </is>
      </c>
      <c r="E75" s="118" t="inlineStr">
        <is>
          <t xml:space="preserve">3 status are admitted:
- “MASTER” for master AIF
- “FEEDER” for feeder AIF 
- “NONE” or empty in other cases </t>
        </is>
      </c>
    </row>
    <row r="76" ht="22.5" customHeight="1">
      <c r="A76" s="87" t="inlineStr">
        <is>
          <t>AIF</t>
        </is>
      </c>
      <c r="B76" s="88" t="n">
        <v>49</v>
      </c>
      <c r="C76" s="89" t="inlineStr">
        <is>
          <t>Base currency of the AIF</t>
        </is>
      </c>
      <c r="D76" s="90" t="inlineStr">
        <is>
          <t>M</t>
        </is>
      </c>
      <c r="E76" s="118"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5" customHeight="1">
      <c r="A77" s="87" t="inlineStr">
        <is>
          <t>AIF</t>
        </is>
      </c>
      <c r="B77" s="88" t="n">
        <v>48</v>
      </c>
      <c r="C77" s="89" t="inlineStr">
        <is>
          <t>Total AuM amount of the AIF in base currency</t>
        </is>
      </c>
      <c r="D77" s="90" t="inlineStr">
        <is>
          <t>Optional</t>
        </is>
      </c>
      <c r="E77" s="118"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3.75" customHeight="1">
      <c r="A78" s="87" t="inlineStr">
        <is>
          <t>AIF</t>
        </is>
      </c>
      <c r="B78" s="88" t="n">
        <v>53</v>
      </c>
      <c r="C78" s="89" t="inlineStr">
        <is>
          <t>Total Net Asset Value (NAV) of the AIF in base currency</t>
        </is>
      </c>
      <c r="D78" s="90" t="inlineStr">
        <is>
          <t>Optional</t>
        </is>
      </c>
      <c r="E78" s="134" t="inlineStr">
        <is>
          <t>Optional. If left empty, the system calculates this as the sum of the POSITION records field Net Asset Value [NAV].
The total Total Net Asset Value (NAV) of the AIF expressed in base currency.</t>
        </is>
      </c>
    </row>
    <row r="79">
      <c r="A79" s="87" t="inlineStr">
        <is>
          <t>AIF</t>
        </is>
      </c>
      <c r="B79" s="88" t="n">
        <v>54</v>
      </c>
      <c r="C79" s="89" t="inlineStr">
        <is>
          <t>First funding source country</t>
        </is>
      </c>
      <c r="D79" s="90" t="inlineStr">
        <is>
          <t>Optional</t>
        </is>
      </c>
      <c r="E79" s="118" t="inlineStr">
        <is>
          <t>The country of the first main funding source (counterparty of the liability) using the country code standard ISO-3166-1.</t>
        </is>
      </c>
    </row>
    <row r="80">
      <c r="A80" s="87" t="inlineStr">
        <is>
          <t>AIF</t>
        </is>
      </c>
      <c r="B80" s="88" t="n">
        <v>55</v>
      </c>
      <c r="C80" s="89" t="inlineStr">
        <is>
          <t>Second funding source country</t>
        </is>
      </c>
      <c r="D80" s="90" t="inlineStr">
        <is>
          <t>Optional</t>
        </is>
      </c>
      <c r="E80" s="118" t="inlineStr">
        <is>
          <t>The country of the second main funding source (counterparty of the liability) using the country code standard ISO-3166-1.</t>
        </is>
      </c>
    </row>
    <row r="81">
      <c r="A81" s="87" t="inlineStr">
        <is>
          <t>AIF</t>
        </is>
      </c>
      <c r="B81" s="88" t="n">
        <v>56</v>
      </c>
      <c r="C81" s="89" t="inlineStr">
        <is>
          <t>Third funding source country</t>
        </is>
      </c>
      <c r="D81" s="90" t="inlineStr">
        <is>
          <t>Optional</t>
        </is>
      </c>
      <c r="E81" s="118" t="inlineStr">
        <is>
          <t>The country of the third main funding source (counterparty of the liability) using the country code standard ISO-3166-1.</t>
        </is>
      </c>
    </row>
    <row r="82" ht="45" customHeight="1">
      <c r="A82" s="87" t="inlineStr">
        <is>
          <t>AIF</t>
        </is>
      </c>
      <c r="B82" s="88" t="n">
        <v>62</v>
      </c>
      <c r="C82" s="89" t="inlineStr">
        <is>
          <t>Number of transactions under HFT</t>
        </is>
      </c>
      <c r="D82" s="90" t="inlineStr">
        <is>
          <t>Optional</t>
        </is>
      </c>
      <c r="E82" s="118" t="inlineStr">
        <is>
          <t>The total number of transactions carried out using a high frequency algorithmic trading technique, as defined in the forthcoming revised Markets in Financial Instruments Directive (MiFID II).
Reported as 0 to the FSMA (BE) when not filled in.</t>
        </is>
      </c>
    </row>
    <row r="83" ht="48.6" customHeight="1">
      <c r="A83" s="87" t="inlineStr">
        <is>
          <t>AIF</t>
        </is>
      </c>
      <c r="B83" s="88" t="n">
        <v>63</v>
      </c>
      <c r="C83" s="89" t="inlineStr">
        <is>
          <t>Market value of buys and sells in base currency under HFT</t>
        </is>
      </c>
      <c r="D83" s="90" t="inlineStr">
        <is>
          <t>Optional</t>
        </is>
      </c>
      <c r="E83" s="118"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is>
      </c>
    </row>
    <row r="84" ht="101.25" customHeight="1">
      <c r="A84" s="87" t="inlineStr">
        <is>
          <t>AIF</t>
        </is>
      </c>
      <c r="B84" s="88" t="n">
        <v>113</v>
      </c>
      <c r="C84" s="89" t="inlineStr">
        <is>
          <t>Position size type</t>
        </is>
      </c>
      <c r="D84" s="90" t="inlineStr">
        <is>
          <t>C
M for “PEQF” predominant AIF type
ignored otherwise</t>
        </is>
      </c>
      <c r="E84" s="118"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is>
      </c>
      <c r="F84" s="99" t="inlineStr">
        <is>
          <t>See tab: #DOC Annex II Tables</t>
        </is>
      </c>
    </row>
    <row r="85" ht="33.75" customHeight="1">
      <c r="A85" s="87" t="inlineStr">
        <is>
          <t>AIF</t>
        </is>
      </c>
      <c r="B85" s="88" t="n">
        <v>118</v>
      </c>
      <c r="C85" s="89" t="inlineStr">
        <is>
          <t>Beneficially owned percentage by top 5 beneficial owners</t>
        </is>
      </c>
      <c r="D85" s="90" t="inlineStr">
        <is>
          <t>Mandatory</t>
        </is>
      </c>
      <c r="E85" s="91"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56.25" customHeight="1">
      <c r="A86" s="87" t="inlineStr">
        <is>
          <t>AIF</t>
        </is>
      </c>
      <c r="B86" s="88" t="n">
        <v>137</v>
      </c>
      <c r="C86" s="89" t="inlineStr">
        <is>
          <t>Expected annual investment return</t>
        </is>
      </c>
      <c r="D86" s="90" t="inlineStr">
        <is>
          <t>C
Optional for AIF Content types 2 and 4 (AIF field 5),
ignored otherwise.</t>
        </is>
      </c>
      <c r="E86" s="118"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91" t="inlineStr">
        <is>
          <t>In this reporting template, leave empty to report 'NA'.</t>
        </is>
      </c>
    </row>
    <row r="87" ht="33.75" customHeight="1">
      <c r="A87" s="87" t="inlineStr">
        <is>
          <t>AIF</t>
        </is>
      </c>
      <c r="B87" s="88" t="n">
        <v>120</v>
      </c>
      <c r="C87" s="89" t="inlineStr">
        <is>
          <t xml:space="preserve">Investor Concentration percentage by retail investors </t>
        </is>
      </c>
      <c r="D87" s="90" t="inlineStr">
        <is>
          <t>C
Mandatory for AIF Content types 1,3 and 5 (AIF field 5),
optional otherwise.</t>
        </is>
      </c>
      <c r="E87" s="91" t="inlineStr">
        <is>
          <t>Rate expressed as a percentage.
If empty, the percentage is taken from the INVESTOR record with Investor Group Type "HHLD". 
Field 119 "Investor Concentration percentage by professional clients" is caculated as 100 - this percentage.</t>
        </is>
      </c>
    </row>
    <row r="88" ht="45" customHeight="1">
      <c r="A88" s="87" t="inlineStr">
        <is>
          <t>AIF</t>
        </is>
      </c>
      <c r="B88" s="88" t="n">
        <v>218</v>
      </c>
      <c r="C88" s="89" t="inlineStr">
        <is>
          <t>Total number of open positions</t>
        </is>
      </c>
      <c r="D88" s="90" t="inlineStr">
        <is>
          <t>C
Optional for AIF Content types 2 and 4 (AIF field 5),
ignored otherwise.</t>
        </is>
      </c>
      <c r="E88" s="91" t="inlineStr">
        <is>
          <t>Total number of open positions.
Only needed if different from the number of POSITION records.
If empty, the total number of POSITION records per AIF is used.
Optional for AIF Content types 2 and 4 (AIF field 5), ignored otherwise.</t>
        </is>
      </c>
    </row>
    <row r="89">
      <c r="A89" s="87" t="n"/>
      <c r="B89" s="88" t="n"/>
      <c r="C89" s="89" t="n"/>
    </row>
    <row r="90">
      <c r="A90" s="83" t="inlineStr">
        <is>
          <t>The AIF_EXTERNAL input record describes AIF which are reported by an external company. This data is only used on form AIFM 24(1).</t>
        </is>
      </c>
      <c r="B90" s="93" t="n"/>
      <c r="C90" s="94" t="n"/>
      <c r="D90" s="95" t="inlineStr">
        <is>
          <t>C</t>
        </is>
      </c>
      <c r="E90" s="96" t="inlineStr">
        <is>
          <t>For all AIF Content Types</t>
        </is>
      </c>
      <c r="F90" s="97" t="n"/>
    </row>
    <row r="91">
      <c r="A91" s="87" t="inlineStr">
        <is>
          <t>AIF_EXTERNAL</t>
        </is>
      </c>
      <c r="B91" s="88" t="inlineStr">
        <is>
          <t>AIF_ID</t>
        </is>
      </c>
      <c r="C91" s="89" t="inlineStr">
        <is>
          <t>Custom AIF Identification</t>
        </is>
      </c>
      <c r="D91" s="90" t="inlineStr">
        <is>
          <t>Mandatory</t>
        </is>
      </c>
      <c r="E91" s="89" t="inlineStr">
        <is>
          <t>Custom AIF Identification to link External AIF records to the correct External AIF</t>
        </is>
      </c>
    </row>
    <row r="92" ht="33.75" customHeight="1">
      <c r="A92" s="87" t="inlineStr">
        <is>
          <t>AIF_EXTERNAL</t>
        </is>
      </c>
      <c r="B92" s="88" t="n">
        <v>6</v>
      </c>
      <c r="C92" s="89" t="inlineStr">
        <is>
          <t>Reporting Period Start Date</t>
        </is>
      </c>
      <c r="D92" s="90" t="inlineStr">
        <is>
          <t>Legacy</t>
        </is>
      </c>
      <c r="E92" s="118" t="inlineStr">
        <is>
          <t>Legacy, not needed anymore. Now determined based on Reporting Period Type and Reporting Period Year.
The start date of the reporting period should begin on  the first calendar day of January, April, July or October.</t>
        </is>
      </c>
    </row>
    <row r="93" ht="33.75" customHeight="1">
      <c r="A93" s="87" t="inlineStr">
        <is>
          <t>AIF_EXTERNAL</t>
        </is>
      </c>
      <c r="B93" s="88" t="n">
        <v>7</v>
      </c>
      <c r="C93" s="89" t="inlineStr">
        <is>
          <t>Reporting Period End Date</t>
        </is>
      </c>
      <c r="D93" s="90" t="inlineStr">
        <is>
          <t>Legacy</t>
        </is>
      </c>
      <c r="E93" s="91" t="inlineStr">
        <is>
          <t>Legacy, not needed anymore. Now determined based on Reporting Period Type and Reporting Period Year.
The end date of the reporting period may be the last calendar day of March, June, September or December.</t>
        </is>
      </c>
    </row>
    <row r="94" ht="281.25" customHeight="1">
      <c r="A94" s="87" t="inlineStr">
        <is>
          <t>AIF_EXTERNAL</t>
        </is>
      </c>
      <c r="B94" s="88" t="n">
        <v>8</v>
      </c>
      <c r="C94" s="89" t="inlineStr">
        <is>
          <t>Reporting Period Type</t>
        </is>
      </c>
      <c r="D94" s="90" t="inlineStr">
        <is>
          <t>Legacy</t>
        </is>
      </c>
      <c r="E94" s="91"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3.75" customHeight="1">
      <c r="A95" s="87" t="inlineStr">
        <is>
          <t>AIF_EXTERNAL</t>
        </is>
      </c>
      <c r="B95" s="88" t="n">
        <v>9</v>
      </c>
      <c r="C95" s="89" t="inlineStr">
        <is>
          <t>Reporting Period Year</t>
        </is>
      </c>
      <c r="D95" s="90" t="inlineStr">
        <is>
          <t>Legacy</t>
        </is>
      </c>
      <c r="E95" s="91" t="inlineStr">
        <is>
          <t>Legacy, not needed anymore. Now copied from AIFM field 9.
The reporting period year (2013, 2014…).</t>
        </is>
      </c>
    </row>
    <row r="96" ht="22.5" customHeight="1">
      <c r="A96" s="87" t="inlineStr">
        <is>
          <t>AIF_EXTERNAL</t>
        </is>
      </c>
      <c r="B96" s="88" t="n">
        <v>49</v>
      </c>
      <c r="C96" s="89" t="inlineStr">
        <is>
          <t>Base currency of the AIF</t>
        </is>
      </c>
      <c r="D96" s="90" t="inlineStr">
        <is>
          <t>Mandatory</t>
        </is>
      </c>
      <c r="E96" s="91"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45" customHeight="1">
      <c r="A97" s="87" t="inlineStr">
        <is>
          <t>AIF_EXTERNAL</t>
        </is>
      </c>
      <c r="B97" s="88" t="n">
        <v>48</v>
      </c>
      <c r="C97" s="89" t="inlineStr">
        <is>
          <t>Total AuM amount of the AIF in base currency</t>
        </is>
      </c>
      <c r="D97" s="90" t="inlineStr">
        <is>
          <t>Optional</t>
        </is>
      </c>
      <c r="E97" s="118"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87" t="n"/>
      <c r="B98" s="103" t="n"/>
      <c r="C98" s="89" t="n"/>
    </row>
    <row r="99">
      <c r="A99" s="83" t="inlineStr">
        <is>
          <t>AIFM - Assumption description</t>
        </is>
      </c>
      <c r="B99" s="93" t="n"/>
      <c r="C99" s="94" t="n"/>
      <c r="D99" s="95" t="inlineStr">
        <is>
          <t>O</t>
        </is>
      </c>
      <c r="E99" s="96" t="inlineStr">
        <is>
          <t>For all AIF Content Types</t>
        </is>
      </c>
      <c r="F99" s="97" t="n"/>
    </row>
    <row r="100">
      <c r="A100" s="87" t="inlineStr">
        <is>
          <t>AIFM_ASSUMPTION</t>
        </is>
      </c>
      <c r="B100" s="88" t="n">
        <v>14</v>
      </c>
      <c r="C100" s="89" t="inlineStr">
        <is>
          <t>Question Number</t>
        </is>
      </c>
      <c r="D100" s="90" t="inlineStr">
        <is>
          <t>Mandatory</t>
        </is>
      </c>
      <c r="E100" s="91" t="inlineStr">
        <is>
          <t>Question number for which assumption is provided.</t>
        </is>
      </c>
    </row>
    <row r="101">
      <c r="A101" s="87" t="inlineStr">
        <is>
          <t>AIFM_ASSUMPTION</t>
        </is>
      </c>
      <c r="B101" s="88" t="n">
        <v>15</v>
      </c>
      <c r="C101" s="89" t="inlineStr">
        <is>
          <t>Assumption description</t>
        </is>
      </c>
      <c r="D101" s="90" t="inlineStr">
        <is>
          <t>Mandatory</t>
        </is>
      </c>
      <c r="E101" s="91" t="inlineStr">
        <is>
          <t>Free description for assumption.</t>
        </is>
      </c>
    </row>
    <row r="102">
      <c r="A102" s="87" t="n"/>
      <c r="B102" s="88" t="n"/>
      <c r="C102" s="89" t="n"/>
    </row>
    <row r="103">
      <c r="A103" s="83" t="inlineStr">
        <is>
          <t>AIF - Assumption description</t>
        </is>
      </c>
      <c r="B103" s="93" t="n"/>
      <c r="C103" s="94" t="n"/>
      <c r="D103" s="95" t="inlineStr">
        <is>
          <t>O</t>
        </is>
      </c>
      <c r="E103" s="96" t="inlineStr">
        <is>
          <t>For all AIF Content Types</t>
        </is>
      </c>
      <c r="F103" s="97" t="n"/>
    </row>
    <row r="104">
      <c r="A104" s="87" t="inlineStr">
        <is>
          <t>AIF_ASSUMPTION</t>
        </is>
      </c>
      <c r="B104" s="88" t="inlineStr">
        <is>
          <t>AIF_ID</t>
        </is>
      </c>
      <c r="C104" s="89" t="inlineStr">
        <is>
          <t>Custom AIF Identification</t>
        </is>
      </c>
      <c r="D104" s="90" t="inlineStr">
        <is>
          <t>Mandatory</t>
        </is>
      </c>
      <c r="E104" s="89" t="inlineStr">
        <is>
          <t>Custom AIF Identification to link AIF records to the correct AIF</t>
        </is>
      </c>
    </row>
    <row r="105">
      <c r="A105" s="87" t="inlineStr">
        <is>
          <t>AIF_ASSUMPTION</t>
        </is>
      </c>
      <c r="B105" s="88" t="n">
        <v>14</v>
      </c>
      <c r="C105" s="89" t="inlineStr">
        <is>
          <t>Question Number</t>
        </is>
      </c>
      <c r="D105" s="90" t="inlineStr">
        <is>
          <t>Mandatory</t>
        </is>
      </c>
      <c r="E105" s="91" t="inlineStr">
        <is>
          <t>Question number for which assumption is provided.</t>
        </is>
      </c>
    </row>
    <row r="106">
      <c r="A106" s="87" t="inlineStr">
        <is>
          <t>AIF_ASSUMPTION</t>
        </is>
      </c>
      <c r="B106" s="88" t="n">
        <v>15</v>
      </c>
      <c r="C106" s="89" t="inlineStr">
        <is>
          <t>Assumption description</t>
        </is>
      </c>
      <c r="D106" s="90" t="inlineStr">
        <is>
          <t>Mandatory</t>
        </is>
      </c>
      <c r="E106" s="91" t="inlineStr">
        <is>
          <t>Free description for assumption.</t>
        </is>
      </c>
    </row>
    <row r="107">
      <c r="A107" s="87" t="n"/>
      <c r="B107" s="88" t="n"/>
      <c r="C107" s="89" t="n"/>
    </row>
    <row r="108">
      <c r="A108" s="83" t="inlineStr">
        <is>
          <t>The position input record contains positions of an AIF at end of the reporting period (AIF 24/1)</t>
        </is>
      </c>
      <c r="B108" s="93" t="n"/>
      <c r="C108" s="94" t="n"/>
      <c r="D108" s="95" t="inlineStr">
        <is>
          <t>M</t>
        </is>
      </c>
      <c r="E108" s="96" t="inlineStr">
        <is>
          <t>For all AIF Content Types</t>
        </is>
      </c>
      <c r="F108" s="97" t="n"/>
    </row>
    <row r="109">
      <c r="A109" s="87" t="inlineStr">
        <is>
          <t>POSITION</t>
        </is>
      </c>
      <c r="B109" s="88" t="inlineStr">
        <is>
          <t>AIF_ID</t>
        </is>
      </c>
      <c r="C109" s="89" t="inlineStr">
        <is>
          <t>Custom AIF Identification</t>
        </is>
      </c>
      <c r="D109" s="90" t="inlineStr">
        <is>
          <t>Mandatory</t>
        </is>
      </c>
      <c r="E109" s="89" t="inlineStr">
        <is>
          <t>Custom AIF Identification to link AIF records to the correct AIF</t>
        </is>
      </c>
    </row>
    <row r="110">
      <c r="A110" s="87" t="inlineStr">
        <is>
          <t>POSITION</t>
        </is>
      </c>
      <c r="B110" s="88" t="n">
        <v>65</v>
      </c>
      <c r="C110" s="89" t="inlineStr">
        <is>
          <t>Sub-Asset Type</t>
        </is>
      </c>
      <c r="D110" s="90" t="inlineStr">
        <is>
          <t>Mandatory</t>
        </is>
      </c>
      <c r="E110" s="91" t="inlineStr">
        <is>
          <t>Sub Asset type of position</t>
        </is>
      </c>
      <c r="F110" s="99" t="inlineStr">
        <is>
          <t>See tab: #DOC Annex II Tables - Table 1 for allowed values</t>
        </is>
      </c>
    </row>
    <row r="111" ht="67.5" customHeight="1">
      <c r="A111" s="87" t="inlineStr">
        <is>
          <t>POSITION</t>
        </is>
      </c>
      <c r="B111" s="88" t="n">
        <v>66</v>
      </c>
      <c r="C111" s="89" t="inlineStr">
        <is>
          <t>Instrument Code Type</t>
        </is>
      </c>
      <c r="D111" s="90" t="inlineStr">
        <is>
          <t>Legacy</t>
        </is>
      </c>
      <c r="E111" s="91"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2.5" customHeight="1">
      <c r="A112" s="87" t="inlineStr">
        <is>
          <t>POSITION</t>
        </is>
      </c>
      <c r="B112" s="88" t="n">
        <v>67</v>
      </c>
      <c r="C112" s="89" t="inlineStr">
        <is>
          <t>Instrument Name</t>
        </is>
      </c>
      <c r="D112" s="90" t="inlineStr">
        <is>
          <t>Mandatory</t>
        </is>
      </c>
      <c r="E112" s="91" t="inlineStr">
        <is>
          <t>No standard.
It is strongly recommended to provide the instrument short name as provided by Swift under ISO18774 when available.</t>
        </is>
      </c>
    </row>
    <row r="113">
      <c r="A113" s="87" t="inlineStr">
        <is>
          <t>POSITION</t>
        </is>
      </c>
      <c r="B113" s="88" t="n">
        <v>68</v>
      </c>
      <c r="C113" s="89" t="inlineStr">
        <is>
          <t>Instrument ISIN Code</t>
        </is>
      </c>
      <c r="D113" s="90" t="inlineStr">
        <is>
          <t>Optional</t>
        </is>
      </c>
      <c r="E113" s="91" t="inlineStr">
        <is>
          <t>The ISIN code of the instrument (ISO 6166 standard) when available.</t>
        </is>
      </c>
    </row>
    <row r="114" ht="45" customHeight="1">
      <c r="A114" s="87" t="inlineStr">
        <is>
          <t>POSITION</t>
        </is>
      </c>
      <c r="B114" s="88" t="inlineStr">
        <is>
          <t>106, 115</t>
        </is>
      </c>
      <c r="C114" s="89" t="inlineStr">
        <is>
          <t>Market Type Code</t>
        </is>
      </c>
      <c r="D114" s="90" t="inlineStr">
        <is>
          <t>Mandatory</t>
        </is>
      </c>
      <c r="E114" s="91" t="inlineStr">
        <is>
          <t>The market type codes admitted are:
    - MIC for markets with MIC codes
    - OTC for OTC derivatives
    - XXX for transactions traded without market</t>
        </is>
      </c>
    </row>
    <row r="115" ht="56.25" customHeight="1">
      <c r="A115" s="87" t="inlineStr">
        <is>
          <t>POSITION</t>
        </is>
      </c>
      <c r="B115" s="88" t="inlineStr">
        <is>
          <t>69, 107, 116</t>
        </is>
      </c>
      <c r="C115" s="89" t="inlineStr">
        <is>
          <t xml:space="preserve">Market Identifier Code (MIC) </t>
        </is>
      </c>
      <c r="D115" s="90" t="inlineStr">
        <is>
          <t xml:space="preserve">C
M for Instrument code type (66) equal to "AII" or Market Code Type (106 / 115) equal to "MIC"
F otherwise
</t>
        </is>
      </c>
      <c r="E115" s="91" t="inlineStr">
        <is>
          <t>The MIC code (ISO 10383) for the trading venue.
Mandatory for Instrument Code Type (66) equal to "AII" or Market Code Type (106 / 115) equal to "MIC". Forbiden otherwise.</t>
        </is>
      </c>
    </row>
    <row r="116" ht="45" customHeight="1">
      <c r="A116" s="87" t="inlineStr">
        <is>
          <t>POSITION</t>
        </is>
      </c>
      <c r="B116" s="88" t="n">
        <v>70</v>
      </c>
      <c r="C116" s="89" t="inlineStr">
        <is>
          <t>AII Exchange Product Code</t>
        </is>
      </c>
      <c r="D116" s="90" t="inlineStr">
        <is>
          <t>Optional</t>
        </is>
      </c>
      <c r="E116" s="91"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3.75" customHeight="1">
      <c r="A117" s="87" t="inlineStr">
        <is>
          <t>POSITION</t>
        </is>
      </c>
      <c r="B117" s="88" t="n">
        <v>71</v>
      </c>
      <c r="C117" s="89" t="inlineStr">
        <is>
          <t>AII Derivative Type</t>
        </is>
      </c>
      <c r="D117" s="90" t="inlineStr">
        <is>
          <t>C
M when AII Exchange Product Code [70] is present
F otherwise</t>
        </is>
      </c>
      <c r="E117" s="91" t="inlineStr">
        <is>
          <t>This is a single character field identifying whether the instrument is an option (O) or a future (F)</t>
        </is>
      </c>
    </row>
    <row r="118" ht="33.75" customHeight="1">
      <c r="A118" s="87" t="inlineStr">
        <is>
          <t>POSITION</t>
        </is>
      </c>
      <c r="B118" s="88" t="n">
        <v>72</v>
      </c>
      <c r="C118" s="89" t="inlineStr">
        <is>
          <t>AII Put/Call Identifier</t>
        </is>
      </c>
      <c r="D118" s="90" t="inlineStr">
        <is>
          <t>C
M for AII Derivative Type equal to "O"
F otherwise</t>
        </is>
      </c>
      <c r="E118" s="91" t="inlineStr">
        <is>
          <t>This is a single character field identifying whether the option (if it is an option) is a put (P)or a call (C).
The system automatically reports 'F' in case of a future</t>
        </is>
      </c>
    </row>
    <row r="119" ht="33.75" customHeight="1">
      <c r="A119" s="87" t="inlineStr">
        <is>
          <t>POSITION</t>
        </is>
      </c>
      <c r="B119" s="88" t="n">
        <v>73</v>
      </c>
      <c r="C119" s="89" t="inlineStr">
        <is>
          <t>AII Exercise/maturity/expiry/delivery/prompt date</t>
        </is>
      </c>
      <c r="D119" s="90" t="inlineStr">
        <is>
          <t>C
M when AII Exchange Product Code [70] is present
F otherwise</t>
        </is>
      </c>
      <c r="E119" s="91" t="inlineStr">
        <is>
          <t>Exercise/maturity/expiry/delivery/prompt date of a derivative contract.</t>
        </is>
      </c>
    </row>
    <row r="120" ht="33.75" customHeight="1">
      <c r="A120" s="87" t="inlineStr">
        <is>
          <t>POSITION</t>
        </is>
      </c>
      <c r="B120" s="88" t="n">
        <v>74</v>
      </c>
      <c r="C120" s="89" t="inlineStr">
        <is>
          <t>AII Strike Price</t>
        </is>
      </c>
      <c r="D120" s="90" t="inlineStr">
        <is>
          <t>C
M for AII Derivative Type equal to "O"
F otherwise</t>
        </is>
      </c>
      <c r="E120" s="91" t="inlineStr">
        <is>
          <t>The strike price of an option or other financial instrument.
The system automatically reports 0 in case of a future</t>
        </is>
      </c>
    </row>
    <row r="121" ht="33.75" customHeight="1">
      <c r="A121" s="87" t="inlineStr">
        <is>
          <t>POSITION</t>
        </is>
      </c>
      <c r="B121" s="88" t="n">
        <v>75</v>
      </c>
      <c r="C121" s="89" t="inlineStr">
        <is>
          <t>Long / Short</t>
        </is>
      </c>
      <c r="D121" s="90" t="inlineStr">
        <is>
          <t>Mandatory</t>
        </is>
      </c>
      <c r="E121" s="91" t="inlineStr">
        <is>
          <t>The long/short position flag admitted are:
-          “L” for long
-          “S” for short</t>
        </is>
      </c>
    </row>
    <row r="122" ht="22.5" customHeight="1">
      <c r="A122" s="87" t="inlineStr">
        <is>
          <t>POSITION</t>
        </is>
      </c>
      <c r="B122" s="88" t="n">
        <v>76</v>
      </c>
      <c r="C122" s="89" t="inlineStr">
        <is>
          <t>Instrument position value in base currency</t>
        </is>
      </c>
      <c r="D122" s="90" t="inlineStr">
        <is>
          <t>Mandatory</t>
        </is>
      </c>
      <c r="E122" s="91" t="inlineStr">
        <is>
          <t xml:space="preserve">Instrument position value expressed in base currency (as calculated under Article 2 AIFMD - Not Article 3, see Q&amp;A Answer 39). </t>
        </is>
      </c>
      <c r="F122" s="91" t="inlineStr">
        <is>
          <t>This is the gross exposure or regulatory AUM value.
Used for AIF question numbers: 76, 86-93, 94-112,114-117, 121-124, 128-130.</t>
        </is>
      </c>
    </row>
    <row r="123" ht="22.5" customHeight="1">
      <c r="A123" s="87" t="inlineStr">
        <is>
          <t>POSITION</t>
        </is>
      </c>
      <c r="B123" s="88" t="inlineStr">
        <is>
          <t>NAV</t>
        </is>
      </c>
      <c r="C123" s="89" t="inlineStr">
        <is>
          <t>Net Asset Value (NAV) in AIF Base Currency</t>
        </is>
      </c>
      <c r="D123" s="90" t="inlineStr">
        <is>
          <t>Optional</t>
        </is>
      </c>
      <c r="E123" s="91" t="inlineStr">
        <is>
          <t>Instrument Net Asset Value (NAV) at Reporting Period End Date expressed in base currency.
Considered to be equal to the Position value [76] when not filled in.</t>
        </is>
      </c>
      <c r="F123" s="91" t="inlineStr">
        <is>
          <t>Used for AIF question numbers: 78-85, 165, 171</t>
        </is>
      </c>
    </row>
    <row r="124" ht="33.75" customHeight="1">
      <c r="A124" s="87" t="inlineStr">
        <is>
          <t>POSITION</t>
        </is>
      </c>
      <c r="B124" s="88" t="n">
        <v>77</v>
      </c>
      <c r="C124" s="89" t="inlineStr">
        <is>
          <t>Hedging % for short position</t>
        </is>
      </c>
      <c r="D124" s="90" t="inlineStr">
        <is>
          <t>C
O for PositionType equal to “S”
F otherwise</t>
        </is>
      </c>
      <c r="E124" s="91" t="inlineStr">
        <is>
          <t>For short positions, indication of whether the position is used to hedge a position with a similar economic exposure.</t>
        </is>
      </c>
    </row>
    <row r="125" ht="22.5" customHeight="1">
      <c r="A125" s="87" t="inlineStr">
        <is>
          <t>POSITION</t>
        </is>
      </c>
      <c r="B125" s="88" t="inlineStr">
        <is>
          <t>CP_CCP</t>
        </is>
      </c>
      <c r="C125" s="89" t="inlineStr">
        <is>
          <t>Counterparty Type</t>
        </is>
      </c>
      <c r="D125" s="90" t="inlineStr">
        <is>
          <t>Mandatory when Counterparty Name [100] is present, forbidden otherwise.</t>
        </is>
      </c>
      <c r="E125" s="91" t="inlineStr">
        <is>
          <t>"CP" for Counterparties and "CCP" for Central Counterparties</t>
        </is>
      </c>
      <c r="F125" s="91" t="inlineStr">
        <is>
          <t>CCP only for reporting parties which are a direct clearer</t>
        </is>
      </c>
    </row>
    <row r="126" ht="22.5" customHeight="1">
      <c r="A126" s="87" t="inlineStr">
        <is>
          <t>POSITION</t>
        </is>
      </c>
      <c r="B126" s="104" t="inlineStr">
        <is>
          <t>100,110</t>
        </is>
      </c>
      <c r="C126" s="89" t="inlineStr">
        <is>
          <t>Counterparty Name</t>
        </is>
      </c>
      <c r="D126" s="90" t="inlineStr">
        <is>
          <t>Optional</t>
        </is>
      </c>
      <c r="E126" s="91" t="inlineStr">
        <is>
          <t>100/110: Entity name. (no standard) It is strongly recommended to provide the full name corresponding to the allocated LEI code (or BIC code if any and LEI not available).</t>
        </is>
      </c>
    </row>
    <row r="127" ht="78.75" customHeight="1">
      <c r="A127" s="87" t="inlineStr">
        <is>
          <t>POSITION</t>
        </is>
      </c>
      <c r="B127" s="104" t="inlineStr">
        <is>
          <t>101,111</t>
        </is>
      </c>
      <c r="C127" s="89" t="inlineStr">
        <is>
          <t>Counterparty LEI Code</t>
        </is>
      </c>
      <c r="D127" s="90" t="inlineStr">
        <is>
          <t>Optional when Counterparty Name [100] is present, forbidden otherwise.</t>
        </is>
      </c>
      <c r="E127" s="105"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t>
        </is>
      </c>
    </row>
    <row r="128" ht="22.5" customHeight="1">
      <c r="A128" s="87" t="inlineStr">
        <is>
          <t>POSITION</t>
        </is>
      </c>
      <c r="B128" s="104" t="inlineStr">
        <is>
          <t>102,112</t>
        </is>
      </c>
      <c r="C128" s="89" t="inlineStr">
        <is>
          <t>Counterparty BIC Code</t>
        </is>
      </c>
      <c r="D128" s="90" t="inlineStr">
        <is>
          <t>Optional when Counterparty Name [100] is present, forbidden otherwise.</t>
        </is>
      </c>
      <c r="E128" s="91" t="inlineStr">
        <is>
          <t>102/112: 11 Character BIC code of the entity (ISO 9362 standard)   The BIC code cannot be filled if the counterparty name is not filled in.</t>
        </is>
      </c>
    </row>
    <row r="129" ht="33.75" customHeight="1">
      <c r="A129" s="87" t="inlineStr">
        <is>
          <t>POSITION</t>
        </is>
      </c>
      <c r="B129" s="88" t="n">
        <v>128</v>
      </c>
      <c r="C129" s="89" t="inlineStr">
        <is>
          <t>Currency of the exposure</t>
        </is>
      </c>
      <c r="D129" s="90" t="inlineStr">
        <is>
          <t>C
Mandatory for AIF Content types 2 and 4 (AIF field 5)
ignored otherwise.</t>
        </is>
      </c>
      <c r="E129" s="91" t="inlineStr">
        <is>
          <t xml:space="preserve">Currency code (3-character currency code according to the ISO 4217) of the exposure.
</t>
        </is>
      </c>
    </row>
    <row r="130" ht="101.25" customHeight="1">
      <c r="A130" s="87" t="inlineStr">
        <is>
          <t>POSITION</t>
        </is>
      </c>
      <c r="B130" s="88" t="inlineStr">
        <is>
          <t>78-93</t>
        </is>
      </c>
      <c r="C130" s="89" t="inlineStr">
        <is>
          <t>Region</t>
        </is>
      </c>
      <c r="D130" s="90" t="inlineStr">
        <is>
          <t>Mandatory</t>
        </is>
      </c>
      <c r="E130" s="91" t="inlineStr">
        <is>
          <t>Region can have the following values:
AFRICA  
ASIAPACIFIC  
EUROPENONEEA
EUROPEEEA  
MIDDLEEAST
NORTHAMERICA
SOUTHAMERICA
SUPRANATIONAL</t>
        </is>
      </c>
    </row>
    <row r="131" ht="45" customHeight="1">
      <c r="A131" s="87" t="inlineStr">
        <is>
          <t>POSITION</t>
        </is>
      </c>
      <c r="B131" s="88" t="n">
        <v>122</v>
      </c>
      <c r="C131" s="89" t="inlineStr">
        <is>
          <t>Gross value of exposure</t>
        </is>
      </c>
      <c r="D131" s="90" t="inlineStr">
        <is>
          <t>C
Optional for Sub-asset types "DER_FEX_INVT", "DER_FEX_HEDG" and "DER_IRD_INTR"
F otherwise</t>
        </is>
      </c>
      <c r="E131" s="91" t="inlineStr">
        <is>
          <t>Gross exposure amount for Sub-asset types "DER_FEX_INVT", "DER_FEX_HEDG" and "DER_IRD_INTR" expressed in base currency.
Only needed if different from "Position value (Article 2 AIFMD)" (76).
If not present, "Position value (Article 2 AIFMD)" (76) is used.</t>
        </is>
      </c>
    </row>
    <row r="132">
      <c r="A132" s="87" t="n"/>
      <c r="B132" s="88" t="n"/>
      <c r="C132" s="89" t="n"/>
    </row>
    <row r="133">
      <c r="A133" s="83" t="inlineStr">
        <is>
          <t>The external position input record contains positions of an External AIF at end of the reporting period. This data is only used on form AIFM 24(1).</t>
        </is>
      </c>
      <c r="B133" s="93" t="n"/>
      <c r="C133" s="94" t="n"/>
      <c r="D133" s="95" t="inlineStr">
        <is>
          <t>C</t>
        </is>
      </c>
      <c r="E133" s="97" t="n"/>
      <c r="F133" s="97" t="n"/>
    </row>
    <row r="134">
      <c r="A134" s="87" t="inlineStr">
        <is>
          <t>POSITION_EXTERNAL</t>
        </is>
      </c>
      <c r="B134" s="88" t="inlineStr">
        <is>
          <t>AIF_ID</t>
        </is>
      </c>
      <c r="C134" s="89" t="inlineStr">
        <is>
          <t>Custom AIF Identification</t>
        </is>
      </c>
      <c r="D134" s="90" t="inlineStr">
        <is>
          <t>Mandatory</t>
        </is>
      </c>
      <c r="E134" s="89" t="inlineStr">
        <is>
          <t>Custom AIF Identification to link External AIF records to the correct External AIF</t>
        </is>
      </c>
    </row>
    <row r="135">
      <c r="A135" s="87" t="inlineStr">
        <is>
          <t>POSITION_EXTERNAL</t>
        </is>
      </c>
      <c r="B135" s="88" t="n">
        <v>65</v>
      </c>
      <c r="C135" s="89" t="inlineStr">
        <is>
          <t>Sub-Asset Type</t>
        </is>
      </c>
      <c r="D135" s="90" t="inlineStr">
        <is>
          <t>Mandatory</t>
        </is>
      </c>
      <c r="E135" s="91" t="inlineStr">
        <is>
          <t>Sub Asset type of position</t>
        </is>
      </c>
      <c r="F135" s="99" t="inlineStr">
        <is>
          <t>See tab: #DOC Annex II Tables - Table 1 for allowed values</t>
        </is>
      </c>
    </row>
    <row r="136" ht="45" customHeight="1">
      <c r="A136" s="87" t="inlineStr">
        <is>
          <t>POSITION_EXTERNAL</t>
        </is>
      </c>
      <c r="B136" s="88" t="inlineStr">
        <is>
          <t>106, 115</t>
        </is>
      </c>
      <c r="C136" s="89" t="inlineStr">
        <is>
          <t>Market Code Type</t>
        </is>
      </c>
      <c r="D136" s="90" t="inlineStr">
        <is>
          <t>Mandatory</t>
        </is>
      </c>
      <c r="E136" s="91" t="inlineStr">
        <is>
          <t>The market codes types admitted are:
    - MIC for markets with MIC codes
    - OTC for OTC derivatives
    - XXX for transactions traded without market</t>
        </is>
      </c>
    </row>
    <row r="137" ht="33.75" customHeight="1">
      <c r="A137" s="87" t="inlineStr">
        <is>
          <t>POSITION_EXTERNAL</t>
        </is>
      </c>
      <c r="B137" s="88" t="inlineStr">
        <is>
          <t>69, 107, 116</t>
        </is>
      </c>
      <c r="C137" s="89" t="inlineStr">
        <is>
          <t>Market Code</t>
        </is>
      </c>
      <c r="D137" s="90" t="inlineStr">
        <is>
          <t>C
M for Instrument code type equal to "AII"
F otherwise</t>
        </is>
      </c>
      <c r="E137" s="91" t="inlineStr">
        <is>
          <t>Four character MIC of the market that admits the derivative to trading.</t>
        </is>
      </c>
    </row>
    <row r="138">
      <c r="A138" s="87" t="inlineStr">
        <is>
          <t>POSITION_EXTERNAL</t>
        </is>
      </c>
      <c r="B138" s="88" t="n">
        <v>76</v>
      </c>
      <c r="C138" s="89" t="inlineStr">
        <is>
          <t>Instrument position value in base currency</t>
        </is>
      </c>
      <c r="D138" s="90" t="inlineStr">
        <is>
          <t>Mandatory</t>
        </is>
      </c>
      <c r="E138" s="91" t="inlineStr">
        <is>
          <t xml:space="preserve">Instrument position value expressed in base currency (as calculated under Article 2 AIFMD - Not 3, see Q&amp;A Answer 39). </t>
        </is>
      </c>
      <c r="F138" s="91" t="inlineStr">
        <is>
          <t>This is the gross exposure or reg AUM value</t>
        </is>
      </c>
    </row>
    <row r="139">
      <c r="A139" s="87" t="n"/>
      <c r="B139" s="88" t="n"/>
      <c r="C139" s="89" t="n"/>
    </row>
    <row r="140">
      <c r="A140" s="83" t="inlineStr">
        <is>
          <t>Turnover</t>
        </is>
      </c>
      <c r="B140" s="93" t="n"/>
      <c r="C140" s="94" t="n"/>
      <c r="D140" s="95" t="inlineStr">
        <is>
          <t>C</t>
        </is>
      </c>
      <c r="E140" s="96" t="inlineStr">
        <is>
          <t>The TURNOVER record is optional for AIFs with content type 2 and 4, and forbidden otherwise.</t>
        </is>
      </c>
      <c r="F140" s="97" t="n"/>
    </row>
    <row r="141">
      <c r="A141" s="87" t="inlineStr">
        <is>
          <t>TURNOVER</t>
        </is>
      </c>
      <c r="B141" s="88" t="inlineStr">
        <is>
          <t>AIF_ID</t>
        </is>
      </c>
      <c r="C141" s="89" t="inlineStr">
        <is>
          <t>Custom AIF Identification</t>
        </is>
      </c>
      <c r="D141" s="90" t="inlineStr">
        <is>
          <t>Mandatory</t>
        </is>
      </c>
      <c r="E141" s="89" t="inlineStr">
        <is>
          <t>Custom AIF Identification to link AIF records to the correct AIF</t>
        </is>
      </c>
    </row>
    <row r="142">
      <c r="A142" s="87" t="inlineStr">
        <is>
          <t>TURNOVER</t>
        </is>
      </c>
      <c r="B142" s="88" t="n">
        <v>125</v>
      </c>
      <c r="C142" s="91" t="inlineStr">
        <is>
          <t>Sub-asset type code of turnover</t>
        </is>
      </c>
      <c r="D142" s="90" t="inlineStr">
        <is>
          <t>Mandatory</t>
        </is>
      </c>
      <c r="E142" s="91" t="inlineStr">
        <is>
          <t>The sub-asset type codes admitted are listed in Annex II - Table 2 (sub-asset types for turnover)</t>
        </is>
      </c>
      <c r="F142" s="99" t="inlineStr">
        <is>
          <t>See tab: #DOC Annex II Tables - Table 2 for allowed values</t>
        </is>
      </c>
    </row>
    <row r="143" ht="22.5" customHeight="1">
      <c r="A143" s="87" t="inlineStr">
        <is>
          <t>TURNOVER</t>
        </is>
      </c>
      <c r="B143" s="88" t="n">
        <v>126</v>
      </c>
      <c r="C143" s="91" t="inlineStr">
        <is>
          <t>Market value of turnover</t>
        </is>
      </c>
      <c r="D143" s="90" t="inlineStr">
        <is>
          <t>Optional</t>
        </is>
      </c>
      <c r="E143" s="91" t="inlineStr">
        <is>
          <t>The market value of turnover in each relevant sub-asset type over the reporting months expressed in base currency filled in without decimal places.</t>
        </is>
      </c>
    </row>
    <row r="144" ht="67.5" customHeight="1">
      <c r="A144" s="87" t="inlineStr">
        <is>
          <t>TURNOVER</t>
        </is>
      </c>
      <c r="B144" s="88" t="n">
        <v>127</v>
      </c>
      <c r="C144" s="91" t="inlineStr">
        <is>
          <t>Notional value of turnover</t>
        </is>
      </c>
      <c r="D144" s="90" t="inlineStr">
        <is>
          <t>C
Forbidden for sub-asset type different from DER_EQD_EQD, 
DER_FID_FID, DER_CDS_CDS, DER_FEX_INV, DER_FEX_HED, DER_IRD_IRD, DER_CTY_CTY, DER_OTH_OTH</t>
        </is>
      </c>
      <c r="E144" s="91"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87" t="n"/>
      <c r="B145" s="88" t="n"/>
      <c r="C145" s="89" t="n"/>
    </row>
    <row r="146">
      <c r="A146" s="83" t="inlineStr">
        <is>
          <t>Share Classes of AIF, only required in case of multiple share classes (AIF 24/1)</t>
        </is>
      </c>
      <c r="B146" s="93" t="n"/>
      <c r="C146" s="94" t="n"/>
      <c r="D146" s="95" t="inlineStr">
        <is>
          <t>C</t>
        </is>
      </c>
      <c r="E146" s="96" t="inlineStr">
        <is>
          <t>For all AIF Content Types</t>
        </is>
      </c>
      <c r="F146" s="97" t="n"/>
    </row>
    <row r="147">
      <c r="A147" s="87" t="inlineStr">
        <is>
          <t>SHARE_CLASS</t>
        </is>
      </c>
      <c r="B147" s="88" t="inlineStr">
        <is>
          <t>AIF_ID</t>
        </is>
      </c>
      <c r="C147" s="89" t="inlineStr">
        <is>
          <t>Custom AIF Identification</t>
        </is>
      </c>
      <c r="D147" s="90" t="inlineStr">
        <is>
          <t>Mandatory</t>
        </is>
      </c>
      <c r="E147" s="89" t="inlineStr">
        <is>
          <t>Custom AIF Identification to link AIF records to the correct AIF</t>
        </is>
      </c>
    </row>
    <row r="148" ht="22.5" customHeight="1">
      <c r="A148" s="87" t="inlineStr">
        <is>
          <t>SHARE_CLASS</t>
        </is>
      </c>
      <c r="B148" s="88" t="n">
        <v>34</v>
      </c>
      <c r="C148" s="91" t="inlineStr">
        <is>
          <t>Share class national code</t>
        </is>
      </c>
      <c r="D148" s="90" t="inlineStr">
        <is>
          <t>Optional</t>
        </is>
      </c>
      <c r="E148" s="91" t="inlineStr">
        <is>
          <t>Where available, unique reference allocated by the national competent authority to which the AIFM reports under AIFMD identifying each share class.</t>
        </is>
      </c>
    </row>
    <row r="149">
      <c r="A149" s="87" t="inlineStr">
        <is>
          <t>SHARE_CLASS</t>
        </is>
      </c>
      <c r="B149" s="88" t="n">
        <v>35</v>
      </c>
      <c r="C149" s="91" t="inlineStr">
        <is>
          <t>Share class ISIN code</t>
        </is>
      </c>
      <c r="D149" s="90" t="inlineStr">
        <is>
          <t>Optional</t>
        </is>
      </c>
      <c r="E149" s="91" t="inlineStr">
        <is>
          <t>Where available, the ISIN code (ISO 6166 standard) identifying each share class.</t>
        </is>
      </c>
    </row>
    <row r="150">
      <c r="A150" s="87" t="inlineStr">
        <is>
          <t>SHARE_CLASS</t>
        </is>
      </c>
      <c r="B150" s="88" t="n">
        <v>36</v>
      </c>
      <c r="C150" s="91" t="inlineStr">
        <is>
          <t>Share class SEDOL code</t>
        </is>
      </c>
      <c r="D150" s="90" t="inlineStr">
        <is>
          <t>Optional</t>
        </is>
      </c>
      <c r="E150" s="91" t="inlineStr">
        <is>
          <t>Where available, the SEDOL code identifying each share class.</t>
        </is>
      </c>
    </row>
    <row r="151">
      <c r="A151" s="87" t="inlineStr">
        <is>
          <t>SHARE_CLASS</t>
        </is>
      </c>
      <c r="B151" s="88" t="n">
        <v>37</v>
      </c>
      <c r="C151" s="91" t="inlineStr">
        <is>
          <t>Share class CUSIP code</t>
        </is>
      </c>
      <c r="D151" s="90" t="inlineStr">
        <is>
          <t>Optional</t>
        </is>
      </c>
      <c r="E151" s="91" t="inlineStr">
        <is>
          <t>Where available, the CUSIP code identifying each share class.</t>
        </is>
      </c>
    </row>
    <row r="152">
      <c r="A152" s="87" t="inlineStr">
        <is>
          <t>SHARE_CLASS</t>
        </is>
      </c>
      <c r="B152" s="88" t="n">
        <v>38</v>
      </c>
      <c r="C152" s="91" t="inlineStr">
        <is>
          <t>Share class Bloomberg code</t>
        </is>
      </c>
      <c r="D152" s="90" t="inlineStr">
        <is>
          <t>Optional</t>
        </is>
      </c>
      <c r="E152" s="91" t="inlineStr">
        <is>
          <t>Where available, the Bloomberg ticker symbol identifying each share class.</t>
        </is>
      </c>
    </row>
    <row r="153">
      <c r="A153" s="87" t="inlineStr">
        <is>
          <t>SHARE_CLASS</t>
        </is>
      </c>
      <c r="B153" s="88" t="n">
        <v>39</v>
      </c>
      <c r="C153" s="91" t="inlineStr">
        <is>
          <t>Share class Reuters code</t>
        </is>
      </c>
      <c r="D153" s="90" t="inlineStr">
        <is>
          <t>Optional</t>
        </is>
      </c>
      <c r="E153" s="91" t="inlineStr">
        <is>
          <t>Where available, the Reuters Identifier Code (RIC) identifying each share class.</t>
        </is>
      </c>
    </row>
    <row r="154">
      <c r="A154" s="87" t="inlineStr">
        <is>
          <t>SHARE_CLASS</t>
        </is>
      </c>
      <c r="B154" s="88" t="n">
        <v>40</v>
      </c>
      <c r="C154" s="91" t="inlineStr">
        <is>
          <t>Share class name</t>
        </is>
      </c>
      <c r="D154" s="90" t="inlineStr">
        <is>
          <t>Mandatory</t>
        </is>
      </c>
      <c r="E154" s="91" t="inlineStr">
        <is>
          <t>The name of the share class.</t>
        </is>
      </c>
    </row>
    <row r="155">
      <c r="A155" s="87" t="n"/>
      <c r="B155" s="88" t="n"/>
      <c r="C155" s="89" t="n"/>
    </row>
    <row r="156">
      <c r="A156" s="157" t="inlineStr">
        <is>
          <t>(Legacy) The Master(s) of the AIF (Mandatory if "Master feeder status" (field 41) is "FEEDER", forbidden otherwise)</t>
        </is>
      </c>
      <c r="B156" s="158" t="n"/>
      <c r="C156" s="159" t="n"/>
      <c r="D156" s="160" t="inlineStr">
        <is>
          <t>C</t>
        </is>
      </c>
      <c r="E156" s="161" t="inlineStr">
        <is>
          <t>For all AIF Content Types</t>
        </is>
      </c>
      <c r="F156" s="162" t="n"/>
    </row>
    <row r="157">
      <c r="A157" s="87" t="inlineStr">
        <is>
          <t>MASTER</t>
        </is>
      </c>
      <c r="B157" s="88" t="inlineStr">
        <is>
          <t>AIF_ID</t>
        </is>
      </c>
      <c r="C157" s="89" t="inlineStr">
        <is>
          <t>Custom AIF Identification</t>
        </is>
      </c>
      <c r="D157" s="90" t="inlineStr">
        <is>
          <t>Mandatory</t>
        </is>
      </c>
      <c r="E157" s="89" t="inlineStr">
        <is>
          <t>Custom AIF Identification to link AIF records to the correct AIF</t>
        </is>
      </c>
    </row>
    <row r="158" ht="22.5" customHeight="1">
      <c r="A158" s="87" t="inlineStr">
        <is>
          <t>MASTER</t>
        </is>
      </c>
      <c r="B158" s="88" t="n">
        <v>42</v>
      </c>
      <c r="C158" s="91" t="inlineStr">
        <is>
          <t>Master AIF name</t>
        </is>
      </c>
      <c r="D158" s="90" t="inlineStr">
        <is>
          <t>Mandatory</t>
        </is>
      </c>
      <c r="E158" s="91" t="inlineStr">
        <is>
          <t>No standard.
It is strongly recommended to provide the full name as provided by Swift for master AIF(s) that have a BIC or LEI code.</t>
        </is>
      </c>
    </row>
    <row r="159">
      <c r="A159" s="87" t="inlineStr">
        <is>
          <t>MASTER</t>
        </is>
      </c>
      <c r="B159" s="88" t="n">
        <v>43</v>
      </c>
      <c r="C159" s="91" t="inlineStr">
        <is>
          <t>Master AIF national identifier - Reporting Member State</t>
        </is>
      </c>
      <c r="D159" s="90" t="inlineStr">
        <is>
          <t>Optional</t>
        </is>
      </c>
      <c r="E159" s="91" t="inlineStr">
        <is>
          <t>EEA/EU Country code standard ISO-3166-1 of the reporting Member State to which the AIFM of the master AIF(s) reports under AIFMD.</t>
        </is>
      </c>
    </row>
    <row r="160" ht="45" customHeight="1">
      <c r="A160" s="87" t="inlineStr">
        <is>
          <t>MASTER</t>
        </is>
      </c>
      <c r="B160" s="88" t="n">
        <v>44</v>
      </c>
      <c r="C160" s="91" t="inlineStr">
        <is>
          <t>Master AIF national identifier - National code</t>
        </is>
      </c>
      <c r="D160" s="90" t="inlineStr">
        <is>
          <t>C
M for Master AIF national identifier - Reporting Member State (43) filled in
O otherwise</t>
        </is>
      </c>
      <c r="E160" s="91"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87" t="inlineStr">
        <is>
          <t>MASTER</t>
        </is>
      </c>
      <c r="B161" s="88" t="n"/>
      <c r="C161" s="89" t="n"/>
    </row>
    <row r="162">
      <c r="A162" s="83" t="inlineStr">
        <is>
          <t>Prime broker(s) of AIF (AIF 24/1)</t>
        </is>
      </c>
      <c r="B162" s="93" t="n"/>
      <c r="C162" s="94" t="n"/>
      <c r="D162" s="95" t="inlineStr">
        <is>
          <t>O</t>
        </is>
      </c>
      <c r="E162" s="97" t="inlineStr">
        <is>
          <t>For all AIF Content Types</t>
        </is>
      </c>
      <c r="F162" s="97" t="n"/>
    </row>
    <row r="163">
      <c r="A163" s="87" t="inlineStr">
        <is>
          <t>PRIME_BROKER</t>
        </is>
      </c>
      <c r="B163" s="88" t="inlineStr">
        <is>
          <t>AIF_ID</t>
        </is>
      </c>
      <c r="C163" s="89" t="inlineStr">
        <is>
          <t>Custom AIF Identification</t>
        </is>
      </c>
      <c r="D163" s="90" t="inlineStr">
        <is>
          <t>Mandatory</t>
        </is>
      </c>
      <c r="E163" s="89" t="inlineStr">
        <is>
          <t>Custom AIF Identification to link AIF records to the correct AIF</t>
        </is>
      </c>
    </row>
    <row r="164" ht="22.5" customHeight="1">
      <c r="A164" s="87" t="inlineStr">
        <is>
          <t>PRIME_BROKER</t>
        </is>
      </c>
      <c r="B164" s="88" t="n">
        <v>45</v>
      </c>
      <c r="C164" s="91" t="inlineStr">
        <is>
          <t>Prime Broker Name</t>
        </is>
      </c>
      <c r="D164" s="90" t="inlineStr">
        <is>
          <t>Mandatory</t>
        </is>
      </c>
      <c r="E164" s="91" t="inlineStr">
        <is>
          <t>Entity name. (no standard)
It is strongly recommended to provide the full name corresponding to the allocated LEI code (or BIC code if any and LEI not available).</t>
        </is>
      </c>
    </row>
    <row r="165" ht="67.5" customHeight="1">
      <c r="A165" s="87" t="inlineStr">
        <is>
          <t>PRIME_BROKER</t>
        </is>
      </c>
      <c r="B165" s="88" t="n">
        <v>46</v>
      </c>
      <c r="C165" s="91" t="inlineStr">
        <is>
          <t>Prime Broker LEI code</t>
        </is>
      </c>
      <c r="D165" s="90" t="inlineStr">
        <is>
          <t>Optional</t>
        </is>
      </c>
      <c r="E165"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87" t="inlineStr">
        <is>
          <t>PRIME_BROKER</t>
        </is>
      </c>
      <c r="B166" s="88" t="n">
        <v>47</v>
      </c>
      <c r="C166" s="91" t="inlineStr">
        <is>
          <t>Prime Broker BIC code</t>
        </is>
      </c>
      <c r="D166" s="90" t="inlineStr">
        <is>
          <t>O</t>
        </is>
      </c>
      <c r="E166" s="91" t="inlineStr">
        <is>
          <t>11 Character BIC code (ISO 9362 standard)</t>
        </is>
      </c>
    </row>
    <row r="167">
      <c r="A167" s="87" t="n"/>
      <c r="B167" s="88" t="n"/>
      <c r="C167" s="89" t="n"/>
    </row>
    <row r="168">
      <c r="A168" s="83" t="inlineStr">
        <is>
          <t>Strategy(s)  of AIF</t>
        </is>
      </c>
      <c r="B168" s="93" t="n"/>
      <c r="C168" s="94" t="n"/>
      <c r="D168" s="95" t="inlineStr">
        <is>
          <t>M</t>
        </is>
      </c>
      <c r="E168" s="96" t="inlineStr">
        <is>
          <t>For all AIF Content Types</t>
        </is>
      </c>
      <c r="F168" s="97" t="n"/>
    </row>
    <row r="169">
      <c r="A169" s="87" t="inlineStr">
        <is>
          <t>STRATEGY</t>
        </is>
      </c>
      <c r="B169" s="88" t="inlineStr">
        <is>
          <t>AIF_ID</t>
        </is>
      </c>
      <c r="C169" s="89" t="inlineStr">
        <is>
          <t>Custom AIF Identification</t>
        </is>
      </c>
      <c r="D169" s="90" t="inlineStr">
        <is>
          <t>Mandatory</t>
        </is>
      </c>
      <c r="E169" s="89" t="inlineStr">
        <is>
          <t>Custom AIF Identification to link AIF records to the correct AIF</t>
        </is>
      </c>
    </row>
    <row r="170" ht="22.5" customHeight="1">
      <c r="A170" s="87" t="inlineStr">
        <is>
          <t>STRATEGY</t>
        </is>
      </c>
      <c r="B170" s="88" t="n">
        <v>58</v>
      </c>
      <c r="C170" s="91" t="inlineStr">
        <is>
          <t>Investment strategy code</t>
        </is>
      </c>
      <c r="D170" s="90" t="inlineStr">
        <is>
          <t>Mandatory</t>
        </is>
      </c>
      <c r="E170" s="91" t="inlineStr">
        <is>
          <t>The investment strategy types admitted are listed in Annex II - Table 3.
Do not enter "MULT_" strategy codes, these are added automatically when needed.</t>
        </is>
      </c>
      <c r="F170" s="99" t="inlineStr">
        <is>
          <t>See tab: #DOC Annex II Tables - Table 3 for allowed values</t>
        </is>
      </c>
    </row>
    <row r="171" ht="67.5" customHeight="1">
      <c r="A171" s="87" t="inlineStr">
        <is>
          <t>STRATEGY</t>
        </is>
      </c>
      <c r="B171" s="88" t="n">
        <v>59</v>
      </c>
      <c r="C171" s="89" t="inlineStr">
        <is>
          <t>Indicate whether the sub strategy best describes the AIF’s strategy</t>
        </is>
      </c>
      <c r="D171" s="90" t="inlineStr">
        <is>
          <t>Legacy</t>
        </is>
      </c>
      <c r="E171" s="91"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2.5" customHeight="1">
      <c r="A172" s="87" t="inlineStr">
        <is>
          <t>STRATEGY</t>
        </is>
      </c>
      <c r="B172" s="88" t="n">
        <v>60</v>
      </c>
      <c r="C172" s="89" t="inlineStr">
        <is>
          <t>Share in NAV (%)</t>
        </is>
      </c>
      <c r="D172" s="90" t="inlineStr">
        <is>
          <t>Mandatory</t>
        </is>
      </c>
      <c r="E172" s="91" t="inlineStr">
        <is>
          <t>NAV rate expressed as a percentage for each reported investment strategy.
For each AIF the total of all strategies should be 100.</t>
        </is>
      </c>
    </row>
    <row r="173" ht="45" customHeight="1">
      <c r="A173" s="87" t="inlineStr">
        <is>
          <t>STRATEGY</t>
        </is>
      </c>
      <c r="B173" s="88" t="n">
        <v>61</v>
      </c>
      <c r="C173" s="91" t="inlineStr">
        <is>
          <t>Description for strategy type Other</t>
        </is>
      </c>
      <c r="D173" s="90" t="inlineStr">
        <is>
          <t>Conditional
M for strategy codes "OTHR_HFND", "OTHR_PEQF", "OTHR_REST", "OTHR_FOFS" or "OTHR_OTHF".
Forbidden otherwise</t>
        </is>
      </c>
      <c r="E173" s="91" t="inlineStr">
        <is>
          <t>The field is mandatory for strategy codes "OTHR_HFND", "OTHR_PEQF", "OTHR_REST", "OTHR_FOFS" or "OTHR_OTHF".</t>
        </is>
      </c>
    </row>
    <row r="174">
      <c r="A174" s="87" t="n"/>
      <c r="B174" s="88" t="n"/>
      <c r="C174" s="89" t="n"/>
    </row>
    <row r="175">
      <c r="A175" s="83" t="inlineStr">
        <is>
          <t>Dominant influence(s) - Optional for AIFs with private equity and content type 2 and 4, and forbidden otherwise.</t>
        </is>
      </c>
      <c r="B175" s="93" t="n"/>
      <c r="C175" s="94" t="n"/>
      <c r="D175" s="95" t="inlineStr">
        <is>
          <t>C</t>
        </is>
      </c>
      <c r="E175" s="96" t="inlineStr">
        <is>
          <t>The DOMINANT_INFLUENCE record is optional for AIFs with private equity and content type 2 and 4, and forbidden otherwise.</t>
        </is>
      </c>
      <c r="F175" s="97" t="n"/>
    </row>
    <row r="176">
      <c r="A176" s="87" t="inlineStr">
        <is>
          <t>DOMINANT_INFLUENCE</t>
        </is>
      </c>
      <c r="B176" s="88" t="inlineStr">
        <is>
          <t>AIF_ID</t>
        </is>
      </c>
      <c r="C176" s="89" t="inlineStr">
        <is>
          <t>Custom AIF Identification</t>
        </is>
      </c>
      <c r="D176" s="90" t="inlineStr">
        <is>
          <t>Mandatory</t>
        </is>
      </c>
      <c r="E176" s="89" t="inlineStr">
        <is>
          <t>Custom AIF Identification to link AIF records to the correct AIF</t>
        </is>
      </c>
    </row>
    <row r="177" ht="33.75" customHeight="1">
      <c r="A177" s="87" t="inlineStr">
        <is>
          <t>DOMINANT_INFLUENCE</t>
        </is>
      </c>
      <c r="B177" s="88" t="n">
        <v>131</v>
      </c>
      <c r="C177" s="91" t="inlineStr">
        <is>
          <t>Dominant influence company name</t>
        </is>
      </c>
      <c r="D177" s="90" t="inlineStr">
        <is>
          <t>C
M for AIF predominant type “Private Equity funds”
F otherwise</t>
        </is>
      </c>
      <c r="E177" s="91"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78.75" customHeight="1">
      <c r="A178" s="87" t="inlineStr">
        <is>
          <t>DOMINANT_INFLUENCE</t>
        </is>
      </c>
      <c r="B178" s="88" t="n">
        <v>132</v>
      </c>
      <c r="C178" s="91" t="inlineStr">
        <is>
          <t>Dominant influence company LEI code</t>
        </is>
      </c>
      <c r="D178" s="90" t="inlineStr">
        <is>
          <t>C
O for AIF predominant type “Private Equity funds”
F otherwise</t>
        </is>
      </c>
      <c r="E178"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3.75" customHeight="1">
      <c r="A179" s="87" t="inlineStr">
        <is>
          <t>DOMINANT_INFLUENCE</t>
        </is>
      </c>
      <c r="B179" s="88" t="n">
        <v>133</v>
      </c>
      <c r="C179" s="91" t="inlineStr">
        <is>
          <t xml:space="preserve">Dominant influence company BIC code </t>
        </is>
      </c>
      <c r="D179" s="90" t="inlineStr">
        <is>
          <t>C
O for AIF predominant type “Private Equity funds”
F otherwise</t>
        </is>
      </c>
      <c r="E179" s="91" t="inlineStr">
        <is>
          <t>11 Character BIC code (ISO 9362 standard)
The field is forbidden for AIF predominant type different from “Private Equity funds”.</t>
        </is>
      </c>
    </row>
    <row r="180" ht="146.25" customHeight="1">
      <c r="A180" s="87" t="inlineStr">
        <is>
          <t>DOMINANT_INFLUENCE</t>
        </is>
      </c>
      <c r="B180" s="88" t="n">
        <v>134</v>
      </c>
      <c r="C180" s="91" t="inlineStr">
        <is>
          <t>Transaction type</t>
        </is>
      </c>
      <c r="D180" s="90" t="inlineStr">
        <is>
          <t>C
M for AIF predominant type “Private Equity funds”
F otherwise</t>
        </is>
      </c>
      <c r="E180" s="91"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99" t="inlineStr">
        <is>
          <t>See tab: #DOC Annex II Tables - Table 5 for allowed values</t>
        </is>
      </c>
    </row>
    <row r="181" ht="33.75" customHeight="1">
      <c r="A181" s="87" t="inlineStr">
        <is>
          <t>DOMINANT_INFLUENCE</t>
        </is>
      </c>
      <c r="B181" s="88" t="n">
        <v>135</v>
      </c>
      <c r="C181" s="91" t="inlineStr">
        <is>
          <t>Description of other transaction type</t>
        </is>
      </c>
      <c r="D181" s="90" t="inlineStr">
        <is>
          <t>C
M for transaction type equal to "OTHR"
F otherwise</t>
        </is>
      </c>
      <c r="E181" s="91" t="inlineStr">
        <is>
          <t>Free text.
The field is mandatory for transaction type equal to “OTHR”</t>
        </is>
      </c>
    </row>
    <row r="182" ht="33.75" customHeight="1">
      <c r="A182" s="87" t="inlineStr">
        <is>
          <t>DOMINANT_INFLUENCE</t>
        </is>
      </c>
      <c r="B182" s="88" t="n">
        <v>136</v>
      </c>
      <c r="C182" s="91" t="inlineStr">
        <is>
          <t>% Voting rights</t>
        </is>
      </c>
      <c r="D182" s="90" t="inlineStr">
        <is>
          <t>C
M for AIF predominant type “PEQF”
F otherwise</t>
        </is>
      </c>
      <c r="E182" s="91" t="inlineStr">
        <is>
          <t>Rate expressed as a percentage.
The field is mandatory for AIF predominant type “Private Equity funds” and forbidden otherwise.</t>
        </is>
      </c>
    </row>
    <row r="183">
      <c r="A183" s="87" t="n"/>
      <c r="B183" s="88" t="n"/>
      <c r="C183" s="89" t="n"/>
    </row>
    <row r="184">
      <c r="A184" s="83" t="inlineStr">
        <is>
          <t>Risk metrics</t>
        </is>
      </c>
      <c r="B184" s="93" t="n"/>
      <c r="C184" s="94" t="n"/>
      <c r="D184" s="95" t="inlineStr">
        <is>
          <t>C</t>
        </is>
      </c>
      <c r="E184" s="96" t="inlineStr">
        <is>
          <t>The RISK record is optional for AIFs with content type 2 and 4, and forbidden otherwise.</t>
        </is>
      </c>
      <c r="F184" s="97" t="n"/>
    </row>
    <row r="185">
      <c r="A185" s="87" t="inlineStr">
        <is>
          <t>RISK</t>
        </is>
      </c>
      <c r="B185" s="88" t="inlineStr">
        <is>
          <t>AIF_ID</t>
        </is>
      </c>
      <c r="C185" s="89" t="inlineStr">
        <is>
          <t>Custom AIF Identification</t>
        </is>
      </c>
      <c r="D185" s="90" t="inlineStr">
        <is>
          <t>Mandatory</t>
        </is>
      </c>
      <c r="E185" s="89" t="inlineStr">
        <is>
          <t>Custom AIF Identification to link AIF records to the correct AIF</t>
        </is>
      </c>
    </row>
    <row r="186" ht="90" customHeight="1">
      <c r="A186" s="87" t="inlineStr">
        <is>
          <t>RISK</t>
        </is>
      </c>
      <c r="B186" s="88" t="n">
        <v>138</v>
      </c>
      <c r="C186" s="91" t="inlineStr">
        <is>
          <t>Risk measure type</t>
        </is>
      </c>
      <c r="D186" s="90" t="inlineStr">
        <is>
          <t>Optional</t>
        </is>
      </c>
      <c r="E186" s="91"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91" t="inlineStr">
        <is>
          <t>These metrics are position type dependent - 
See tab: #DOC Annex II Tables - Table risk for which risk method to apply</t>
        </is>
      </c>
    </row>
    <row r="187" ht="45" customHeight="1">
      <c r="A187" s="87" t="inlineStr">
        <is>
          <t>RISK</t>
        </is>
      </c>
      <c r="B187" s="88" t="n">
        <v>139</v>
      </c>
      <c r="C187" s="91" t="inlineStr">
        <is>
          <t>Risk measure value</t>
        </is>
      </c>
      <c r="D187" s="90" t="inlineStr">
        <is>
          <t>C
O for risk measure type equal to "NET_EQTY_DELTA" and "NET_FX_DELTA" and "NET_CTY_DELTA"
F otherwise</t>
        </is>
      </c>
      <c r="E187" s="91" t="inlineStr">
        <is>
          <t>This field is mandatory for risk measure type equal to "NET_EQTY_DELTA" and "NET_FX_DELTA" and "NET_CTY_DELTA" and forbidden otherwise. Expressed in base currency.</t>
        </is>
      </c>
    </row>
    <row r="188" ht="45" customHeight="1">
      <c r="A188" s="87" t="inlineStr">
        <is>
          <t>RISK</t>
        </is>
      </c>
      <c r="B188" s="88" t="n">
        <v>140</v>
      </c>
      <c r="C188" s="89" t="inlineStr">
        <is>
          <t>Risk measure value for bucket &lt; 5 years</t>
        </is>
      </c>
      <c r="D188" s="90" t="inlineStr">
        <is>
          <t>C
M for risk measure type equal to "NET_DV01" and "NET_CS01"
F otherwise</t>
        </is>
      </c>
      <c r="E188" s="91" t="inlineStr">
        <is>
          <t>This field is mandatory for risk measure type equal to "NET_DV01" and "NET_CS01" and forbidden otherwise. Expressed in base currency.</t>
        </is>
      </c>
    </row>
    <row r="189" ht="45" customHeight="1">
      <c r="A189" s="87" t="inlineStr">
        <is>
          <t>RISK</t>
        </is>
      </c>
      <c r="B189" s="88" t="n">
        <v>141</v>
      </c>
      <c r="C189" s="89" t="inlineStr">
        <is>
          <t>Risk measure value for bucket 5-15 years</t>
        </is>
      </c>
      <c r="D189" s="90" t="inlineStr">
        <is>
          <t>C
M for risk measure type equal to "NET_DV01" and "NET_CS01"
F otherwise</t>
        </is>
      </c>
      <c r="E189" s="91" t="inlineStr">
        <is>
          <t>This field is mandatory for risk measure type equal to "NET_DV01" and "NET_CS01" and forbidden otherwise. Expressed in base currency.</t>
        </is>
      </c>
    </row>
    <row r="190" ht="45" customHeight="1">
      <c r="A190" s="87" t="inlineStr">
        <is>
          <t>RISK</t>
        </is>
      </c>
      <c r="B190" s="88" t="n">
        <v>142</v>
      </c>
      <c r="C190" s="89" t="inlineStr">
        <is>
          <t>Risk measure value for bucket &gt; 15 years</t>
        </is>
      </c>
      <c r="D190" s="90" t="inlineStr">
        <is>
          <t>C
M for risk measure type equal to "NET_DV01" and "NET_CS01"
F otherwise</t>
        </is>
      </c>
      <c r="E190" s="91" t="inlineStr">
        <is>
          <t>This field is mandatory for risk measure type equal to "NET_DV01" and "NET_CS01" and forbidden otherwise. Expressed in base currency.</t>
        </is>
      </c>
    </row>
    <row r="191" ht="33.75" customHeight="1">
      <c r="A191" s="87" t="inlineStr">
        <is>
          <t>RISK</t>
        </is>
      </c>
      <c r="B191" s="88" t="n">
        <v>143</v>
      </c>
      <c r="C191" s="89" t="inlineStr">
        <is>
          <t>Risk measure value for Vega exposure at current market levels</t>
        </is>
      </c>
      <c r="D191" s="90" t="inlineStr">
        <is>
          <t>C
M for risk measure type equal to "VEGA_EXPO"
F otherwise</t>
        </is>
      </c>
      <c r="E191" s="91" t="inlineStr">
        <is>
          <t>This field is mandatory for risk measure type equal to "VEGA_EXPO" and forbidden otherwise. Expressed in base currency.</t>
        </is>
      </c>
    </row>
    <row r="192" ht="33.75" customHeight="1">
      <c r="A192" s="87" t="inlineStr">
        <is>
          <t>RISK</t>
        </is>
      </c>
      <c r="B192" s="88" t="n">
        <v>144</v>
      </c>
      <c r="C192" s="89" t="inlineStr">
        <is>
          <t>Risk measure value for Vega exposure at market levels 10% lower</t>
        </is>
      </c>
      <c r="D192" s="90" t="inlineStr">
        <is>
          <t>C
M for risk measure type equal to "VEGA_EXPO"
F otherwise</t>
        </is>
      </c>
      <c r="E192" s="91" t="inlineStr">
        <is>
          <t>This field is mandatory for risk measure type equal to "VEGA_EXPO" and forbidden otherwise. Expressed in base currency.</t>
        </is>
      </c>
    </row>
    <row r="193" ht="33.75" customHeight="1">
      <c r="A193" s="87" t="inlineStr">
        <is>
          <t>RISK</t>
        </is>
      </c>
      <c r="B193" s="88" t="n">
        <v>145</v>
      </c>
      <c r="C193" s="89" t="inlineStr">
        <is>
          <t>Risk measure value for Vega exposure at market levels 10% higher</t>
        </is>
      </c>
      <c r="D193" s="90" t="inlineStr">
        <is>
          <t>C
M for risk measure type equal to "VEGA_EXPO"
F otherwise</t>
        </is>
      </c>
      <c r="E193" s="91" t="inlineStr">
        <is>
          <t>This field is mandatory for risk measure type equal to "VEGA_EXPO" and forbidden otherwise. Expressed in base currency.</t>
        </is>
      </c>
    </row>
    <row r="194" ht="33.75" customHeight="1">
      <c r="A194" s="87" t="inlineStr">
        <is>
          <t>RISK</t>
        </is>
      </c>
      <c r="B194" s="88" t="n">
        <v>302</v>
      </c>
      <c r="C194" s="89" t="inlineStr">
        <is>
          <t>VAR Value</t>
        </is>
      </c>
      <c r="D194" s="90" t="inlineStr">
        <is>
          <t>C
M for risk measure type equal to "VAR"
F otherwise</t>
        </is>
      </c>
      <c r="E194" s="91" t="inlineStr">
        <is>
          <t>This field is mandatory for risk measure type equal to "VAR" and forbidden otherwise. Expressed as a percentage.</t>
        </is>
      </c>
    </row>
    <row r="195" ht="56.25" customHeight="1">
      <c r="A195" s="87" t="inlineStr">
        <is>
          <t>RISK</t>
        </is>
      </c>
      <c r="B195" s="88" t="n">
        <v>146</v>
      </c>
      <c r="C195" s="91" t="inlineStr">
        <is>
          <t>VAR Calculation Method Code Type</t>
        </is>
      </c>
      <c r="D195" s="90" t="inlineStr">
        <is>
          <t>C
M for risk measure type equal to "VAR"
F otherwise</t>
        </is>
      </c>
      <c r="E195" s="91" t="inlineStr">
        <is>
          <t>Allowed values are:
- HISTO for Historical simulation
- CARLO for Monte Carlo simulation
- PARAM for Parametric
This field mandory for risk measure type equal to "VAR" and forbidden otherwise.</t>
        </is>
      </c>
    </row>
    <row r="196" ht="22.5" customHeight="1">
      <c r="A196" s="87" t="inlineStr">
        <is>
          <t>RISK</t>
        </is>
      </c>
      <c r="B196" s="88" t="n">
        <v>147</v>
      </c>
      <c r="C196" s="91" t="inlineStr">
        <is>
          <t>Risk Measure description</t>
        </is>
      </c>
      <c r="D196" s="90" t="inlineStr">
        <is>
          <t>C
M for risk measure values equal to 0</t>
        </is>
      </c>
      <c r="E196" s="91" t="inlineStr">
        <is>
          <t>Free description.
The field is mandatory for  risk measure values equal to 0 and optional otherwise.</t>
        </is>
      </c>
    </row>
    <row r="197">
      <c r="A197" s="87" t="n"/>
      <c r="B197" s="88" t="n"/>
      <c r="C197" s="91" t="n"/>
    </row>
    <row r="198">
      <c r="A198" s="83" t="inlineStr">
        <is>
          <t>Counterparty risk profile - This describes the risk profile of the counterparties</t>
        </is>
      </c>
      <c r="B198" s="93" t="n"/>
      <c r="C198" s="94" t="n"/>
      <c r="D198" s="95" t="inlineStr">
        <is>
          <t>C</t>
        </is>
      </c>
      <c r="E198" s="96" t="inlineStr">
        <is>
          <t>The COUNTERPARTY_RISK_PROFILE record is optional for AIFs with content type 2 and 4, and forbidden otherwise.</t>
        </is>
      </c>
      <c r="F198" s="97" t="n"/>
    </row>
    <row r="199">
      <c r="A199" s="87" t="inlineStr">
        <is>
          <t>COUNTERPARTY_RISK_PROFILE</t>
        </is>
      </c>
      <c r="B199" s="88" t="inlineStr">
        <is>
          <t>AIF_ID</t>
        </is>
      </c>
      <c r="C199" s="89" t="inlineStr">
        <is>
          <t>Custom AIF Identification</t>
        </is>
      </c>
      <c r="D199" s="90" t="inlineStr">
        <is>
          <t>Mandatory</t>
        </is>
      </c>
      <c r="E199" s="89" t="inlineStr">
        <is>
          <t>Custom AIF Identification to link AIF records to the correct AIF</t>
        </is>
      </c>
    </row>
    <row r="200" ht="22.5" customHeight="1">
      <c r="A200" s="87" t="inlineStr">
        <is>
          <t>COUNTERPARTY_RISK_PROFILE</t>
        </is>
      </c>
      <c r="B200" s="88" t="n">
        <v>148</v>
      </c>
      <c r="C200" s="91" t="inlineStr">
        <is>
          <t>Percentage of market value for securities traded on regulated markets (non-OTC)</t>
        </is>
      </c>
      <c r="D200" s="90" t="inlineStr">
        <is>
          <t>Optional</t>
        </is>
      </c>
      <c r="E200" s="91" t="inlineStr">
        <is>
          <t>Estimated % in terms of market value of securities traded on regulated exchange markets.
Rate expressed as a percentage.</t>
        </is>
      </c>
    </row>
    <row r="201" ht="45" customHeight="1">
      <c r="A201" s="87" t="inlineStr">
        <is>
          <t>COUNTERPARTY_RISK_PROFILE</t>
        </is>
      </c>
      <c r="B201" s="88" t="n">
        <v>149</v>
      </c>
      <c r="C201" s="91" t="inlineStr">
        <is>
          <t>Percentage of market value for securities traded on OTC markets</t>
        </is>
      </c>
      <c r="D201" s="90" t="inlineStr">
        <is>
          <t>Legacy</t>
        </is>
      </c>
      <c r="E201" s="91" t="inlineStr">
        <is>
          <t>Legacy, not needed anymore. Now determined as 100 - [field 148], only when a value is present in field 148.
Estimated % in terms of market value of securities traded on OTC markets.
Rate expressed as a percentage.</t>
        </is>
      </c>
    </row>
    <row r="202" ht="22.5" customHeight="1">
      <c r="A202" s="87" t="inlineStr">
        <is>
          <t>COUNTERPARTY_RISK_PROFILE</t>
        </is>
      </c>
      <c r="B202" s="88" t="n">
        <v>150</v>
      </c>
      <c r="C202" s="91" t="inlineStr">
        <is>
          <t>Percentage of trade volumes for derivatives traded on regulated markets (non-OTC)</t>
        </is>
      </c>
      <c r="D202" s="90" t="inlineStr">
        <is>
          <t>Optional</t>
        </is>
      </c>
      <c r="E202" s="91" t="inlineStr">
        <is>
          <t>Estimated % in terms of trade volumes of derivatives that are traded on regulated exchange markets.
Rate expressed as a percentage.</t>
        </is>
      </c>
    </row>
    <row r="203" ht="45" customHeight="1">
      <c r="A203" s="87" t="inlineStr">
        <is>
          <t>COUNTERPARTY_RISK_PROFILE</t>
        </is>
      </c>
      <c r="B203" s="88" t="n">
        <v>151</v>
      </c>
      <c r="C203" s="91" t="inlineStr">
        <is>
          <t>Percentage of trade volumes for derivatives traded on OTC markets</t>
        </is>
      </c>
      <c r="D203" s="90" t="inlineStr">
        <is>
          <t>Legacy</t>
        </is>
      </c>
      <c r="E203" s="91" t="inlineStr">
        <is>
          <t>Legacy, not needed anymore. Now determined as 100 - [field 150], only when a value is present in field 150.
Estimated % in terms of trade volumes of derivatives that are traded on OTC markets.
Rate expressed as a percentage.</t>
        </is>
      </c>
    </row>
    <row r="204" ht="22.5" customHeight="1">
      <c r="A204" s="87" t="inlineStr">
        <is>
          <t>COUNTERPARTY_RISK_PROFILE</t>
        </is>
      </c>
      <c r="B204" s="88" t="n">
        <v>152</v>
      </c>
      <c r="C204" s="91" t="inlineStr">
        <is>
          <t>Percentage of trade volumes for derivatives cleared by a CCP</t>
        </is>
      </c>
      <c r="D204" s="90" t="inlineStr">
        <is>
          <t>Optional</t>
        </is>
      </c>
      <c r="E204" s="91" t="inlineStr">
        <is>
          <t>Estimated % in terms of trade volumes of derivatives transactions that are cleared by a CCP.
Rate expressed as a percentage.</t>
        </is>
      </c>
    </row>
    <row r="205" ht="45" customHeight="1">
      <c r="A205" s="87" t="inlineStr">
        <is>
          <t>COUNTERPARTY_RISK_PROFILE</t>
        </is>
      </c>
      <c r="B205" s="88" t="n">
        <v>153</v>
      </c>
      <c r="C205" s="91" t="inlineStr">
        <is>
          <t>Percentage of trade volumes for derivatives cleared bilaterally</t>
        </is>
      </c>
      <c r="D205" s="90" t="inlineStr">
        <is>
          <t>Legacy</t>
        </is>
      </c>
      <c r="E205" s="91" t="inlineStr">
        <is>
          <t>Legacy, not needed anymore. Now determined as 100 - [field 152], only when a value is present in field 152.
Estimated % in terms of trade volumes of derivatives transactions that are cleared bilateraly.
Rate expressed as a percentage.</t>
        </is>
      </c>
    </row>
    <row r="206" ht="22.5" customHeight="1">
      <c r="A206" s="87" t="inlineStr">
        <is>
          <t>COUNTERPARTY_RISK_PROFILE</t>
        </is>
      </c>
      <c r="B206" s="88" t="n">
        <v>154</v>
      </c>
      <c r="C206" s="91" t="inlineStr">
        <is>
          <t>Percentage of market value for repos trades cleared by a CCP</t>
        </is>
      </c>
      <c r="D206" s="90" t="inlineStr">
        <is>
          <t>Optional</t>
        </is>
      </c>
      <c r="E206" s="91" t="inlineStr">
        <is>
          <t>Estimated % in terms of market value of repo trades that are cleared by a CCP.
Rate expressed as a percentage.</t>
        </is>
      </c>
    </row>
    <row r="207" ht="22.5" customHeight="1">
      <c r="A207" s="87" t="inlineStr">
        <is>
          <t>COUNTERPARTY_RISK_PROFILE</t>
        </is>
      </c>
      <c r="B207" s="88" t="n">
        <v>155</v>
      </c>
      <c r="C207" s="91" t="inlineStr">
        <is>
          <t>Percentage of market value for repos trades cleared bilaterally</t>
        </is>
      </c>
      <c r="D207" s="90" t="inlineStr">
        <is>
          <t>Optional</t>
        </is>
      </c>
      <c r="E207" s="91" t="inlineStr">
        <is>
          <t>Estimated % in terms of market value of repo trades that are cleared bilateraly.
Rate expressed as a percentage.</t>
        </is>
      </c>
    </row>
    <row r="208" ht="22.5" customHeight="1">
      <c r="A208" s="87" t="inlineStr">
        <is>
          <t>COUNTERPARTY_RISK_PROFILE</t>
        </is>
      </c>
      <c r="B208" s="88" t="n">
        <v>156</v>
      </c>
      <c r="C208" s="91" t="inlineStr">
        <is>
          <t>Percentage of market value for repos trades cleared with triparty repos</t>
        </is>
      </c>
      <c r="D208" s="90" t="inlineStr">
        <is>
          <t>Optional</t>
        </is>
      </c>
      <c r="E208" s="91" t="inlineStr">
        <is>
          <t>Estimated % in terms of market value of repo trades that are cleared via tri party repos.
Rate expressed as a percentage.</t>
        </is>
      </c>
    </row>
    <row r="209">
      <c r="A209" s="87" t="inlineStr">
        <is>
          <t>COUNTERPARTY_RISK_PROFILE</t>
        </is>
      </c>
      <c r="B209" s="88" t="n">
        <v>157</v>
      </c>
      <c r="C209" s="91" t="inlineStr">
        <is>
          <t>Collateral Cash amount posted to all counterparties</t>
        </is>
      </c>
      <c r="D209" s="90" t="inlineStr">
        <is>
          <t>Optional</t>
        </is>
      </c>
      <c r="E209" s="91" t="inlineStr">
        <is>
          <t>Value of collateral posted in the form of cash and cash equivalent expressed in base currency filled in without decimal places.</t>
        </is>
      </c>
    </row>
    <row r="210" ht="22.5" customHeight="1">
      <c r="A210" s="87" t="inlineStr">
        <is>
          <t>COUNTERPARTY_RISK_PROFILE</t>
        </is>
      </c>
      <c r="B210" s="88" t="n">
        <v>158</v>
      </c>
      <c r="C210" s="91" t="inlineStr">
        <is>
          <t>Collateral Securities amount posted to all counterparties</t>
        </is>
      </c>
      <c r="D210" s="90" t="inlineStr">
        <is>
          <t>Optional</t>
        </is>
      </c>
      <c r="E210" s="91" t="inlineStr">
        <is>
          <t>Value of collateral posted in the form of other securities (excluding cash and cash equivalent) expressed in base currency filled in without decimal places.</t>
        </is>
      </c>
    </row>
    <row r="211" ht="22.5" customHeight="1">
      <c r="A211" s="87" t="inlineStr">
        <is>
          <t>COUNTERPARTY_RISK_PROFILE</t>
        </is>
      </c>
      <c r="B211" s="88" t="n">
        <v>159</v>
      </c>
      <c r="C211" s="91" t="inlineStr">
        <is>
          <t>Other Collateral amount posted to all counterparties</t>
        </is>
      </c>
      <c r="D211" s="90" t="inlineStr">
        <is>
          <t>Optional</t>
        </is>
      </c>
      <c r="E211" s="91" t="inlineStr">
        <is>
          <t>Value of other collateral and credit support posted (including face amount of letters of credit and similar third party credit support) expressed in base currency filled in without decimal places.</t>
        </is>
      </c>
    </row>
    <row r="212">
      <c r="A212" s="87" t="n"/>
      <c r="B212" s="88" t="n"/>
      <c r="C212" s="91" t="n"/>
    </row>
    <row r="213">
      <c r="A213" s="83"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93" t="n"/>
      <c r="C213" s="94" t="n"/>
      <c r="D213" s="95" t="inlineStr">
        <is>
          <t>C</t>
        </is>
      </c>
      <c r="E213" s="96" t="inlineStr">
        <is>
          <t>The PORTFOLIO_LIQUIDITY_PROFILE record is mandatory for AIFs with content type 2 and 4, and forbidden otherwise.</t>
        </is>
      </c>
      <c r="F213" s="97" t="n"/>
    </row>
    <row r="214">
      <c r="A214" s="87" t="inlineStr">
        <is>
          <t>PORTFOLIO_LIQUIDITY_PROFILE</t>
        </is>
      </c>
      <c r="B214" s="88" t="inlineStr">
        <is>
          <t>AIF_ID</t>
        </is>
      </c>
      <c r="C214" s="89" t="inlineStr">
        <is>
          <t>Custom AIF Identification</t>
        </is>
      </c>
      <c r="D214" s="90" t="inlineStr">
        <is>
          <t>Mandatory</t>
        </is>
      </c>
      <c r="E214" s="89" t="inlineStr">
        <is>
          <t>Custom AIF Identification to link AIF records to the correct AIF</t>
        </is>
      </c>
    </row>
    <row r="215" ht="33.75" customHeight="1">
      <c r="A215" s="87" t="inlineStr">
        <is>
          <t>PORTFOLIO_LIQUIDITY_PROFILE</t>
        </is>
      </c>
      <c r="B215" s="88" t="n">
        <v>178</v>
      </c>
      <c r="C215" s="89" t="inlineStr">
        <is>
          <t>Percentage of portfolio liquidity in 0 to 1 day</t>
        </is>
      </c>
      <c r="D215" s="90" t="inlineStr">
        <is>
          <t>Mandatory</t>
        </is>
      </c>
      <c r="E215" s="91" t="inlineStr">
        <is>
          <t>The percentage of portfolio capable of being liquidated within 1 day or less.
The total sum of the percentage of the fund’s portfolio that is capable of being liquidated within each of the liquidity periods specified should equal 100%.</t>
        </is>
      </c>
    </row>
    <row r="216" ht="33.75" customHeight="1">
      <c r="A216" s="87" t="inlineStr">
        <is>
          <t>PORTFOLIO_LIQUIDITY_PROFILE</t>
        </is>
      </c>
      <c r="B216" s="88" t="n">
        <v>179</v>
      </c>
      <c r="C216" s="89" t="inlineStr">
        <is>
          <t>Percentage of portfolio liquidity in 2 to 7 days</t>
        </is>
      </c>
      <c r="D216" s="90" t="inlineStr">
        <is>
          <t>Mandatory</t>
        </is>
      </c>
      <c r="E216" s="91" t="inlineStr">
        <is>
          <t>The percentage of portfolio capable of being liquidated in 2 to 7 days.
The total sum of the percentage of the fund’s portfolio that is capable of being liquidated within each of the liquidity periods specified should equal 100%.</t>
        </is>
      </c>
    </row>
    <row r="217" ht="33.75" customHeight="1">
      <c r="A217" s="87" t="inlineStr">
        <is>
          <t>PORTFOLIO_LIQUIDITY_PROFILE</t>
        </is>
      </c>
      <c r="B217" s="88" t="n">
        <v>180</v>
      </c>
      <c r="C217" s="89" t="inlineStr">
        <is>
          <t>Percentage of portfolio liquidity in 8 to 30 days</t>
        </is>
      </c>
      <c r="D217" s="90" t="inlineStr">
        <is>
          <t>Mandatory</t>
        </is>
      </c>
      <c r="E217" s="91" t="inlineStr">
        <is>
          <t>The percentage of portfolio capable of being liquidated in 8 to 30 days.
The total sum of the percentage of the fund’s portfolio that is capable of being liquidated within each of the liquidity periods specified should equal 100%.</t>
        </is>
      </c>
    </row>
    <row r="218" ht="33.75" customHeight="1">
      <c r="A218" s="87" t="inlineStr">
        <is>
          <t>PORTFOLIO_LIQUIDITY_PROFILE</t>
        </is>
      </c>
      <c r="B218" s="88" t="n">
        <v>181</v>
      </c>
      <c r="C218" s="89" t="inlineStr">
        <is>
          <t>Percentage of portfolio liquidity in 31 to 90 days</t>
        </is>
      </c>
      <c r="D218" s="90" t="inlineStr">
        <is>
          <t>Mandatory</t>
        </is>
      </c>
      <c r="E218" s="91" t="inlineStr">
        <is>
          <t>The percentage of portfolio capable of being liquidated in 31 to 90 days.
The total sum of the percentage of the fund’s portfolio that is capable of being liquidated within each of the liquidity periods specified should equal 100%.</t>
        </is>
      </c>
    </row>
    <row r="219" ht="33.75" customHeight="1">
      <c r="A219" s="87" t="inlineStr">
        <is>
          <t>PORTFOLIO_LIQUIDITY_PROFILE</t>
        </is>
      </c>
      <c r="B219" s="88" t="n">
        <v>182</v>
      </c>
      <c r="C219" s="89" t="inlineStr">
        <is>
          <t>Percentage of portfolio liquidity in 91 to 180 days</t>
        </is>
      </c>
      <c r="D219" s="90" t="inlineStr">
        <is>
          <t>Mandatory</t>
        </is>
      </c>
      <c r="E219" s="91" t="inlineStr">
        <is>
          <t>The percentage of portfolio capable of being liquidated in 91 to 180 days.
The total sum of the percentage of the fund’s portfolio that is capable of being liquidated within each of the liquidity periods specified should equal 100%.</t>
        </is>
      </c>
    </row>
    <row r="220" ht="33.75" customHeight="1">
      <c r="A220" s="87" t="inlineStr">
        <is>
          <t>PORTFOLIO_LIQUIDITY_PROFILE</t>
        </is>
      </c>
      <c r="B220" s="88" t="n">
        <v>183</v>
      </c>
      <c r="C220" s="89" t="inlineStr">
        <is>
          <t>Percentage of portfolio liquidity in 181 to 365 days</t>
        </is>
      </c>
      <c r="D220" s="90" t="inlineStr">
        <is>
          <t>Mandatory</t>
        </is>
      </c>
      <c r="E220" s="91" t="inlineStr">
        <is>
          <t>The percentage of portfolio capable of being liquidated in 181 to 365 days.
The total sum of the percentage of the fund’s portfolio that is capable of being liquidated within each of the liquidity periods specified should equal 100%.</t>
        </is>
      </c>
    </row>
    <row r="221" ht="33.75" customHeight="1">
      <c r="A221" s="87" t="inlineStr">
        <is>
          <t>PORTFOLIO_LIQUIDITY_PROFILE</t>
        </is>
      </c>
      <c r="B221" s="88" t="n">
        <v>184</v>
      </c>
      <c r="C221" s="89" t="inlineStr">
        <is>
          <t>Percentage of portfolio liquidity in more than 365 days</t>
        </is>
      </c>
      <c r="D221" s="90" t="inlineStr">
        <is>
          <t>Mandatory</t>
        </is>
      </c>
      <c r="E221" s="91" t="inlineStr">
        <is>
          <t>The percentage of portfolio capable of being liquidated in more than 365 days.
The total sum of the percentage of the fund’s portfolio that is capable of being liquidated within each of the liquidity periods specified should equal 100%.</t>
        </is>
      </c>
    </row>
    <row r="222">
      <c r="A222" s="87" t="inlineStr">
        <is>
          <t>PORTFOLIO_LIQUIDITY_PROFILE</t>
        </is>
      </c>
      <c r="B222" s="88" t="n">
        <v>185</v>
      </c>
      <c r="C222" s="89" t="inlineStr">
        <is>
          <t>Unencumbered cash amount</t>
        </is>
      </c>
      <c r="D222" s="90" t="inlineStr">
        <is>
          <t>Mandatory</t>
        </is>
      </c>
      <c r="E222" s="91" t="inlineStr">
        <is>
          <t>Amount expressed in Base currency.</t>
        </is>
      </c>
    </row>
    <row r="223">
      <c r="A223" s="87" t="n"/>
      <c r="B223" s="88" t="n"/>
      <c r="C223" s="89" t="n"/>
    </row>
    <row r="224">
      <c r="A224" s="83" t="inlineStr">
        <is>
          <t>Investor liquidity - This describes how easily an investor can redeme investment (withdraw from fund)</t>
        </is>
      </c>
      <c r="B224" s="93" t="n"/>
      <c r="C224" s="94" t="n"/>
      <c r="D224" s="95" t="inlineStr">
        <is>
          <t>C</t>
        </is>
      </c>
      <c r="E224" s="96" t="inlineStr">
        <is>
          <t>The INVESTOR_LIQUIDITY_PROFILE record is mandatory for AIFs with content type 2 and 4, and forbidden otherwise.</t>
        </is>
      </c>
      <c r="F224" s="97" t="n"/>
    </row>
    <row r="225">
      <c r="A225" s="87" t="inlineStr">
        <is>
          <t>INVESTOR_LIQUIDITY_PROFILE</t>
        </is>
      </c>
      <c r="B225" s="88" t="inlineStr">
        <is>
          <t>AIF_ID</t>
        </is>
      </c>
      <c r="C225" s="89" t="inlineStr">
        <is>
          <t>Custom AIF Identification</t>
        </is>
      </c>
      <c r="D225" s="90" t="inlineStr">
        <is>
          <t>Mandatory</t>
        </is>
      </c>
      <c r="E225" s="89" t="inlineStr">
        <is>
          <t>Custom AIF Identification to link AIF records to the correct AIF</t>
        </is>
      </c>
    </row>
    <row r="226" ht="22.5" customHeight="1">
      <c r="A226" s="87" t="inlineStr">
        <is>
          <t>INVESTOR_LIQUIDITY_PROFILE</t>
        </is>
      </c>
      <c r="B226" s="88" t="n">
        <v>186</v>
      </c>
      <c r="C226" s="89" t="inlineStr">
        <is>
          <t>Percentage of investor liquidity in 0 to 1 day</t>
        </is>
      </c>
      <c r="D226" s="90" t="inlineStr">
        <is>
          <t>Mandatory</t>
        </is>
      </c>
      <c r="E226" s="91" t="inlineStr">
        <is>
          <t>Breakdown of the NAV divided among the 1 day or less period depending on  the shortest period within which the invested funds could be withdrawn or investors could receive redemption payments. The total should equal 100%.</t>
        </is>
      </c>
    </row>
    <row r="227" ht="22.5" customHeight="1">
      <c r="A227" s="87" t="inlineStr">
        <is>
          <t>INVESTOR_LIQUIDITY_PROFILE</t>
        </is>
      </c>
      <c r="B227" s="88" t="n">
        <v>187</v>
      </c>
      <c r="C227" s="89" t="inlineStr">
        <is>
          <t>Percentage of investor liquidity in 2 to 7 days</t>
        </is>
      </c>
      <c r="D227" s="90" t="inlineStr">
        <is>
          <t>Mandatory</t>
        </is>
      </c>
      <c r="E227" s="91" t="inlineStr">
        <is>
          <t>Breakdown of the NAV divided among the “2 to 7 days” period depending on  the shortest period within which the invested funds could be withdrawn or investors could receive redemption payments. The total should equal 100%.</t>
        </is>
      </c>
    </row>
    <row r="228" ht="22.5" customHeight="1">
      <c r="A228" s="87" t="inlineStr">
        <is>
          <t>INVESTOR_LIQUIDITY_PROFILE</t>
        </is>
      </c>
      <c r="B228" s="88" t="n">
        <v>188</v>
      </c>
      <c r="C228" s="89" t="inlineStr">
        <is>
          <t>Percentage of investor liquidity in 8 to 30 days</t>
        </is>
      </c>
      <c r="D228" s="90" t="inlineStr">
        <is>
          <t>Mandatory</t>
        </is>
      </c>
      <c r="E228" s="91" t="inlineStr">
        <is>
          <t>Breakdown of the NAV divided among the “8 to 30 days” period depending on  the shortest period within which the invested funds could be withdrawn or investors could receive redemption payments. The total should equal 100%.</t>
        </is>
      </c>
    </row>
    <row r="229" ht="22.5" customHeight="1">
      <c r="A229" s="87" t="inlineStr">
        <is>
          <t>INVESTOR_LIQUIDITY_PROFILE</t>
        </is>
      </c>
      <c r="B229" s="88" t="n">
        <v>189</v>
      </c>
      <c r="C229" s="89" t="inlineStr">
        <is>
          <t>Percentage of investor liquidity in 31 to 90 days</t>
        </is>
      </c>
      <c r="D229" s="90" t="inlineStr">
        <is>
          <t>Mandatory</t>
        </is>
      </c>
      <c r="E229" s="91" t="inlineStr">
        <is>
          <t>Breakdown of the NAV divided among the “31 to 90 days” period depending on  the shortest period within which the invested funds could be withdrawn or investors could receive redemption payments. The total should equal 100%.</t>
        </is>
      </c>
    </row>
    <row r="230" ht="22.5" customHeight="1">
      <c r="A230" s="87" t="inlineStr">
        <is>
          <t>INVESTOR_LIQUIDITY_PROFILE</t>
        </is>
      </c>
      <c r="B230" s="88" t="n">
        <v>190</v>
      </c>
      <c r="C230" s="89" t="inlineStr">
        <is>
          <t>Percentage of investor liquidity in 91 to 180 days</t>
        </is>
      </c>
      <c r="D230" s="90" t="inlineStr">
        <is>
          <t>Mandatory</t>
        </is>
      </c>
      <c r="E230" s="91" t="inlineStr">
        <is>
          <t>Breakdown of the NAV divided among the “91 to 180 days” period depending on  the shortest period within which the invested funds could be withdrawn or investors could receive redemption payments. The total should equal 100%.</t>
        </is>
      </c>
    </row>
    <row r="231" ht="22.5" customHeight="1">
      <c r="A231" s="87" t="inlineStr">
        <is>
          <t>INVESTOR_LIQUIDITY_PROFILE</t>
        </is>
      </c>
      <c r="B231" s="88" t="n">
        <v>191</v>
      </c>
      <c r="C231" s="89" t="inlineStr">
        <is>
          <t>Percentage of investor liquidity in 181 to 365 days</t>
        </is>
      </c>
      <c r="D231" s="90" t="inlineStr">
        <is>
          <t>Mandatory</t>
        </is>
      </c>
      <c r="E231" s="91" t="inlineStr">
        <is>
          <t>Breakdown of the NAV divided among the “181 to 365 days” period depending on  the shortest period within which the invested funds could be withdrawn or investors could receive redemption payments. The total should equal 100%.</t>
        </is>
      </c>
    </row>
    <row r="232" ht="22.5" customHeight="1">
      <c r="A232" s="87" t="inlineStr">
        <is>
          <t>INVESTOR_LIQUIDITY_PROFILE</t>
        </is>
      </c>
      <c r="B232" s="88" t="n">
        <v>192</v>
      </c>
      <c r="C232" s="89" t="inlineStr">
        <is>
          <t>Percentage of investor liquidity in more than 365 days</t>
        </is>
      </c>
      <c r="D232" s="90" t="inlineStr">
        <is>
          <t>Mandatory</t>
        </is>
      </c>
      <c r="E232" s="91" t="inlineStr">
        <is>
          <t>Breakdown of the NAV divided among the “more than 365 days” period depending on  the shortest period within which the invested funds could be withdrawn or investors could receive redemption payments. The total should equal 100%.</t>
        </is>
      </c>
    </row>
    <row r="233">
      <c r="A233" s="87" t="n"/>
      <c r="B233" s="88" t="n"/>
      <c r="C233" s="89" t="n"/>
    </row>
    <row r="234">
      <c r="A234" s="83" t="inlineStr">
        <is>
          <t>Investor redemption rules - Most funds have rules on how easily an investor can withdraw capital from a fund</t>
        </is>
      </c>
      <c r="B234" s="93" t="n"/>
      <c r="C234" s="94" t="n"/>
      <c r="D234" s="95" t="inlineStr">
        <is>
          <t>C</t>
        </is>
      </c>
      <c r="E234" s="96" t="inlineStr">
        <is>
          <t>The INVESTOR_REDEMPTION record is optional for AIFs with content type 2 and 4, and forbidden otherwise.</t>
        </is>
      </c>
      <c r="F234" s="97" t="n"/>
    </row>
    <row r="235">
      <c r="A235" s="87" t="inlineStr">
        <is>
          <t>INVESTOR_REDEMPTION</t>
        </is>
      </c>
      <c r="B235" s="88" t="inlineStr">
        <is>
          <t>AIF_ID</t>
        </is>
      </c>
      <c r="C235" s="89" t="inlineStr">
        <is>
          <t>Custom AIF Identification</t>
        </is>
      </c>
      <c r="D235" s="90" t="inlineStr">
        <is>
          <t>Mandatory</t>
        </is>
      </c>
      <c r="E235" s="89" t="inlineStr">
        <is>
          <t>Custom AIF Identification to link AIF records to the correct AIF</t>
        </is>
      </c>
    </row>
    <row r="236" ht="45" customHeight="1">
      <c r="A236" s="87" t="inlineStr">
        <is>
          <t>INVESTOR_REDEMPTION</t>
        </is>
      </c>
      <c r="B236" s="88" t="n">
        <v>193</v>
      </c>
      <c r="C236" s="89" t="inlineStr">
        <is>
          <t>Withdrawal redemption rights flag</t>
        </is>
      </c>
      <c r="D236" s="136" t="inlineStr">
        <is>
          <t>Legacy</t>
        </is>
      </c>
      <c r="E236" s="118" t="inlineStr">
        <is>
          <t>Legacy, not needed anymore. Now determined based on fields 194-196.
Flag indicating whether the AIF provides investors with withdrawal/redemption rights in the ordinary course.
true or false</t>
        </is>
      </c>
    </row>
    <row r="237" ht="146.25" customHeight="1">
      <c r="A237" s="87" t="inlineStr">
        <is>
          <t>INVESTOR_REDEMPTION</t>
        </is>
      </c>
      <c r="B237" s="88" t="n">
        <v>194</v>
      </c>
      <c r="C237" s="89" t="inlineStr">
        <is>
          <t>Investor Redemption Frequency</t>
        </is>
      </c>
      <c r="D237" s="90" t="inlineStr">
        <is>
          <t>Optional</t>
        </is>
      </c>
      <c r="E237" s="118"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99" t="inlineStr">
        <is>
          <t>See tab: #DOC Annex II Tables - Table 6 for allowed values</t>
        </is>
      </c>
    </row>
    <row r="238" ht="22.5" customHeight="1">
      <c r="A238" s="87" t="inlineStr">
        <is>
          <t>INVESTOR_REDEMPTION</t>
        </is>
      </c>
      <c r="B238" s="88" t="n">
        <v>195</v>
      </c>
      <c r="C238" s="89" t="inlineStr">
        <is>
          <t>Investor Redemption Notice Period</t>
        </is>
      </c>
      <c r="D238" s="90" t="inlineStr">
        <is>
          <t>Optional</t>
        </is>
      </c>
      <c r="E238" s="118" t="inlineStr">
        <is>
          <t>The notice period required by investors for redemptions in days.
If there are multiple classes of shares or units, the notice period reported is the asset weighted notice period.</t>
        </is>
      </c>
    </row>
    <row r="239" ht="22.5" customHeight="1">
      <c r="A239" s="87" t="inlineStr">
        <is>
          <t>INVESTOR_REDEMPTION</t>
        </is>
      </c>
      <c r="B239" s="88" t="n">
        <v>196</v>
      </c>
      <c r="C239" s="89" t="inlineStr">
        <is>
          <t>Investor Redemption Lock Up Period</t>
        </is>
      </c>
      <c r="D239" s="90" t="inlineStr">
        <is>
          <t>Optional</t>
        </is>
      </c>
      <c r="E239" s="118" t="inlineStr">
        <is>
          <t>The investor lock-up period in days.
If there are multiple classes of shares or units, the notice period reported is the asset weighted lock-up period.</t>
        </is>
      </c>
    </row>
    <row r="240">
      <c r="A240" s="87" t="n"/>
      <c r="B240" s="88" t="n"/>
      <c r="C240" s="89" t="n"/>
    </row>
    <row r="241">
      <c r="A241" s="83" t="inlineStr">
        <is>
          <t>Special Arrangements - details whether the fund has provided any special arrangements for a particular share class or investor.</t>
        </is>
      </c>
      <c r="B241" s="93" t="n"/>
      <c r="C241" s="94" t="n"/>
      <c r="D241" s="95" t="inlineStr">
        <is>
          <t>O</t>
        </is>
      </c>
      <c r="E241" s="96" t="inlineStr">
        <is>
          <t>The SPECIAL_ARRANGEMENT record is optional for AIFs with content type 2 and 4, and forbidden otherwise.</t>
        </is>
      </c>
      <c r="F241" s="97" t="n"/>
    </row>
    <row r="242">
      <c r="A242" s="87" t="inlineStr">
        <is>
          <t>SPECIAL_ARRANGEMENT</t>
        </is>
      </c>
      <c r="B242" s="88" t="inlineStr">
        <is>
          <t>AIF_ID</t>
        </is>
      </c>
      <c r="C242" s="89" t="inlineStr">
        <is>
          <t>Custom AIF Identification</t>
        </is>
      </c>
      <c r="D242" s="90" t="inlineStr">
        <is>
          <t>Mandatory</t>
        </is>
      </c>
      <c r="E242" s="89" t="inlineStr">
        <is>
          <t>Custom AIF Identification to link AIF records to the correct AIF</t>
        </is>
      </c>
    </row>
    <row r="243" ht="22.5" customHeight="1">
      <c r="A243" s="87" t="inlineStr">
        <is>
          <t>SPECIAL_ARRANGEMENT</t>
        </is>
      </c>
      <c r="B243" s="88" t="n">
        <v>197</v>
      </c>
      <c r="C243" s="89" t="inlineStr">
        <is>
          <t>Side Pocket percentage</t>
        </is>
      </c>
      <c r="D243" s="90" t="inlineStr">
        <is>
          <t>Optional</t>
        </is>
      </c>
      <c r="E243" s="91" t="inlineStr">
        <is>
          <t>The NAV percentage of the AIF's assets that are currently subject to side pockets arrangements.
Rate expressed as a percentage.</t>
        </is>
      </c>
    </row>
    <row r="244" ht="22.5" customHeight="1">
      <c r="A244" s="87" t="inlineStr">
        <is>
          <t>SPECIAL_ARRANGEMENT</t>
        </is>
      </c>
      <c r="B244" s="88" t="n">
        <v>198</v>
      </c>
      <c r="C244" s="89" t="inlineStr">
        <is>
          <t>Gates percentage</t>
        </is>
      </c>
      <c r="D244" s="90" t="inlineStr">
        <is>
          <t>Optional</t>
        </is>
      </c>
      <c r="E244" s="91" t="inlineStr">
        <is>
          <t>The NAV percentage of the AIF's assets that are currently subject to Gates arrangements.
Rate expressed as a percentage.</t>
        </is>
      </c>
    </row>
    <row r="245" ht="22.5" customHeight="1">
      <c r="A245" s="87" t="inlineStr">
        <is>
          <t>SPECIAL_ARRANGEMENT</t>
        </is>
      </c>
      <c r="B245" s="88" t="n">
        <v>199</v>
      </c>
      <c r="C245" s="89" t="inlineStr">
        <is>
          <t>Dealing Suspension percentage</t>
        </is>
      </c>
      <c r="D245" s="90" t="inlineStr">
        <is>
          <t>Optional</t>
        </is>
      </c>
      <c r="E245" s="91" t="inlineStr">
        <is>
          <t>The NAV percentage of the AIF's assets that are currently subject to suspension of dealing arrangements.
Rate expressed as a percentage.</t>
        </is>
      </c>
    </row>
    <row r="246" ht="45" customHeight="1">
      <c r="A246" s="87" t="inlineStr">
        <is>
          <t>SPECIAL_ARRANGEMENT</t>
        </is>
      </c>
      <c r="B246" s="88" t="n">
        <v>200</v>
      </c>
      <c r="C246" s="89" t="inlineStr">
        <is>
          <t>Other Arrangement Type</t>
        </is>
      </c>
      <c r="D246" s="90" t="inlineStr">
        <is>
          <t>C
M when "Other arrangement percentage" (201) is filled in,
O otherwise.</t>
        </is>
      </c>
      <c r="E246" s="91" t="inlineStr">
        <is>
          <t>Free text for other arrangement for managing illiquid assets.</t>
        </is>
      </c>
    </row>
    <row r="247" ht="33.75" customHeight="1">
      <c r="A247" s="87" t="inlineStr">
        <is>
          <t>SPECIAL_ARRANGEMENT</t>
        </is>
      </c>
      <c r="B247" s="88" t="n">
        <v>201</v>
      </c>
      <c r="C247" s="89" t="inlineStr">
        <is>
          <t>Other arrangement percentage</t>
        </is>
      </c>
      <c r="D247" s="90" t="inlineStr">
        <is>
          <t>C
M when "Other Arrangement Type" (200) is filled in,
O otherwise.</t>
        </is>
      </c>
      <c r="E247" s="91" t="inlineStr">
        <is>
          <t>The NAV percentage of the AIF's assets that are currently subject to other arrangements for managing illiquid assets.
Rate expressed as a percentage.</t>
        </is>
      </c>
    </row>
    <row r="248" ht="33.75" customHeight="1">
      <c r="A248" s="87" t="inlineStr">
        <is>
          <t>SPECIAL_ARRANGEMENT</t>
        </is>
      </c>
      <c r="B248" s="88" t="n">
        <v>202</v>
      </c>
      <c r="C248" s="89" t="inlineStr">
        <is>
          <t>Total arrangement percentage</t>
        </is>
      </c>
      <c r="D248" s="90" t="inlineStr">
        <is>
          <t>Optional</t>
        </is>
      </c>
      <c r="E248" s="91" t="inlineStr">
        <is>
          <t>The NAV percentage of the AIF's assets that are currently subject to the special arrangements arising fron their illiquid nature under Article 23.4 of the AIFMD.
Rate expressed as a percentage.</t>
        </is>
      </c>
    </row>
    <row r="249" ht="45" customHeight="1">
      <c r="A249" s="87" t="inlineStr">
        <is>
          <t>SPECIAL_ARRANGEMENT</t>
        </is>
      </c>
      <c r="B249" s="88" t="n">
        <v>203</v>
      </c>
      <c r="C249" s="89" t="inlineStr">
        <is>
          <t>Investor preferential treatment Flag</t>
        </is>
      </c>
      <c r="D249" s="136" t="inlineStr">
        <is>
          <t>Legacy</t>
        </is>
      </c>
      <c r="E249" s="91" t="inlineStr">
        <is>
          <t>Legacy, not needed anymore. Now determined based on fields 204-207.
Flag indicating whether there are any investors who obtain preferential treatment or the right to preferential treatment.
true or false</t>
        </is>
      </c>
    </row>
    <row r="250" ht="22.5" customHeight="1">
      <c r="A250" s="87" t="inlineStr">
        <is>
          <t>SPECIAL_ARRANGEMENT</t>
        </is>
      </c>
      <c r="B250" s="88" t="n">
        <v>204</v>
      </c>
      <c r="C250" s="89" t="inlineStr">
        <is>
          <t>Disclosure Terms Preferential Treatment Flag</t>
        </is>
      </c>
      <c r="D250" s="90" t="inlineStr">
        <is>
          <t>Optional</t>
        </is>
      </c>
      <c r="E250" s="91" t="inlineStr">
        <is>
          <t>Flag indicating whether there are any different disclosure/reporting to investors
true or false</t>
        </is>
      </c>
    </row>
    <row r="251" ht="22.5" customHeight="1">
      <c r="A251" s="87" t="inlineStr">
        <is>
          <t>SPECIAL_ARRANGEMENT</t>
        </is>
      </c>
      <c r="B251" s="88" t="n">
        <v>205</v>
      </c>
      <c r="C251" s="89" t="inlineStr">
        <is>
          <t>Liquidity Terms Preferential Treatment Flag</t>
        </is>
      </c>
      <c r="D251" s="90" t="inlineStr">
        <is>
          <t>Optional</t>
        </is>
      </c>
      <c r="E251" s="91" t="inlineStr">
        <is>
          <t>Flag indicating whether there are any different investor liquidity terms
true or false</t>
        </is>
      </c>
    </row>
    <row r="252" ht="22.5" customHeight="1">
      <c r="A252" s="87" t="inlineStr">
        <is>
          <t>SPECIAL_ARRANGEMENT</t>
        </is>
      </c>
      <c r="B252" s="88" t="n">
        <v>206</v>
      </c>
      <c r="C252" s="89" t="inlineStr">
        <is>
          <t>Fee Terms Preferential Treatment Flag</t>
        </is>
      </c>
      <c r="D252" s="90" t="inlineStr">
        <is>
          <t>Optional</t>
        </is>
      </c>
      <c r="E252" s="91" t="inlineStr">
        <is>
          <t>Flag indicating whether there are any different fee terms for investors
true or false</t>
        </is>
      </c>
    </row>
    <row r="253" ht="22.5" customHeight="1">
      <c r="A253" s="87" t="inlineStr">
        <is>
          <t>SPECIAL_ARRANGEMENT</t>
        </is>
      </c>
      <c r="B253" s="88" t="n">
        <v>207</v>
      </c>
      <c r="C253" s="89" t="inlineStr">
        <is>
          <t>Other Terms Preferential Treatment Flag</t>
        </is>
      </c>
      <c r="D253" s="90" t="inlineStr">
        <is>
          <t>Optional</t>
        </is>
      </c>
      <c r="E253" s="91" t="inlineStr">
        <is>
          <t>Flag indicating whether there are any other preferential treatment
true or false</t>
        </is>
      </c>
    </row>
    <row r="254">
      <c r="A254" s="87" t="n"/>
      <c r="B254" s="88" t="n"/>
      <c r="C254" s="89" t="n"/>
      <c r="D254" s="106" t="n"/>
    </row>
    <row r="255">
      <c r="A255" s="83" t="inlineStr">
        <is>
          <t>Investor  - Breakdown of investor types (individual investor not needed but type of investor, % of NAV ownership required)</t>
        </is>
      </c>
      <c r="B255" s="93" t="n"/>
      <c r="C255" s="94" t="n"/>
      <c r="D255" s="95" t="inlineStr">
        <is>
          <t>C</t>
        </is>
      </c>
      <c r="E255" s="96" t="inlineStr">
        <is>
          <t>The INVESTOR record is mandatory for AIFs with content type 2 and 4, and forbidden otherwise.</t>
        </is>
      </c>
      <c r="F255" s="97" t="n"/>
    </row>
    <row r="256">
      <c r="A256" s="87" t="inlineStr">
        <is>
          <t>INVESTOR</t>
        </is>
      </c>
      <c r="B256" s="88" t="inlineStr">
        <is>
          <t>AIF_ID</t>
        </is>
      </c>
      <c r="C256" s="89" t="inlineStr">
        <is>
          <t>Custom AIF Identification</t>
        </is>
      </c>
      <c r="D256" s="90" t="inlineStr">
        <is>
          <t>Mandatory</t>
        </is>
      </c>
      <c r="E256" s="89" t="inlineStr">
        <is>
          <t>Custom AIF Identification to link AIF records to the correct AIF</t>
        </is>
      </c>
      <c r="F256" s="91" t="n">
        <v>1</v>
      </c>
    </row>
    <row r="257" ht="146.25" customHeight="1">
      <c r="A257" s="87" t="inlineStr">
        <is>
          <t>INVESTOR</t>
        </is>
      </c>
      <c r="B257" s="88" t="n">
        <v>208</v>
      </c>
      <c r="C257" s="89" t="inlineStr">
        <is>
          <t>Investor Group Type</t>
        </is>
      </c>
      <c r="D257" s="90" t="inlineStr">
        <is>
          <t>Mandatory</t>
        </is>
      </c>
      <c r="E257" s="91"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99" t="inlineStr">
        <is>
          <t>See tab: Annex II Table 4-7</t>
        </is>
      </c>
    </row>
    <row r="258">
      <c r="A258" s="87" t="inlineStr">
        <is>
          <t>INVESTOR</t>
        </is>
      </c>
      <c r="B258" s="88" t="n">
        <v>209</v>
      </c>
      <c r="C258" s="89" t="inlineStr">
        <is>
          <t>Investor group NAV rate</t>
        </is>
      </c>
      <c r="D258" s="90" t="inlineStr">
        <is>
          <t>Mandatory</t>
        </is>
      </c>
      <c r="E258" s="91" t="inlineStr">
        <is>
          <t>The percentage of NAV for each typology of investors.</t>
        </is>
      </c>
    </row>
    <row r="259">
      <c r="A259" s="87" t="n"/>
      <c r="B259" s="88" t="n"/>
      <c r="C259" s="89" t="n"/>
    </row>
    <row r="260">
      <c r="A260" s="83" t="inlineStr">
        <is>
          <t>Financing Liquidity - describes liquidity of financing buckets of a fund (how long certain financing is available for)</t>
        </is>
      </c>
      <c r="B260" s="107" t="n"/>
      <c r="C260" s="83" t="n"/>
      <c r="D260" s="95" t="inlineStr">
        <is>
          <t>O</t>
        </is>
      </c>
      <c r="E260" s="96" t="inlineStr">
        <is>
          <t>The FINANCING_LIQUIDITY record is optional for AIFs with content type 2 and 4, and forbidden otherwise.</t>
        </is>
      </c>
      <c r="F260" s="86" t="n"/>
    </row>
    <row r="261">
      <c r="A261" s="87" t="inlineStr">
        <is>
          <t>FINANCING_LIQUIDITY</t>
        </is>
      </c>
      <c r="B261" s="88" t="inlineStr">
        <is>
          <t>AIF_ID</t>
        </is>
      </c>
      <c r="C261" s="89" t="inlineStr">
        <is>
          <t>Custom AIF Identification</t>
        </is>
      </c>
      <c r="D261" s="90" t="inlineStr">
        <is>
          <t>Mandatory</t>
        </is>
      </c>
      <c r="E261" s="89" t="inlineStr">
        <is>
          <t>Custom AIF Identification to link AIF records to the correct AIF</t>
        </is>
      </c>
    </row>
    <row r="262" ht="33.75" customHeight="1">
      <c r="A262" s="87" t="inlineStr">
        <is>
          <t>FINANCING_LIQUIDITY</t>
        </is>
      </c>
      <c r="B262" s="88" t="n">
        <v>210</v>
      </c>
      <c r="C262" s="89" t="inlineStr">
        <is>
          <t>Available financing amount</t>
        </is>
      </c>
      <c r="D262" s="90" t="inlineStr">
        <is>
          <t>Mandatory</t>
        </is>
      </c>
      <c r="E262" s="91" t="inlineStr">
        <is>
          <t>The amount of borrowing by and cash financing available to the AIF (including all drawn and undrawn, committed and uncommitted lines of credit as well as any term financing.
Amount expressed in base currency filled in without decimal places.</t>
        </is>
      </c>
    </row>
    <row r="263" ht="22.5" customHeight="1">
      <c r="A263" s="87" t="inlineStr">
        <is>
          <t>FINANCING_LIQUIDITY</t>
        </is>
      </c>
      <c r="B263" s="88" t="n">
        <v>211</v>
      </c>
      <c r="C263" s="89" t="inlineStr">
        <is>
          <t>Percentage of financing amount in 0 to 1 day</t>
        </is>
      </c>
      <c r="D263" s="90" t="inlineStr">
        <is>
          <t>Mandatory</t>
        </is>
      </c>
      <c r="E263" s="91" t="inlineStr">
        <is>
          <t>Breakdown of the total financing amount divided among the 1 day or less period depending on  the longest period for which the creditor is contractually committed to provide such financing. The total should equal 100%.</t>
        </is>
      </c>
    </row>
    <row r="264" ht="22.5" customHeight="1">
      <c r="A264" s="87" t="inlineStr">
        <is>
          <t>FINANCING_LIQUIDITY</t>
        </is>
      </c>
      <c r="B264" s="88" t="n">
        <v>212</v>
      </c>
      <c r="C264" s="89" t="inlineStr">
        <is>
          <t>Percentage of financing amount in 2 to 7 days</t>
        </is>
      </c>
      <c r="D264" s="90" t="inlineStr">
        <is>
          <t>Mandatory</t>
        </is>
      </c>
      <c r="E264" s="91" t="inlineStr">
        <is>
          <t>Breakdown of the total financing amount divided among the “2 to 7 days” period depending on  the longest period for which the creditor is contractually committed to provide such financing. The total should equal 100%.</t>
        </is>
      </c>
    </row>
    <row r="265" ht="22.5" customHeight="1">
      <c r="A265" s="87" t="inlineStr">
        <is>
          <t>FINANCING_LIQUIDITY</t>
        </is>
      </c>
      <c r="B265" s="88" t="n">
        <v>213</v>
      </c>
      <c r="C265" s="89" t="inlineStr">
        <is>
          <t>Percentage of financing amount in 8 to 30 days</t>
        </is>
      </c>
      <c r="D265" s="90" t="inlineStr">
        <is>
          <t>Mandatory</t>
        </is>
      </c>
      <c r="E265" s="91" t="inlineStr">
        <is>
          <t>Breakdown of the total financing amount divided among the “8 to 30 days” period depending on  the longest period for which the creditor is contractually committed to provide such financing. The total should equal 100%.</t>
        </is>
      </c>
    </row>
    <row r="266" ht="22.5" customHeight="1">
      <c r="A266" s="87" t="inlineStr">
        <is>
          <t>FINANCING_LIQUIDITY</t>
        </is>
      </c>
      <c r="B266" s="88" t="n">
        <v>214</v>
      </c>
      <c r="C266" s="89" t="inlineStr">
        <is>
          <t>Percentage of financing amount in 31 to 90 days</t>
        </is>
      </c>
      <c r="D266" s="90" t="inlineStr">
        <is>
          <t>Mandatory</t>
        </is>
      </c>
      <c r="E266" s="91" t="inlineStr">
        <is>
          <t>Breakdown of the total financing amount divided among the “91 to 180 days” period depending on  the longest period for which the creditor is contractually committed to provide such financing. The total should equal 100%.</t>
        </is>
      </c>
    </row>
    <row r="267" ht="22.5" customHeight="1">
      <c r="A267" s="87" t="inlineStr">
        <is>
          <t>FINANCING_LIQUIDITY</t>
        </is>
      </c>
      <c r="B267" s="88" t="n">
        <v>215</v>
      </c>
      <c r="C267" s="89" t="inlineStr">
        <is>
          <t>Percentage of financing amount in 91 to 180 days</t>
        </is>
      </c>
      <c r="D267" s="90" t="inlineStr">
        <is>
          <t>Mandatory</t>
        </is>
      </c>
      <c r="E267" s="91" t="inlineStr">
        <is>
          <t>Breakdown of the total financing amount divided among the “8 to 30 days” period depending on  the longest period for which the creditor is contractually committed to provide such financing. The total should equal 100%.</t>
        </is>
      </c>
    </row>
    <row r="268" ht="22.5" customHeight="1">
      <c r="A268" s="87" t="inlineStr">
        <is>
          <t>FINANCING_LIQUIDITY</t>
        </is>
      </c>
      <c r="B268" s="88" t="n">
        <v>216</v>
      </c>
      <c r="C268" s="89" t="inlineStr">
        <is>
          <t>Percentage of financing amount in 181 to 365 days</t>
        </is>
      </c>
      <c r="D268" s="90" t="inlineStr">
        <is>
          <t>Mandatory</t>
        </is>
      </c>
      <c r="E268" s="91" t="inlineStr">
        <is>
          <t>Breakdown of the total financing amount divided among the “181 to 365 days” period depending on  the longest period for which the creditor is contractually committed to provide such financing. The total should equal 100%.</t>
        </is>
      </c>
    </row>
    <row r="269" ht="22.5" customHeight="1">
      <c r="A269" s="87" t="inlineStr">
        <is>
          <t>FINANCING_LIQUIDITY</t>
        </is>
      </c>
      <c r="B269" s="88" t="n">
        <v>217</v>
      </c>
      <c r="C269" s="89" t="inlineStr">
        <is>
          <t>Percentage of financing amount longer than 365 days</t>
        </is>
      </c>
      <c r="D269" s="90" t="inlineStr">
        <is>
          <t>Mandatory</t>
        </is>
      </c>
      <c r="E269" s="91" t="inlineStr">
        <is>
          <t>Breakdown of the total financing amount divided among the “more than 365 days” period depending on  the longest period for which the creditor is contractually committed to provide such financing. The total should equal 100%.</t>
        </is>
      </c>
    </row>
    <row r="270">
      <c r="A270" s="87" t="n"/>
      <c r="B270" s="88" t="n"/>
      <c r="C270" s="89" t="n"/>
    </row>
    <row r="271">
      <c r="A271" s="83" t="inlineStr">
        <is>
          <t>Historical Risk Profile - For months that the fund is reporting for need to detail fund returns, NAV changes, subscriptions, redemptions)</t>
        </is>
      </c>
      <c r="B271" s="93" t="n"/>
      <c r="C271" s="94" t="n"/>
      <c r="D271" s="95" t="inlineStr">
        <is>
          <t>C</t>
        </is>
      </c>
      <c r="E271" s="96" t="inlineStr">
        <is>
          <t>The HISTORICAL_RISK_PROFILE record is mandatory for AIFs with content type 2 and 4, and forbidden otherwise.</t>
        </is>
      </c>
      <c r="F271" s="97" t="n"/>
    </row>
    <row r="272">
      <c r="A272" s="87" t="inlineStr">
        <is>
          <t>HISTORICAL_RISK_PROFILE</t>
        </is>
      </c>
      <c r="B272" s="88" t="inlineStr">
        <is>
          <t>AIF_ID</t>
        </is>
      </c>
      <c r="C272" s="89" t="inlineStr">
        <is>
          <t>Custom AIF Identification</t>
        </is>
      </c>
      <c r="D272" s="90" t="inlineStr">
        <is>
          <t>Mandatory</t>
        </is>
      </c>
      <c r="E272" s="92" t="inlineStr">
        <is>
          <t>Custom AIF Identification to link AIF records to the correct AIF</t>
        </is>
      </c>
    </row>
    <row r="273" ht="33.75" customHeight="1">
      <c r="A273" s="87" t="inlineStr">
        <is>
          <t>HISTORICAL_RISK_PROFILE</t>
        </is>
      </c>
      <c r="B273" s="88" t="inlineStr">
        <is>
          <t>MONTH</t>
        </is>
      </c>
      <c r="C273" s="89" t="inlineStr">
        <is>
          <t>Month</t>
        </is>
      </c>
      <c r="D273" s="90" t="inlineStr">
        <is>
          <t>Mandatory</t>
        </is>
      </c>
      <c r="E273" s="91" t="inlineStr">
        <is>
          <t>Number of month: 1-12.
Make a separate row per month. Only for months within the reporting period (i.e. Q1 =&gt; 1, 2 &amp; 3).
Any missing months are amended with records with all zero values.</t>
        </is>
      </c>
    </row>
    <row r="274" ht="22.5" customHeight="1">
      <c r="A274" s="87" t="inlineStr">
        <is>
          <t>HISTORICAL_RISK_PROFILE</t>
        </is>
      </c>
      <c r="B274" s="88" t="inlineStr">
        <is>
          <t>219-230</t>
        </is>
      </c>
      <c r="C274" s="89" t="inlineStr">
        <is>
          <t>Percentage of gross investment returns</t>
        </is>
      </c>
      <c r="D274" s="90" t="inlineStr">
        <is>
          <t>Mandatory</t>
        </is>
      </c>
      <c r="E274" s="91" t="inlineStr">
        <is>
          <t>Gross investment returns or IRR of the AIF for the month (in %, gross of management and performance fees).
Rate expressed as a percentage.</t>
        </is>
      </c>
    </row>
    <row r="275" ht="22.5" customHeight="1">
      <c r="A275" s="87" t="inlineStr">
        <is>
          <t>HISTORICAL_RISK_PROFILE</t>
        </is>
      </c>
      <c r="B275" s="88" t="inlineStr">
        <is>
          <t>231-242</t>
        </is>
      </c>
      <c r="C275" s="89" t="inlineStr">
        <is>
          <t>Percentage of net investment returns</t>
        </is>
      </c>
      <c r="D275" s="90" t="inlineStr">
        <is>
          <t>Mandatory</t>
        </is>
      </c>
      <c r="E275" s="91" t="inlineStr">
        <is>
          <t>Net investment returns or IRR of the AIF for the month (in %, gross of management and performance fees).
Rate expressed as a percentage.</t>
        </is>
      </c>
    </row>
    <row r="276" ht="22.5" customHeight="1">
      <c r="A276" s="87" t="inlineStr">
        <is>
          <t>HISTORICAL_RISK_PROFILE</t>
        </is>
      </c>
      <c r="B276" s="88" t="inlineStr">
        <is>
          <t>243-254</t>
        </is>
      </c>
      <c r="C276" s="89" t="inlineStr">
        <is>
          <t>Percentage of NAV change</t>
        </is>
      </c>
      <c r="D276" s="90" t="inlineStr">
        <is>
          <t>Mandatory</t>
        </is>
      </c>
      <c r="E276" s="91" t="inlineStr">
        <is>
          <t>Month-to-month change in NAV including the impact of subscriptions and redemptions for the month.
Rate expressed as a percentage.</t>
        </is>
      </c>
    </row>
    <row r="277">
      <c r="A277" s="87" t="inlineStr">
        <is>
          <t>HISTORICAL_RISK_PROFILE</t>
        </is>
      </c>
      <c r="B277" s="88" t="inlineStr">
        <is>
          <t>255-266</t>
        </is>
      </c>
      <c r="C277" s="89" t="inlineStr">
        <is>
          <t>Subscriptions in base currency</t>
        </is>
      </c>
      <c r="D277" s="90" t="inlineStr">
        <is>
          <t>Mandatory</t>
        </is>
      </c>
      <c r="E277" s="89" t="inlineStr">
        <is>
          <t>Subscriptions in base currency during the month.</t>
        </is>
      </c>
    </row>
    <row r="278">
      <c r="A278" s="87" t="inlineStr">
        <is>
          <t>HISTORICAL_RISK_PROFILE</t>
        </is>
      </c>
      <c r="B278" s="88" t="inlineStr">
        <is>
          <t>267-278</t>
        </is>
      </c>
      <c r="C278" s="89" t="inlineStr">
        <is>
          <t>Redemptions in base currency</t>
        </is>
      </c>
      <c r="D278" s="90" t="inlineStr">
        <is>
          <t>Mandatory</t>
        </is>
      </c>
      <c r="E278" s="89" t="inlineStr">
        <is>
          <t>Redemptions in base currency during the month.</t>
        </is>
      </c>
    </row>
    <row r="279">
      <c r="A279" s="87" t="n"/>
      <c r="B279" s="88" t="n"/>
      <c r="C279" s="89" t="n"/>
    </row>
    <row r="280">
      <c r="A280" s="83" t="inlineStr">
        <is>
          <t>Stress Test - details any stress tests a fund has performed on portfolio</t>
        </is>
      </c>
      <c r="B280" s="93" t="n"/>
      <c r="C280" s="94" t="n"/>
      <c r="D280" s="95" t="inlineStr">
        <is>
          <t>C</t>
        </is>
      </c>
      <c r="E280" s="96" t="inlineStr">
        <is>
          <t>The STRESS_TEST record is mandatory for AIFs with content type 2 and 4, and forbidden otherwise.</t>
        </is>
      </c>
      <c r="F280" s="97" t="n"/>
    </row>
    <row r="281">
      <c r="A281" s="87" t="inlineStr">
        <is>
          <t>STRESS_TEST</t>
        </is>
      </c>
      <c r="B281" s="88" t="inlineStr">
        <is>
          <t>AIF_ID</t>
        </is>
      </c>
      <c r="C281" s="89" t="inlineStr">
        <is>
          <t>Custom AIF Identification</t>
        </is>
      </c>
      <c r="D281" s="90" t="inlineStr">
        <is>
          <t>Mandatory</t>
        </is>
      </c>
      <c r="E281" s="89" t="inlineStr">
        <is>
          <t>Custom AIF Identification to link AIF records to the correct AIF</t>
        </is>
      </c>
    </row>
    <row r="282" ht="33.75" customHeight="1">
      <c r="A282" s="87" t="inlineStr">
        <is>
          <t>STRESS_TEST</t>
        </is>
      </c>
      <c r="B282" s="88" t="n">
        <v>279</v>
      </c>
      <c r="C282" s="89" t="inlineStr">
        <is>
          <t>Results of stress tests performed in accordance with point(b) of Article 15(3)</t>
        </is>
      </c>
      <c r="D282" s="90" t="inlineStr">
        <is>
          <t>Mandatory</t>
        </is>
      </c>
      <c r="E282" s="91"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45" customHeight="1">
      <c r="A283" s="87" t="inlineStr">
        <is>
          <t>STRESS_TEST</t>
        </is>
      </c>
      <c r="B283" s="88" t="n">
        <v>280</v>
      </c>
      <c r="C283" s="89" t="inlineStr">
        <is>
          <t>Results of stress tests performed in accordance with the second subparagraph of Article 16(1)</t>
        </is>
      </c>
      <c r="D283" s="90" t="inlineStr">
        <is>
          <t>Mandatory</t>
        </is>
      </c>
      <c r="E283" s="91"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87" t="n"/>
      <c r="B284" s="88" t="n"/>
      <c r="C284" s="89" t="n"/>
      <c r="D284" s="106" t="n"/>
    </row>
    <row r="285">
      <c r="A285" s="83" t="inlineStr">
        <is>
          <t xml:space="preserve">Finance - details any financing the fund has received through cash, rehypothecation, collaterised loans etc), also details leverage under gross and commitment methods. Only required if fund needs to fill in 24(4) </t>
        </is>
      </c>
      <c r="B285" s="93" t="n"/>
      <c r="C285" s="94" t="n"/>
      <c r="D285" s="95" t="inlineStr">
        <is>
          <t>C</t>
        </is>
      </c>
      <c r="E285" s="96" t="inlineStr">
        <is>
          <t>The FINANCE record is mandatory for AIFs with content type 2, 4 and 5, and forbidden otherwise.</t>
        </is>
      </c>
      <c r="F285" s="97" t="n"/>
    </row>
    <row r="286">
      <c r="A286" s="87" t="inlineStr">
        <is>
          <t>FINANCE</t>
        </is>
      </c>
      <c r="B286" s="88" t="inlineStr">
        <is>
          <t>AIF_ID</t>
        </is>
      </c>
      <c r="C286" s="89" t="inlineStr">
        <is>
          <t>Custom AIF Identification</t>
        </is>
      </c>
      <c r="D286" s="90" t="inlineStr">
        <is>
          <t>Mandatory</t>
        </is>
      </c>
      <c r="E286" s="89" t="inlineStr">
        <is>
          <t>Custom AIF Identification to link AIF records to the correct AIF</t>
        </is>
      </c>
    </row>
    <row r="287" ht="22.5" customHeight="1">
      <c r="A287" s="87" t="inlineStr">
        <is>
          <t>FINANCE</t>
        </is>
      </c>
      <c r="B287" s="88" t="n">
        <v>281</v>
      </c>
      <c r="C287" s="89" t="inlineStr">
        <is>
          <t>Rehypothecation flag</t>
        </is>
      </c>
      <c r="D287" s="90" t="inlineStr">
        <is>
          <t>Mandatory</t>
        </is>
      </c>
      <c r="E287" s="91" t="inlineStr">
        <is>
          <t>Flag indicating whether the contract between the AIFM and the counterparty allow the counterparty to re-hypothecate collateral for a given AIF. true when the contract allows, false otherwise.</t>
        </is>
      </c>
    </row>
    <row r="288" ht="33.75" customHeight="1">
      <c r="A288" s="87" t="inlineStr">
        <is>
          <t>FINANCE</t>
        </is>
      </c>
      <c r="B288" s="88" t="n">
        <v>282</v>
      </c>
      <c r="C288" s="89" t="inlineStr">
        <is>
          <t>Rehypothecated percentage of collateral amount posted to all counterparties</t>
        </is>
      </c>
      <c r="D288" s="90" t="inlineStr">
        <is>
          <t>C
F for rehypothecation flag false
O otherwise</t>
        </is>
      </c>
      <c r="E288" s="91" t="inlineStr">
        <is>
          <t xml:space="preserve">Percentage of the amounts of collateral and other credit support (that the AIF has posted to counterparties) that have been rehypothecated by counterparties.
Rate expressed as a percentage. </t>
        </is>
      </c>
    </row>
    <row r="289" ht="22.5" customHeight="1">
      <c r="A289" s="87" t="inlineStr">
        <is>
          <t>FINANCE</t>
        </is>
      </c>
      <c r="B289" s="88" t="n">
        <v>283</v>
      </c>
      <c r="C289" s="89" t="inlineStr">
        <is>
          <t>Unsecured cash borrowing amount</t>
        </is>
      </c>
      <c r="D289" s="90" t="inlineStr">
        <is>
          <t>Optional</t>
        </is>
      </c>
      <c r="E289" s="91" t="inlineStr">
        <is>
          <t>Value of borrowings of cash or securities by unsecured cash borrowing.
Amount expressed in base currency filled in without decimal places.</t>
        </is>
      </c>
    </row>
    <row r="290" ht="22.5" customHeight="1">
      <c r="A290" s="87" t="inlineStr">
        <is>
          <t>FINANCE</t>
        </is>
      </c>
      <c r="B290" s="88" t="n">
        <v>284</v>
      </c>
      <c r="C290" s="89" t="inlineStr">
        <is>
          <t>Collaterised/secured cash borrowing prime broker amount</t>
        </is>
      </c>
      <c r="D290" s="90" t="inlineStr">
        <is>
          <t>Optional</t>
        </is>
      </c>
      <c r="E290" s="91" t="inlineStr">
        <is>
          <t>Value of borrowings of cash or securities by collateralised/secured cash borrowing - via prime broker.
Amount expressed in base currency filled in without decimal places.</t>
        </is>
      </c>
    </row>
    <row r="291" ht="22.5" customHeight="1">
      <c r="A291" s="87" t="inlineStr">
        <is>
          <t>FINANCE</t>
        </is>
      </c>
      <c r="B291" s="88" t="n">
        <v>285</v>
      </c>
      <c r="C291" s="89" t="inlineStr">
        <is>
          <t>Collaterised/secured cash borrowing reverse repo amount</t>
        </is>
      </c>
      <c r="D291" s="90" t="inlineStr">
        <is>
          <t>Optional</t>
        </is>
      </c>
      <c r="E291" s="91" t="inlineStr">
        <is>
          <t>Value of borrowings of cash or securities by collateralised/secured cash borrowing - via reverse repo.
Amount expressed in base currency filled in without decimal places.</t>
        </is>
      </c>
    </row>
    <row r="292" ht="22.5" customHeight="1">
      <c r="A292" s="87" t="inlineStr">
        <is>
          <t>FINANCE</t>
        </is>
      </c>
      <c r="B292" s="88" t="n">
        <v>286</v>
      </c>
      <c r="C292" s="89" t="inlineStr">
        <is>
          <t>Collaterised/secured cash borrowing other amount</t>
        </is>
      </c>
      <c r="D292" s="90" t="inlineStr">
        <is>
          <t>Optional</t>
        </is>
      </c>
      <c r="E292" s="91" t="inlineStr">
        <is>
          <t>Value of borrowings of cash or securities by collateralised/secured cash borrowing - via other.
Amount expressed in base currency filled in without decimal places.</t>
        </is>
      </c>
    </row>
    <row r="293" ht="22.5" customHeight="1">
      <c r="A293" s="87" t="inlineStr">
        <is>
          <t>FINANCE</t>
        </is>
      </c>
      <c r="B293" s="88" t="n">
        <v>287</v>
      </c>
      <c r="C293" s="89" t="inlineStr">
        <is>
          <t>Exchange traded derivatives exposure amount</t>
        </is>
      </c>
      <c r="D293" s="90" t="inlineStr">
        <is>
          <t>Optional</t>
        </is>
      </c>
      <c r="E293" s="91" t="inlineStr">
        <is>
          <t>Value of borrowing embedded in financial instruments by exchange traded derivatives (gross exposure less margin posted).
Amount expressed in base currency filled in without decimal places.</t>
        </is>
      </c>
    </row>
    <row r="294" ht="22.5" customHeight="1">
      <c r="A294" s="87" t="inlineStr">
        <is>
          <t>FINANCE</t>
        </is>
      </c>
      <c r="B294" s="88" t="n">
        <v>288</v>
      </c>
      <c r="C294" s="89" t="inlineStr">
        <is>
          <t>OTC derivatives exposure amount</t>
        </is>
      </c>
      <c r="D294" s="90" t="inlineStr">
        <is>
          <t>Optional</t>
        </is>
      </c>
      <c r="E294" s="91" t="inlineStr">
        <is>
          <t>Value of borrowing embedded in financial instruments by OTC derivatives (gross exposure less margin posted).
Amount expressed in base currency filled in without decimal places.</t>
        </is>
      </c>
    </row>
    <row r="295" ht="22.5" customHeight="1">
      <c r="A295" s="87" t="inlineStr">
        <is>
          <t>FINANCE</t>
        </is>
      </c>
      <c r="B295" s="88" t="n">
        <v>289</v>
      </c>
      <c r="C295" s="89" t="inlineStr">
        <is>
          <t>Short position borrowed securities value</t>
        </is>
      </c>
      <c r="D295" s="90" t="inlineStr">
        <is>
          <t>Optional</t>
        </is>
      </c>
      <c r="E295" s="91" t="inlineStr">
        <is>
          <t>Value of securities borrowed for short positions.
Amount expressed in base currency filled in without decimal places.</t>
        </is>
      </c>
    </row>
    <row r="296">
      <c r="A296" s="87" t="inlineStr">
        <is>
          <t>FINANCE</t>
        </is>
      </c>
      <c r="B296" s="88" t="n">
        <v>294</v>
      </c>
      <c r="C296" s="89" t="inlineStr">
        <is>
          <t>Leverage under gross method</t>
        </is>
      </c>
      <c r="D296" s="90" t="inlineStr">
        <is>
          <t>Mandatory</t>
        </is>
      </c>
      <c r="E296" s="91" t="inlineStr">
        <is>
          <t>Leverage value of the AIF under gross method espressed as a percentage of the NAV.</t>
        </is>
      </c>
    </row>
    <row r="297">
      <c r="A297" s="87" t="inlineStr">
        <is>
          <t>FINANCE</t>
        </is>
      </c>
      <c r="B297" s="88" t="n">
        <v>295</v>
      </c>
      <c r="C297" s="89" t="inlineStr">
        <is>
          <t>Leverage under commitment method</t>
        </is>
      </c>
      <c r="D297" s="90" t="inlineStr">
        <is>
          <t>Mandatory</t>
        </is>
      </c>
      <c r="E297" s="91" t="inlineStr">
        <is>
          <t>Leverage value of the AIF under commitment method espressed as a percentage of the NAV.</t>
        </is>
      </c>
    </row>
    <row r="298">
      <c r="A298" s="87" t="n"/>
      <c r="B298" s="88" t="n"/>
      <c r="C298" s="89" t="n"/>
    </row>
    <row r="299">
      <c r="A299" s="83" t="inlineStr">
        <is>
          <t>Controlled Structure - Gross exposure of financial and, as the case may be, or legal structures controlled by the AIF as defined in Recital 78 of the AIFMD</t>
        </is>
      </c>
      <c r="B299" s="94" t="n"/>
      <c r="C299" s="94" t="n"/>
      <c r="D299" s="95" t="inlineStr">
        <is>
          <t>C</t>
        </is>
      </c>
      <c r="E299" s="96" t="inlineStr">
        <is>
          <t>The CONTROLLED_STRUCTURE record is optional for AIFs with content type 2, 4 and 5, and forbidden otherwise.</t>
        </is>
      </c>
      <c r="F299" s="94" t="n"/>
    </row>
    <row r="300">
      <c r="A300" s="87" t="inlineStr">
        <is>
          <t>CONTROLLED_STRUCTURE</t>
        </is>
      </c>
      <c r="B300" s="88" t="inlineStr">
        <is>
          <t>AIF_ID</t>
        </is>
      </c>
      <c r="C300" s="89" t="inlineStr">
        <is>
          <t>Custom AIF Identification</t>
        </is>
      </c>
      <c r="D300" s="90" t="inlineStr">
        <is>
          <t>Mandatory</t>
        </is>
      </c>
      <c r="E300" s="89" t="inlineStr">
        <is>
          <t>Custom AIF Identification to link AIF records to the correct AIF</t>
        </is>
      </c>
    </row>
    <row r="301" ht="22.5" customHeight="1">
      <c r="A301" s="87" t="inlineStr">
        <is>
          <t>CONTROLLED_STRUCTURE</t>
        </is>
      </c>
      <c r="B301" s="88" t="n">
        <v>290</v>
      </c>
      <c r="C301" s="89" t="inlineStr">
        <is>
          <t>Controlled structure Name</t>
        </is>
      </c>
      <c r="D301" s="90" t="inlineStr">
        <is>
          <t>Mandatory</t>
        </is>
      </c>
      <c r="E301" s="91" t="inlineStr">
        <is>
          <t>Entity name (no standard).
It is strongly recommended to provide the full name corresponding to the allocated LEI code (or BIC code if any and LEI not available).</t>
        </is>
      </c>
    </row>
    <row r="302" ht="67.5" customHeight="1">
      <c r="A302" s="87" t="inlineStr">
        <is>
          <t>CONTROLLED_STRUCTURE</t>
        </is>
      </c>
      <c r="B302" s="88" t="n">
        <v>291</v>
      </c>
      <c r="C302" s="89" t="inlineStr">
        <is>
          <t>Controlled structure LEI code</t>
        </is>
      </c>
      <c r="D302" s="90" t="inlineStr">
        <is>
          <t>Optional</t>
        </is>
      </c>
      <c r="E302"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87" t="inlineStr">
        <is>
          <t>CONTROLLED_STRUCTURE</t>
        </is>
      </c>
      <c r="B303" s="88" t="n">
        <v>292</v>
      </c>
      <c r="C303" s="89" t="inlineStr">
        <is>
          <t>Controlled structure BIC code</t>
        </is>
      </c>
      <c r="D303" s="90" t="inlineStr">
        <is>
          <t>Optional</t>
        </is>
      </c>
      <c r="E303" s="91" t="inlineStr">
        <is>
          <t>11 Character BIC code (ISO 9362 standard)</t>
        </is>
      </c>
    </row>
    <row r="304">
      <c r="A304" s="87" t="inlineStr">
        <is>
          <t>CONTROLLED_STRUCTURE</t>
        </is>
      </c>
      <c r="B304" s="88" t="n">
        <v>293</v>
      </c>
      <c r="C304" s="89" t="inlineStr">
        <is>
          <t>Controlled structure Exposure value</t>
        </is>
      </c>
      <c r="D304" s="90" t="inlineStr">
        <is>
          <t>Mandatory</t>
        </is>
      </c>
      <c r="E304" s="91" t="inlineStr">
        <is>
          <t>Gross exposure of financial and/or legal structures controlled by the AIF as defined in Recital 78 of the AIFMD expressed in base currency.</t>
        </is>
      </c>
    </row>
    <row r="305">
      <c r="A305" s="87" t="n"/>
      <c r="B305" s="88" t="n"/>
      <c r="C305" s="89" t="n"/>
    </row>
    <row r="306">
      <c r="A306" s="83" t="inlineStr">
        <is>
          <t>Borrow Source - Five largest sources of borrowed cash or securities (short positions)</t>
        </is>
      </c>
      <c r="B306" s="93" t="n"/>
      <c r="C306" s="94" t="n"/>
      <c r="D306" s="95" t="inlineStr">
        <is>
          <t>C</t>
        </is>
      </c>
      <c r="E306" s="96" t="inlineStr">
        <is>
          <t>The BORROW_SOURCE record is optional for AIFs with content type 4 and 5, and forbidden otherwise.</t>
        </is>
      </c>
      <c r="F306" s="97" t="n"/>
    </row>
    <row r="307">
      <c r="A307" s="82" t="inlineStr">
        <is>
          <t>BORROW_SOURCE</t>
        </is>
      </c>
      <c r="B307" s="88" t="inlineStr">
        <is>
          <t>AIF_ID</t>
        </is>
      </c>
      <c r="C307" s="89" t="inlineStr">
        <is>
          <t>Custom AIF Identification</t>
        </is>
      </c>
      <c r="D307" s="90" t="inlineStr">
        <is>
          <t>Mandatory</t>
        </is>
      </c>
      <c r="E307" s="89" t="inlineStr">
        <is>
          <t>Custom AIF Identification to link AIF records to the correct AIF</t>
        </is>
      </c>
    </row>
    <row r="308" ht="22.5" customHeight="1">
      <c r="A308" s="82" t="inlineStr">
        <is>
          <t>BORROW_SOURCE</t>
        </is>
      </c>
      <c r="B308" s="108" t="n">
        <v>298</v>
      </c>
      <c r="C308" s="92" t="inlineStr">
        <is>
          <t>Name of the source</t>
        </is>
      </c>
      <c r="D308" s="90" t="inlineStr">
        <is>
          <t>Mandatory</t>
        </is>
      </c>
      <c r="E308" s="91" t="inlineStr">
        <is>
          <t>Entity name (no standard).
It is strongly recommended to provide the full name corresponding to the allocated LEI code (or BIC code if any and LEI not available).</t>
        </is>
      </c>
    </row>
    <row r="309" ht="67.5" customHeight="1">
      <c r="A309" s="82" t="inlineStr">
        <is>
          <t>BORROW_SOURCE</t>
        </is>
      </c>
      <c r="B309" s="108" t="n">
        <v>299</v>
      </c>
      <c r="C309" s="92" t="inlineStr">
        <is>
          <t>LEI code of the source</t>
        </is>
      </c>
      <c r="D309" s="90" t="inlineStr">
        <is>
          <t>Optional</t>
        </is>
      </c>
      <c r="E309" s="91"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82" t="inlineStr">
        <is>
          <t>BORROW_SOURCE</t>
        </is>
      </c>
      <c r="B310" s="108" t="n">
        <v>300</v>
      </c>
      <c r="C310" s="92" t="inlineStr">
        <is>
          <t>BIC code of the source</t>
        </is>
      </c>
      <c r="D310" s="90" t="inlineStr">
        <is>
          <t>Optional</t>
        </is>
      </c>
      <c r="E310" s="91" t="inlineStr">
        <is>
          <t>11 Character BIC code (ISO 9362 standard)</t>
        </is>
      </c>
    </row>
    <row r="311">
      <c r="A311" s="82" t="inlineStr">
        <is>
          <t>BORROW_SOURCE</t>
        </is>
      </c>
      <c r="B311" s="108" t="n">
        <v>301</v>
      </c>
      <c r="C311" s="92" t="inlineStr">
        <is>
          <t>Received leverage amount</t>
        </is>
      </c>
      <c r="D311" s="90" t="inlineStr">
        <is>
          <t>Mandatory</t>
        </is>
      </c>
      <c r="E311" s="91" t="inlineStr">
        <is>
          <t>Received leverage amount expressed in base currency.</t>
        </is>
      </c>
    </row>
    <row r="312"/>
    <row r="313"/>
    <row r="314">
      <c r="A314" s="83" t="inlineStr">
        <is>
          <t>Custom FX rates to overwrite or complement ECB FX rates, used in both AIF and AIFM report.  Optional record, by default standard ECB rates are used (AIF 24/1)</t>
        </is>
      </c>
      <c r="B314" s="93" t="n"/>
      <c r="C314" s="94" t="n"/>
      <c r="D314" s="95" t="inlineStr">
        <is>
          <t>O</t>
        </is>
      </c>
      <c r="E314" s="96" t="inlineStr">
        <is>
          <t>For all AIF Content Types</t>
        </is>
      </c>
      <c r="F314" s="97" t="n"/>
    </row>
    <row r="315">
      <c r="A315" s="82" t="inlineStr">
        <is>
          <t>CUSTOM_FX_RATE</t>
        </is>
      </c>
      <c r="B315" s="109" t="inlineStr">
        <is>
          <t>FX_DATE</t>
        </is>
      </c>
      <c r="C315" s="92" t="inlineStr">
        <is>
          <t>Value Date</t>
        </is>
      </c>
      <c r="D315" s="90" t="inlineStr">
        <is>
          <t>Mandatory</t>
        </is>
      </c>
      <c r="E315" s="91" t="inlineStr">
        <is>
          <t>Date of the FX rate. yyyy-mm-dd (ISO 8601 Date Format)</t>
        </is>
      </c>
    </row>
    <row r="316">
      <c r="A316" s="82" t="inlineStr">
        <is>
          <t>CUSTOM_FX_RATE</t>
        </is>
      </c>
      <c r="B316" s="109" t="n">
        <v>49</v>
      </c>
      <c r="C316" s="92" t="inlineStr">
        <is>
          <t>Currency</t>
        </is>
      </c>
      <c r="D316" s="90" t="inlineStr">
        <is>
          <t>Mandatory</t>
        </is>
      </c>
      <c r="E316" s="91" t="inlineStr">
        <is>
          <t>Currency code (3-character currency code according to the ISO 4217)</t>
        </is>
      </c>
    </row>
    <row r="317">
      <c r="A317" s="82" t="inlineStr">
        <is>
          <t>CUSTOM_FX_RATE</t>
        </is>
      </c>
      <c r="B317" s="109" t="n">
        <v>50</v>
      </c>
      <c r="C317" s="92" t="inlineStr">
        <is>
          <t>Currency / EUR FX rate</t>
        </is>
      </c>
      <c r="D317" s="90" t="inlineStr">
        <is>
          <t>Mandatory</t>
        </is>
      </c>
      <c r="E317" s="91" t="inlineStr">
        <is>
          <t>Conversion rate filled in with 4 decimal places. Rate in the non-eur currency. E.g. 2019-03-31 JPY: 124.45</t>
        </is>
      </c>
    </row>
    <row r="318" ht="33.75" customHeight="1">
      <c r="A318" s="82" t="inlineStr">
        <is>
          <t>CUSTOM_FX_RATE</t>
        </is>
      </c>
      <c r="B318" s="109" t="n">
        <v>51</v>
      </c>
      <c r="C318" s="92" t="inlineStr">
        <is>
          <t>Rate type (ECB or OTH)</t>
        </is>
      </c>
      <c r="D318" s="90" t="inlineStr">
        <is>
          <t>Mandatory</t>
        </is>
      </c>
      <c r="E318" s="91" t="inlineStr">
        <is>
          <t>2 types are admitted:
-          “ECB” when the rate is a euro reference rate as published by the ECB
-          “OTH” in other cases</t>
        </is>
      </c>
    </row>
    <row r="319" ht="33.75" customHeight="1">
      <c r="A319" s="82" t="inlineStr">
        <is>
          <t>CUSTOM_FX_RATE</t>
        </is>
      </c>
      <c r="B319" s="109" t="n">
        <v>52</v>
      </c>
      <c r="C319" s="92" t="inlineStr">
        <is>
          <t>Description for non-ECB rates</t>
        </is>
      </c>
      <c r="D319" s="90" t="inlineStr">
        <is>
          <t>C
Mandatory for reference rate type equal "OTH"
F otherwise</t>
        </is>
      </c>
      <c r="E319" s="91"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xl/worksheets/sheet3.xml><?xml version="1.0" encoding="utf-8"?>
<worksheet xmlns="http://schemas.openxmlformats.org/spreadsheetml/2006/main">
  <sheetPr>
    <tabColor theme="4" tint="0.5999938962981048"/>
    <outlinePr summaryBelow="1" summaryRight="1"/>
    <pageSetUpPr fitToPage="1"/>
  </sheetPr>
  <dimension ref="A1:B1"/>
  <sheetViews>
    <sheetView workbookViewId="0">
      <selection activeCell="AD10" sqref="AD10"/>
    </sheetView>
  </sheetViews>
  <sheetFormatPr baseColWidth="10" defaultColWidth="9.140625" defaultRowHeight="15"/>
  <cols>
    <col width="9.140625" customWidth="1" style="19" min="1" max="16384"/>
  </cols>
  <sheetData>
    <row r="1">
      <c r="A1" s="19" t="inlineStr">
        <is>
          <t># Source:</t>
        </is>
      </c>
      <c r="B1" s="172" t="inlineStr">
        <is>
          <t>ESMA Consultation paper</t>
        </is>
      </c>
    </row>
  </sheetData>
  <hyperlinks>
    <hyperlink xmlns:r="http://schemas.openxmlformats.org/officeDocument/2006/relationships" ref="B1" r:id="rId1"/>
  </hyperlinks>
  <pageMargins left="0.7" right="0.7" top="0.75" bottom="0.75" header="0.3" footer="0.3"/>
  <pageSetup orientation="landscape" paperSize="9" scale="51" fitToHeight="0" horizontalDpi="0" verticalDpi="0"/>
  <drawing xmlns:r="http://schemas.openxmlformats.org/officeDocument/2006/relationships" r:id="rId2"/>
</worksheet>
</file>

<file path=xl/worksheets/sheet4.xml><?xml version="1.0" encoding="utf-8"?>
<worksheet xmlns="http://schemas.openxmlformats.org/spreadsheetml/2006/main">
  <sheetPr filterMode="1">
    <tabColor theme="4" tint="0.5999938962981048"/>
    <outlinePr summaryBelow="1" summaryRight="1"/>
    <pageSetUpPr fitToPage="1"/>
  </sheetPr>
  <dimension ref="A1:P51"/>
  <sheetViews>
    <sheetView zoomScale="80" zoomScaleNormal="80" workbookViewId="0">
      <pane xSplit="4" ySplit="2" topLeftCell="E37" activePane="bottomRight" state="frozen"/>
      <selection pane="topRight" activeCell="E1" sqref="E1"/>
      <selection pane="bottomLeft" activeCell="A3" sqref="A3"/>
      <selection pane="bottomRight" activeCell="I55" sqref="I55"/>
    </sheetView>
  </sheetViews>
  <sheetFormatPr baseColWidth="10" defaultColWidth="8.85546875" defaultRowHeight="11.25"/>
  <cols>
    <col width="2" customWidth="1" style="65" min="1" max="1"/>
    <col width="9.5703125" customWidth="1" style="127" min="2" max="3"/>
    <col width="2.140625" customWidth="1" style="65" min="4" max="4"/>
    <col width="14.5703125" bestFit="1" customWidth="1" style="61" min="5" max="5"/>
    <col width="46.85546875" customWidth="1" style="62" min="6" max="6"/>
    <col width="3" customWidth="1" style="62" min="7" max="7"/>
    <col width="13.140625" bestFit="1" customWidth="1" style="63" min="8" max="8"/>
    <col width="51.42578125" customWidth="1" style="62" min="9" max="9"/>
    <col width="16" bestFit="1" customWidth="1" style="64" min="10" max="10"/>
    <col width="8" bestFit="1" customWidth="1" style="64" min="11" max="11"/>
    <col width="5.85546875" bestFit="1" customWidth="1" style="64" min="12" max="12"/>
    <col width="9.85546875" bestFit="1" customWidth="1" style="64" min="13" max="13"/>
    <col width="14.85546875" bestFit="1" customWidth="1" style="64" min="14" max="14"/>
    <col width="10.42578125" customWidth="1" style="64" min="15" max="15"/>
    <col width="9.140625" bestFit="1" customWidth="1" style="64" min="16" max="16"/>
    <col width="8.85546875" customWidth="1" style="21" min="17" max="16384"/>
  </cols>
  <sheetData>
    <row r="1" ht="16.5" customHeight="1" thickBot="1">
      <c r="A1" s="65" t="inlineStr">
        <is>
          <t>#</t>
        </is>
      </c>
      <c r="B1" s="286" t="inlineStr">
        <is>
          <t>CONTENT TYPE</t>
        </is>
      </c>
      <c r="C1" s="287" t="n"/>
      <c r="E1" s="288" t="inlineStr">
        <is>
          <t>AIFM (MANAGER)</t>
        </is>
      </c>
      <c r="F1" s="285" t="n"/>
      <c r="G1" s="20" t="n"/>
      <c r="H1" s="262" t="inlineStr">
        <is>
          <t>AIF (FUND)</t>
        </is>
      </c>
      <c r="I1" s="289" t="n"/>
      <c r="J1" s="289" t="n"/>
      <c r="K1" s="289" t="n"/>
      <c r="L1" s="289" t="n"/>
      <c r="M1" s="289" t="n"/>
      <c r="N1" s="289" t="n"/>
      <c r="O1" s="289" t="n"/>
      <c r="P1" s="289" t="n"/>
    </row>
    <row r="2" ht="57" customFormat="1" customHeight="1" s="29" thickBot="1">
      <c r="A2" s="66" t="n"/>
      <c r="B2" s="120" t="inlineStr">
        <is>
          <t>AIFM Content Type
AIFM (Field 5)</t>
        </is>
      </c>
      <c r="C2" s="121" t="inlineStr">
        <is>
          <t>AIF Content Type
AIF (Field 5)</t>
        </is>
      </c>
      <c r="D2" s="66" t="n"/>
      <c r="E2" s="22" t="inlineStr">
        <is>
          <t>AIFM reporting code
AIFM (Field 16)</t>
        </is>
      </c>
      <c r="F2" s="23" t="inlineStr">
        <is>
          <t>AIFM reporting label</t>
        </is>
      </c>
      <c r="G2" s="290" t="n"/>
      <c r="H2" s="24" t="inlineStr">
        <is>
          <t>AIF reporting code
AIF (Field 20)</t>
        </is>
      </c>
      <c r="I2" s="25" t="inlineStr">
        <is>
          <t>AIF reporting label</t>
        </is>
      </c>
      <c r="J2" s="24" t="inlineStr">
        <is>
          <t>Unleveraged AIF investing in non-listed companies in order to acquire control</t>
        </is>
      </c>
      <c r="K2" s="26" t="inlineStr">
        <is>
          <t>Leveraged AIF</t>
        </is>
      </c>
      <c r="L2" s="26" t="inlineStr">
        <is>
          <t>EU AIF</t>
        </is>
      </c>
      <c r="M2" s="26" t="inlineStr">
        <is>
          <t>AIF marketed in the Union</t>
        </is>
      </c>
      <c r="N2" s="27" t="inlineStr">
        <is>
          <t>Above 500 M EUR AIF Threshold</t>
        </is>
      </c>
      <c r="O2" s="28" t="inlineStr">
        <is>
          <t>Reporting frequency
AIF (field 8)</t>
        </is>
      </c>
      <c r="P2" s="27" t="inlineStr">
        <is>
          <t>Reporting Contents</t>
        </is>
      </c>
    </row>
    <row r="3" hidden="1">
      <c r="B3" s="122" t="n">
        <v>2</v>
      </c>
      <c r="C3" s="123" t="n">
        <v>3</v>
      </c>
      <c r="E3" s="30" t="n">
        <v>1</v>
      </c>
      <c r="F3" s="31" t="inlineStr">
        <is>
          <t>Registered AIFM (Light)</t>
        </is>
      </c>
      <c r="G3" s="291" t="n"/>
      <c r="H3" s="32" t="n">
        <v>1</v>
      </c>
      <c r="I3" s="33" t="inlineStr">
        <is>
          <t>EU AIF (of an Registered AIFM)  (light)</t>
        </is>
      </c>
      <c r="J3" s="34" t="inlineStr">
        <is>
          <t>Yes/No</t>
        </is>
      </c>
      <c r="K3" s="35" t="inlineStr">
        <is>
          <t>Yes/No</t>
        </is>
      </c>
      <c r="L3" s="44" t="inlineStr">
        <is>
          <t>Yes</t>
        </is>
      </c>
      <c r="M3" s="35" t="inlineStr">
        <is>
          <t>Yes/No</t>
        </is>
      </c>
      <c r="N3" s="36" t="inlineStr">
        <is>
          <t>No</t>
        </is>
      </c>
      <c r="O3" s="37" t="inlineStr">
        <is>
          <t>Yearly</t>
        </is>
      </c>
      <c r="P3" s="38" t="inlineStr">
        <is>
          <t>3(3d)</t>
        </is>
      </c>
    </row>
    <row r="4" hidden="1" ht="22.5" customHeight="1">
      <c r="B4" s="124" t="n">
        <v>1</v>
      </c>
      <c r="C4" s="125" t="n">
        <v>4</v>
      </c>
      <c r="E4" s="39" t="n">
        <v>2</v>
      </c>
      <c r="F4" s="40" t="inlineStr">
        <is>
          <t>Authorised AIFM (opt-in)</t>
        </is>
      </c>
      <c r="G4" s="291" t="n"/>
      <c r="H4" s="41" t="n">
        <v>2</v>
      </c>
      <c r="I4" s="42" t="inlineStr">
        <is>
          <t>Leveraged EU AIF (of an opt-in AIFM)</t>
        </is>
      </c>
      <c r="J4" s="43" t="inlineStr">
        <is>
          <t>No</t>
        </is>
      </c>
      <c r="K4" s="44" t="inlineStr">
        <is>
          <t>Yes</t>
        </is>
      </c>
      <c r="L4" s="44" t="inlineStr">
        <is>
          <t>Yes</t>
        </is>
      </c>
      <c r="M4" s="44" t="inlineStr">
        <is>
          <t>Yes/No</t>
        </is>
      </c>
      <c r="N4" s="45" t="inlineStr">
        <is>
          <t>No</t>
        </is>
      </c>
      <c r="O4" s="46" t="inlineStr">
        <is>
          <t>Yearly</t>
        </is>
      </c>
      <c r="P4" s="47" t="inlineStr">
        <is>
          <t>24(1)+(2)+(4)</t>
        </is>
      </c>
    </row>
    <row r="5" hidden="1" ht="22.5" customHeight="1">
      <c r="B5" s="124" t="n">
        <v>1</v>
      </c>
      <c r="C5" s="125" t="n">
        <v>4</v>
      </c>
      <c r="E5" s="39" t="n">
        <v>2</v>
      </c>
      <c r="F5" s="40" t="inlineStr">
        <is>
          <t>Authorised AIFM (opt-in)</t>
        </is>
      </c>
      <c r="G5" s="291" t="n"/>
      <c r="H5" s="41" t="n">
        <v>3</v>
      </c>
      <c r="I5" s="42" t="inlineStr">
        <is>
          <t>Leveraged non EU AIF (of an opt-in AIFM) marketed in the Union</t>
        </is>
      </c>
      <c r="J5" s="43" t="inlineStr">
        <is>
          <t>No</t>
        </is>
      </c>
      <c r="K5" s="44" t="inlineStr">
        <is>
          <t>Yes</t>
        </is>
      </c>
      <c r="L5" s="44" t="inlineStr">
        <is>
          <t>No</t>
        </is>
      </c>
      <c r="M5" s="44" t="inlineStr">
        <is>
          <t>Yes</t>
        </is>
      </c>
      <c r="N5" s="45" t="inlineStr">
        <is>
          <t>No</t>
        </is>
      </c>
      <c r="O5" s="46" t="inlineStr">
        <is>
          <t>Yearly</t>
        </is>
      </c>
      <c r="P5" s="47" t="inlineStr">
        <is>
          <t>24(1)+(2)+(4)</t>
        </is>
      </c>
    </row>
    <row r="6" hidden="1">
      <c r="B6" s="124" t="n">
        <v>1</v>
      </c>
      <c r="C6" s="125" t="n">
        <v>5</v>
      </c>
      <c r="E6" s="39" t="n">
        <v>2</v>
      </c>
      <c r="F6" s="40" t="inlineStr">
        <is>
          <t>Authorised AIFM (opt-in)</t>
        </is>
      </c>
      <c r="G6" s="291" t="n"/>
      <c r="H6" s="41" t="n">
        <v>4</v>
      </c>
      <c r="I6" s="42" t="inlineStr">
        <is>
          <t>Leveraged non EU AIF (of an opt-in AIFM), not marketed in the Union</t>
        </is>
      </c>
      <c r="J6" s="43" t="inlineStr">
        <is>
          <t>No</t>
        </is>
      </c>
      <c r="K6" s="44" t="inlineStr">
        <is>
          <t>Yes</t>
        </is>
      </c>
      <c r="L6" s="44" t="inlineStr">
        <is>
          <t>No</t>
        </is>
      </c>
      <c r="M6" s="44" t="inlineStr">
        <is>
          <t>No</t>
        </is>
      </c>
      <c r="N6" s="45" t="inlineStr">
        <is>
          <t>No</t>
        </is>
      </c>
      <c r="O6" s="46" t="inlineStr">
        <is>
          <t>Yearly</t>
        </is>
      </c>
      <c r="P6" s="47" t="inlineStr">
        <is>
          <t>24(1)+(4)</t>
        </is>
      </c>
    </row>
    <row r="7" hidden="1">
      <c r="B7" s="124" t="n">
        <v>1</v>
      </c>
      <c r="C7" s="125" t="n">
        <v>2</v>
      </c>
      <c r="E7" s="39" t="n">
        <v>2</v>
      </c>
      <c r="F7" s="40" t="inlineStr">
        <is>
          <t>Authorised AIFM (opt-in)</t>
        </is>
      </c>
      <c r="G7" s="291" t="n"/>
      <c r="H7" s="41" t="n">
        <v>5</v>
      </c>
      <c r="I7" s="42" t="inlineStr">
        <is>
          <t>Unleveraged EU AIF (of an opt-in AIFM)</t>
        </is>
      </c>
      <c r="J7" s="48" t="inlineStr">
        <is>
          <t>Yes/No</t>
        </is>
      </c>
      <c r="K7" s="49" t="inlineStr">
        <is>
          <t>No</t>
        </is>
      </c>
      <c r="L7" s="44" t="inlineStr">
        <is>
          <t>Yes</t>
        </is>
      </c>
      <c r="M7" s="44" t="inlineStr">
        <is>
          <t>Yes/No</t>
        </is>
      </c>
      <c r="N7" s="45" t="inlineStr">
        <is>
          <t>No</t>
        </is>
      </c>
      <c r="O7" s="46" t="inlineStr">
        <is>
          <t>Yearly</t>
        </is>
      </c>
      <c r="P7" s="47" t="inlineStr">
        <is>
          <t>24(1)+(2)</t>
        </is>
      </c>
    </row>
    <row r="8" hidden="1">
      <c r="B8" s="124" t="n">
        <v>1</v>
      </c>
      <c r="C8" s="125" t="n">
        <v>2</v>
      </c>
      <c r="E8" s="39" t="n">
        <v>2</v>
      </c>
      <c r="F8" s="40" t="inlineStr">
        <is>
          <t>Authorised AIFM (opt-in)</t>
        </is>
      </c>
      <c r="G8" s="291" t="n"/>
      <c r="H8" s="41" t="n">
        <v>6</v>
      </c>
      <c r="I8" s="42" t="inlineStr">
        <is>
          <t>Unleveraged non EU AIF (of an opt-in AIFM) marketed in the Union</t>
        </is>
      </c>
      <c r="J8" s="48" t="inlineStr">
        <is>
          <t>Yes/No</t>
        </is>
      </c>
      <c r="K8" s="49" t="inlineStr">
        <is>
          <t>No</t>
        </is>
      </c>
      <c r="L8" s="44" t="inlineStr">
        <is>
          <t>No</t>
        </is>
      </c>
      <c r="M8" s="44" t="inlineStr">
        <is>
          <t>Yes</t>
        </is>
      </c>
      <c r="N8" s="45" t="inlineStr">
        <is>
          <t>No</t>
        </is>
      </c>
      <c r="O8" s="46" t="inlineStr">
        <is>
          <t>Yearly</t>
        </is>
      </c>
      <c r="P8" s="47" t="inlineStr">
        <is>
          <t>24(1)+(2)</t>
        </is>
      </c>
    </row>
    <row r="9" hidden="1">
      <c r="B9" s="124" t="n">
        <v>1</v>
      </c>
      <c r="C9" s="125" t="n">
        <v>1</v>
      </c>
      <c r="E9" s="39" t="n">
        <v>2</v>
      </c>
      <c r="F9" s="40" t="inlineStr">
        <is>
          <t>Authorised AIFM (opt-in)</t>
        </is>
      </c>
      <c r="G9" s="291" t="n"/>
      <c r="H9" s="41" t="n">
        <v>7</v>
      </c>
      <c r="I9" s="42" t="inlineStr">
        <is>
          <t>Unleveraged non EU AIF (of an opt-in AIFM), not marketed in the Union</t>
        </is>
      </c>
      <c r="J9" s="48" t="inlineStr">
        <is>
          <t>Yes/No</t>
        </is>
      </c>
      <c r="K9" s="49" t="inlineStr">
        <is>
          <t>No</t>
        </is>
      </c>
      <c r="L9" s="44" t="inlineStr">
        <is>
          <t>No</t>
        </is>
      </c>
      <c r="M9" s="44" t="inlineStr">
        <is>
          <t>No</t>
        </is>
      </c>
      <c r="N9" s="45" t="inlineStr">
        <is>
          <t>No</t>
        </is>
      </c>
      <c r="O9" s="46" t="inlineStr">
        <is>
          <t>Yearly</t>
        </is>
      </c>
      <c r="P9" s="47" t="inlineStr">
        <is>
          <t>24(1)</t>
        </is>
      </c>
    </row>
    <row r="10" hidden="1" ht="22.5" customHeight="1">
      <c r="B10" s="124" t="n">
        <v>1</v>
      </c>
      <c r="C10" s="125" t="n">
        <v>2</v>
      </c>
      <c r="E10" s="39" t="n">
        <v>3</v>
      </c>
      <c r="F10" s="40" t="inlineStr">
        <is>
          <t>Authorised AIFM with only unleveraged AIFs investing in non-listed companies and issuers in order to acquire control</t>
        </is>
      </c>
      <c r="G10" s="291" t="n"/>
      <c r="H10" s="41" t="n">
        <v>8</v>
      </c>
      <c r="I10" s="42" t="inlineStr">
        <is>
          <t>Unleveraged EU AIF (of an AIFM with only unleveraged AIFs investing in non-listed companies and issuers in order to acquire control)</t>
        </is>
      </c>
      <c r="J10" s="43" t="inlineStr">
        <is>
          <t>Yes</t>
        </is>
      </c>
      <c r="K10" s="49" t="inlineStr">
        <is>
          <t>No</t>
        </is>
      </c>
      <c r="L10" s="44" t="inlineStr">
        <is>
          <t>Yes</t>
        </is>
      </c>
      <c r="M10" s="44" t="inlineStr">
        <is>
          <t>Yes/No</t>
        </is>
      </c>
      <c r="N10" s="50" t="inlineStr">
        <is>
          <t>Yes/No</t>
        </is>
      </c>
      <c r="O10" s="46" t="inlineStr">
        <is>
          <t>Yearly</t>
        </is>
      </c>
      <c r="P10" s="47" t="inlineStr">
        <is>
          <t>24(1)+(2)</t>
        </is>
      </c>
    </row>
    <row r="11" hidden="1" ht="33.75" customHeight="1">
      <c r="B11" s="124" t="n">
        <v>1</v>
      </c>
      <c r="C11" s="125" t="n">
        <v>2</v>
      </c>
      <c r="E11" s="39" t="n">
        <v>3</v>
      </c>
      <c r="F11" s="40" t="inlineStr">
        <is>
          <t>Authorised AIFM with only unleveraged AIFs investing in non-listed companies and issuers in order to acquire control</t>
        </is>
      </c>
      <c r="G11" s="291" t="n"/>
      <c r="H11" s="41" t="n">
        <v>9</v>
      </c>
      <c r="I11" s="42" t="inlineStr">
        <is>
          <t>Unleveraged non EU AIF (of an AIFM with only unleveraged AIFs investing in non-listed companies and issuers in order to acquire control) marketed in the Union</t>
        </is>
      </c>
      <c r="J11" s="43" t="inlineStr">
        <is>
          <t>Yes</t>
        </is>
      </c>
      <c r="K11" s="49" t="inlineStr">
        <is>
          <t>No</t>
        </is>
      </c>
      <c r="L11" s="44" t="inlineStr">
        <is>
          <t>No</t>
        </is>
      </c>
      <c r="M11" s="44" t="inlineStr">
        <is>
          <t>Yes</t>
        </is>
      </c>
      <c r="N11" s="50" t="inlineStr">
        <is>
          <t>Yes/No</t>
        </is>
      </c>
      <c r="O11" s="46" t="inlineStr">
        <is>
          <t>Yearly</t>
        </is>
      </c>
      <c r="P11" s="47" t="inlineStr">
        <is>
          <t>24(1)+(2)</t>
        </is>
      </c>
    </row>
    <row r="12" hidden="1" ht="33.75" customHeight="1">
      <c r="B12" s="124" t="n">
        <v>1</v>
      </c>
      <c r="C12" s="125" t="n">
        <v>1</v>
      </c>
      <c r="E12" s="39" t="n">
        <v>3</v>
      </c>
      <c r="F12" s="40" t="inlineStr">
        <is>
          <t>Authorised AIFM with only unleveraged AIFs investing in non-listed companies and issuers in order to acquire control</t>
        </is>
      </c>
      <c r="G12" s="291" t="n"/>
      <c r="H12" s="41" t="n">
        <v>10</v>
      </c>
      <c r="I12" s="42" t="inlineStr">
        <is>
          <t>Unleveraged non EU AIF (of an AIFM with only unleveraged AIFs investing in non-listed companies and issuers in order to acquire control), not marketed in the Union</t>
        </is>
      </c>
      <c r="J12" s="43" t="inlineStr">
        <is>
          <t>Yes</t>
        </is>
      </c>
      <c r="K12" s="49" t="inlineStr">
        <is>
          <t>No</t>
        </is>
      </c>
      <c r="L12" s="44" t="inlineStr">
        <is>
          <t>No</t>
        </is>
      </c>
      <c r="M12" s="44" t="inlineStr">
        <is>
          <t>No</t>
        </is>
      </c>
      <c r="N12" s="50" t="inlineStr">
        <is>
          <t>Yes/No</t>
        </is>
      </c>
      <c r="O12" s="46" t="inlineStr">
        <is>
          <t>Yearly</t>
        </is>
      </c>
      <c r="P12" s="47" t="inlineStr">
        <is>
          <t>24(1)</t>
        </is>
      </c>
    </row>
    <row r="13" hidden="1" ht="22.5" customHeight="1">
      <c r="B13" s="124" t="n">
        <v>1</v>
      </c>
      <c r="C13" s="125" t="n">
        <v>4</v>
      </c>
      <c r="E13" s="39" t="n">
        <v>4</v>
      </c>
      <c r="F13" s="40" t="inlineStr">
        <is>
          <t>Authorised AIFM with half yearly obligation</t>
        </is>
      </c>
      <c r="G13" s="291" t="n"/>
      <c r="H13" s="41" t="n">
        <v>11</v>
      </c>
      <c r="I13" s="42" t="inlineStr">
        <is>
          <t>Under 500M Leveraged EU AIF (of an AIFM with half yearly obligation)</t>
        </is>
      </c>
      <c r="J13" s="43" t="inlineStr">
        <is>
          <t>No</t>
        </is>
      </c>
      <c r="K13" s="44" t="inlineStr">
        <is>
          <t>Yes</t>
        </is>
      </c>
      <c r="L13" s="44" t="inlineStr">
        <is>
          <t>Yes</t>
        </is>
      </c>
      <c r="M13" s="44" t="inlineStr">
        <is>
          <t>Yes/No</t>
        </is>
      </c>
      <c r="N13" s="50" t="inlineStr">
        <is>
          <t>No</t>
        </is>
      </c>
      <c r="O13" s="46" t="inlineStr">
        <is>
          <t>Half yearly</t>
        </is>
      </c>
      <c r="P13" s="47" t="inlineStr">
        <is>
          <t>24(1)+(2)+(4)</t>
        </is>
      </c>
    </row>
    <row r="14" hidden="1" ht="22.5" customHeight="1">
      <c r="B14" s="124" t="n">
        <v>1</v>
      </c>
      <c r="C14" s="125" t="n">
        <v>4</v>
      </c>
      <c r="E14" s="39" t="n">
        <v>4</v>
      </c>
      <c r="F14" s="40" t="inlineStr">
        <is>
          <t>Authorised AIFM with half yearly obligation</t>
        </is>
      </c>
      <c r="G14" s="291" t="n"/>
      <c r="H14" s="41" t="n">
        <v>12</v>
      </c>
      <c r="I14" s="42" t="inlineStr">
        <is>
          <t>Under 500M Leveraged non EU AIF (of an AIFM with half yearly obligation) marketed in the Union</t>
        </is>
      </c>
      <c r="J14" s="43" t="inlineStr">
        <is>
          <t>No</t>
        </is>
      </c>
      <c r="K14" s="44" t="inlineStr">
        <is>
          <t>Yes</t>
        </is>
      </c>
      <c r="L14" s="44" t="inlineStr">
        <is>
          <t>No</t>
        </is>
      </c>
      <c r="M14" s="44" t="inlineStr">
        <is>
          <t>Yes</t>
        </is>
      </c>
      <c r="N14" s="50" t="inlineStr">
        <is>
          <t>No</t>
        </is>
      </c>
      <c r="O14" s="46" t="inlineStr">
        <is>
          <t>Half yearly</t>
        </is>
      </c>
      <c r="P14" s="47" t="inlineStr">
        <is>
          <t>24(1)+(2)+(4)</t>
        </is>
      </c>
    </row>
    <row r="15" hidden="1" ht="22.5" customHeight="1">
      <c r="B15" s="124" t="n">
        <v>1</v>
      </c>
      <c r="C15" s="125" t="n">
        <v>5</v>
      </c>
      <c r="E15" s="39" t="n">
        <v>4</v>
      </c>
      <c r="F15" s="40" t="inlineStr">
        <is>
          <t>Authorised AIFM with half yearly obligation</t>
        </is>
      </c>
      <c r="G15" s="291" t="n"/>
      <c r="H15" s="41" t="n">
        <v>13</v>
      </c>
      <c r="I15" s="42" t="inlineStr">
        <is>
          <t>Under 500M Leveraged non EU AIF (of an AIFM with half yearly obligation), not marketed in the Union</t>
        </is>
      </c>
      <c r="J15" s="43" t="inlineStr">
        <is>
          <t>No</t>
        </is>
      </c>
      <c r="K15" s="44" t="inlineStr">
        <is>
          <t>Yes</t>
        </is>
      </c>
      <c r="L15" s="44" t="inlineStr">
        <is>
          <t>No</t>
        </is>
      </c>
      <c r="M15" s="44" t="inlineStr">
        <is>
          <t>No</t>
        </is>
      </c>
      <c r="N15" s="50" t="inlineStr">
        <is>
          <t>No</t>
        </is>
      </c>
      <c r="O15" s="46" t="inlineStr">
        <is>
          <t>Half yearly</t>
        </is>
      </c>
      <c r="P15" s="47" t="inlineStr">
        <is>
          <t>24(1)+(4)</t>
        </is>
      </c>
    </row>
    <row r="16" hidden="1" ht="22.5" customHeight="1">
      <c r="B16" s="124" t="n">
        <v>1</v>
      </c>
      <c r="C16" s="125" t="n">
        <v>2</v>
      </c>
      <c r="E16" s="39" t="n">
        <v>4</v>
      </c>
      <c r="F16" s="40" t="inlineStr">
        <is>
          <t>Authorised AIFM with half yearly obligation</t>
        </is>
      </c>
      <c r="G16" s="291" t="n"/>
      <c r="H16" s="41" t="n">
        <v>14</v>
      </c>
      <c r="I16" s="42" t="inlineStr">
        <is>
          <t>Under 500M Unleveraged EU AIF (of an AIFM with half yearly obligation)</t>
        </is>
      </c>
      <c r="J16" s="48" t="inlineStr">
        <is>
          <t>No</t>
        </is>
      </c>
      <c r="K16" s="44" t="inlineStr">
        <is>
          <t>No</t>
        </is>
      </c>
      <c r="L16" s="44" t="inlineStr">
        <is>
          <t>Yes</t>
        </is>
      </c>
      <c r="M16" s="44" t="inlineStr">
        <is>
          <t>Yes/No</t>
        </is>
      </c>
      <c r="N16" s="50" t="inlineStr">
        <is>
          <t>No</t>
        </is>
      </c>
      <c r="O16" s="46" t="inlineStr">
        <is>
          <t>Half yearly</t>
        </is>
      </c>
      <c r="P16" s="47" t="inlineStr">
        <is>
          <t>24(1)+(2)</t>
        </is>
      </c>
    </row>
    <row r="17" hidden="1" ht="22.5" customHeight="1">
      <c r="B17" s="124" t="n">
        <v>1</v>
      </c>
      <c r="C17" s="125" t="n">
        <v>2</v>
      </c>
      <c r="E17" s="39" t="n">
        <v>4</v>
      </c>
      <c r="F17" s="40" t="inlineStr">
        <is>
          <t>Authorised AIFM with half yearly obligation</t>
        </is>
      </c>
      <c r="G17" s="291" t="n"/>
      <c r="H17" s="41" t="n">
        <v>15</v>
      </c>
      <c r="I17" s="42" t="inlineStr">
        <is>
          <t>Under 500M Unleveraged non EU AIF (of an AIFM with half yearly obligation) marketed in the Union</t>
        </is>
      </c>
      <c r="J17" s="48" t="inlineStr">
        <is>
          <t>No</t>
        </is>
      </c>
      <c r="K17" s="44" t="inlineStr">
        <is>
          <t>No</t>
        </is>
      </c>
      <c r="L17" s="44" t="inlineStr">
        <is>
          <t>No</t>
        </is>
      </c>
      <c r="M17" s="44" t="inlineStr">
        <is>
          <t>Yes</t>
        </is>
      </c>
      <c r="N17" s="50" t="inlineStr">
        <is>
          <t>No</t>
        </is>
      </c>
      <c r="O17" s="46" t="inlineStr">
        <is>
          <t>Half yearly</t>
        </is>
      </c>
      <c r="P17" s="47" t="inlineStr">
        <is>
          <t>24(1)+(2)</t>
        </is>
      </c>
    </row>
    <row r="18" hidden="1" ht="22.5" customHeight="1">
      <c r="B18" s="124" t="n">
        <v>1</v>
      </c>
      <c r="C18" s="125" t="n">
        <v>1</v>
      </c>
      <c r="E18" s="39" t="n">
        <v>4</v>
      </c>
      <c r="F18" s="40" t="inlineStr">
        <is>
          <t>Authorised AIFM with half yearly obligation</t>
        </is>
      </c>
      <c r="G18" s="291" t="n"/>
      <c r="H18" s="41" t="n">
        <v>16</v>
      </c>
      <c r="I18" s="42" t="inlineStr">
        <is>
          <t>Under 500M Unleveraged non EU AIF (of an AIFM with half yearly obligation), not marketed in the Union</t>
        </is>
      </c>
      <c r="J18" s="48" t="inlineStr">
        <is>
          <t>No</t>
        </is>
      </c>
      <c r="K18" s="44" t="inlineStr">
        <is>
          <t>No</t>
        </is>
      </c>
      <c r="L18" s="44" t="inlineStr">
        <is>
          <t>No</t>
        </is>
      </c>
      <c r="M18" s="44" t="inlineStr">
        <is>
          <t>No</t>
        </is>
      </c>
      <c r="N18" s="50" t="inlineStr">
        <is>
          <t>No</t>
        </is>
      </c>
      <c r="O18" s="46" t="inlineStr">
        <is>
          <t>Half yearly</t>
        </is>
      </c>
      <c r="P18" s="47" t="inlineStr">
        <is>
          <t>24(1)</t>
        </is>
      </c>
    </row>
    <row r="19" hidden="1" ht="22.5" customHeight="1">
      <c r="B19" s="124" t="n">
        <v>1</v>
      </c>
      <c r="C19" s="125" t="n">
        <v>2</v>
      </c>
      <c r="E19" s="39" t="n">
        <v>4</v>
      </c>
      <c r="F19" s="40" t="inlineStr">
        <is>
          <t>Authorised AIFM with half yearly obligation</t>
        </is>
      </c>
      <c r="G19" s="291" t="n"/>
      <c r="H19" s="41" t="n">
        <v>17</v>
      </c>
      <c r="I19" s="42" t="inlineStr">
        <is>
          <t>Unleveraged EU AIF, investing in non-listed companies in order to acquire control (of an AIFM with half yearly obligation)</t>
        </is>
      </c>
      <c r="J19" s="48" t="inlineStr">
        <is>
          <t>Yes</t>
        </is>
      </c>
      <c r="K19" s="49" t="inlineStr">
        <is>
          <t>No</t>
        </is>
      </c>
      <c r="L19" s="44" t="inlineStr">
        <is>
          <t>Yes</t>
        </is>
      </c>
      <c r="M19" s="44" t="inlineStr">
        <is>
          <t>Yes/No</t>
        </is>
      </c>
      <c r="N19" s="50" t="inlineStr">
        <is>
          <t>Yes/No</t>
        </is>
      </c>
      <c r="O19" s="46" t="inlineStr">
        <is>
          <t>Yearly</t>
        </is>
      </c>
      <c r="P19" s="47" t="inlineStr">
        <is>
          <t>24(1)+(2)</t>
        </is>
      </c>
    </row>
    <row r="20" hidden="1" ht="33.75" customHeight="1">
      <c r="B20" s="124" t="n">
        <v>1</v>
      </c>
      <c r="C20" s="125" t="n">
        <v>2</v>
      </c>
      <c r="E20" s="39" t="n">
        <v>4</v>
      </c>
      <c r="F20" s="40" t="inlineStr">
        <is>
          <t>Authorised AIFM with half yearly obligation</t>
        </is>
      </c>
      <c r="G20" s="291" t="n"/>
      <c r="H20" s="41" t="n">
        <v>18</v>
      </c>
      <c r="I20" s="42" t="inlineStr">
        <is>
          <t>Unleveraged non EU AIF, investing in non-listed companies in order to acquire control (of an AIFM with half yearly obligation) marketed in the Union</t>
        </is>
      </c>
      <c r="J20" s="48" t="inlineStr">
        <is>
          <t>Yes</t>
        </is>
      </c>
      <c r="K20" s="49" t="inlineStr">
        <is>
          <t>No</t>
        </is>
      </c>
      <c r="L20" s="44" t="inlineStr">
        <is>
          <t>No</t>
        </is>
      </c>
      <c r="M20" s="44" t="inlineStr">
        <is>
          <t>Yes</t>
        </is>
      </c>
      <c r="N20" s="50" t="inlineStr">
        <is>
          <t>Yes/No</t>
        </is>
      </c>
      <c r="O20" s="46" t="inlineStr">
        <is>
          <t>Yearly</t>
        </is>
      </c>
      <c r="P20" s="47" t="inlineStr">
        <is>
          <t>24(1)+(2)</t>
        </is>
      </c>
    </row>
    <row r="21" hidden="1" ht="33.75" customHeight="1">
      <c r="B21" s="124" t="n">
        <v>1</v>
      </c>
      <c r="C21" s="125" t="n">
        <v>1</v>
      </c>
      <c r="E21" s="39" t="n">
        <v>4</v>
      </c>
      <c r="F21" s="40" t="inlineStr">
        <is>
          <t>Authorised AIFM with half yearly obligation</t>
        </is>
      </c>
      <c r="G21" s="291" t="n"/>
      <c r="H21" s="41" t="n">
        <v>19</v>
      </c>
      <c r="I21" s="42" t="inlineStr">
        <is>
          <t>Unleveraged non EU AIF, investing in non-listed companies in order to acquire control (of an AIFM with half yearly obligation) not marketed in the Union</t>
        </is>
      </c>
      <c r="J21" s="48" t="inlineStr">
        <is>
          <t>Yes</t>
        </is>
      </c>
      <c r="K21" s="49" t="inlineStr">
        <is>
          <t>No</t>
        </is>
      </c>
      <c r="L21" s="44" t="inlineStr">
        <is>
          <t>No</t>
        </is>
      </c>
      <c r="M21" s="44" t="inlineStr">
        <is>
          <t>No</t>
        </is>
      </c>
      <c r="N21" s="50" t="inlineStr">
        <is>
          <t>Yes/No</t>
        </is>
      </c>
      <c r="O21" s="46" t="inlineStr">
        <is>
          <t>Yearly</t>
        </is>
      </c>
      <c r="P21" s="47" t="inlineStr">
        <is>
          <t>24(1)</t>
        </is>
      </c>
    </row>
    <row r="22" hidden="1" ht="22.5" customHeight="1">
      <c r="B22" s="124" t="n">
        <v>1</v>
      </c>
      <c r="C22" s="125" t="n">
        <v>4</v>
      </c>
      <c r="E22" s="39" t="n">
        <v>4</v>
      </c>
      <c r="F22" s="40" t="inlineStr">
        <is>
          <t>Authorised AIFM with half yearly obligation</t>
        </is>
      </c>
      <c r="G22" s="291" t="n"/>
      <c r="H22" s="41" t="n">
        <v>20</v>
      </c>
      <c r="I22" s="42" t="inlineStr">
        <is>
          <t>Over 500M Leveraged EU AIF (of an AIFM with half yearly obligation)</t>
        </is>
      </c>
      <c r="J22" s="43" t="inlineStr">
        <is>
          <t>No</t>
        </is>
      </c>
      <c r="K22" s="44" t="inlineStr">
        <is>
          <t>Yes</t>
        </is>
      </c>
      <c r="L22" s="44" t="inlineStr">
        <is>
          <t>Yes</t>
        </is>
      </c>
      <c r="M22" s="44" t="inlineStr">
        <is>
          <t>Yes/No</t>
        </is>
      </c>
      <c r="N22" s="50" t="inlineStr">
        <is>
          <t>Yes</t>
        </is>
      </c>
      <c r="O22" s="46" t="inlineStr">
        <is>
          <t>Quarterly</t>
        </is>
      </c>
      <c r="P22" s="47" t="inlineStr">
        <is>
          <t>24(1)+(2)+(4)</t>
        </is>
      </c>
    </row>
    <row r="23" hidden="1" ht="22.5" customHeight="1">
      <c r="B23" s="124" t="n">
        <v>1</v>
      </c>
      <c r="C23" s="125" t="n">
        <v>4</v>
      </c>
      <c r="E23" s="39" t="n">
        <v>4</v>
      </c>
      <c r="F23" s="40" t="inlineStr">
        <is>
          <t>Authorised AIFM with half yearly obligation</t>
        </is>
      </c>
      <c r="G23" s="291" t="n"/>
      <c r="H23" s="41" t="n">
        <v>21</v>
      </c>
      <c r="I23" s="42" t="inlineStr">
        <is>
          <t>Over 500M Leveraged non EU AIF (of an AIFM with half yearly obligation) marketed in the Union</t>
        </is>
      </c>
      <c r="J23" s="43" t="inlineStr">
        <is>
          <t>No</t>
        </is>
      </c>
      <c r="K23" s="44" t="inlineStr">
        <is>
          <t>Yes</t>
        </is>
      </c>
      <c r="L23" s="44" t="inlineStr">
        <is>
          <t>No</t>
        </is>
      </c>
      <c r="M23" s="44" t="inlineStr">
        <is>
          <t>Yes</t>
        </is>
      </c>
      <c r="N23" s="50" t="inlineStr">
        <is>
          <t>Yes</t>
        </is>
      </c>
      <c r="O23" s="46" t="inlineStr">
        <is>
          <t>Quarterly</t>
        </is>
      </c>
      <c r="P23" s="47" t="inlineStr">
        <is>
          <t>24(1)+(2)+(4)</t>
        </is>
      </c>
    </row>
    <row r="24" hidden="1" ht="22.5" customHeight="1">
      <c r="B24" s="124" t="n">
        <v>1</v>
      </c>
      <c r="C24" s="125" t="n">
        <v>5</v>
      </c>
      <c r="E24" s="39" t="n">
        <v>4</v>
      </c>
      <c r="F24" s="40" t="inlineStr">
        <is>
          <t>Authorised AIFM with half yearly obligation</t>
        </is>
      </c>
      <c r="G24" s="291" t="n"/>
      <c r="H24" s="41" t="n">
        <v>22</v>
      </c>
      <c r="I24" s="42" t="inlineStr">
        <is>
          <t>Over 500M Leveraged non EU AIF (of an AIFM with half yearly obligation), not marketed in the Union</t>
        </is>
      </c>
      <c r="J24" s="43" t="inlineStr">
        <is>
          <t>No</t>
        </is>
      </c>
      <c r="K24" s="44" t="inlineStr">
        <is>
          <t>Yes</t>
        </is>
      </c>
      <c r="L24" s="44" t="inlineStr">
        <is>
          <t>No</t>
        </is>
      </c>
      <c r="M24" s="44" t="inlineStr">
        <is>
          <t>No</t>
        </is>
      </c>
      <c r="N24" s="50" t="inlineStr">
        <is>
          <t>Yes</t>
        </is>
      </c>
      <c r="O24" s="46" t="inlineStr">
        <is>
          <t>Quarterly</t>
        </is>
      </c>
      <c r="P24" s="47" t="inlineStr">
        <is>
          <t>24(1)+(4)</t>
        </is>
      </c>
    </row>
    <row r="25" hidden="1">
      <c r="B25" s="124" t="n">
        <v>1</v>
      </c>
      <c r="C25" s="125" t="n">
        <v>2</v>
      </c>
      <c r="E25" s="39" t="n">
        <v>4</v>
      </c>
      <c r="F25" s="40" t="inlineStr">
        <is>
          <t>Authorised AIFM with half yearly obligation</t>
        </is>
      </c>
      <c r="G25" s="291" t="n"/>
      <c r="H25" s="41" t="n">
        <v>23</v>
      </c>
      <c r="I25" s="42" t="inlineStr">
        <is>
          <t>Over 500M Unleveraged EU AIF (of an AIFM with half yearly obligation)</t>
        </is>
      </c>
      <c r="J25" s="48" t="inlineStr">
        <is>
          <t>No</t>
        </is>
      </c>
      <c r="K25" s="44" t="inlineStr">
        <is>
          <t>No</t>
        </is>
      </c>
      <c r="L25" s="44" t="inlineStr">
        <is>
          <t>Yes</t>
        </is>
      </c>
      <c r="M25" s="44" t="inlineStr">
        <is>
          <t>Yes/No</t>
        </is>
      </c>
      <c r="N25" s="50" t="inlineStr">
        <is>
          <t>Yes</t>
        </is>
      </c>
      <c r="O25" s="46" t="inlineStr">
        <is>
          <t>Quarterly</t>
        </is>
      </c>
      <c r="P25" s="47" t="inlineStr">
        <is>
          <t>24(1)+(2)</t>
        </is>
      </c>
    </row>
    <row r="26" hidden="1" ht="22.5" customHeight="1">
      <c r="B26" s="124" t="n">
        <v>1</v>
      </c>
      <c r="C26" s="125" t="n">
        <v>2</v>
      </c>
      <c r="E26" s="39" t="n">
        <v>4</v>
      </c>
      <c r="F26" s="40" t="inlineStr">
        <is>
          <t>Authorised AIFM with half yearly obligation</t>
        </is>
      </c>
      <c r="G26" s="291" t="n"/>
      <c r="H26" s="41" t="n">
        <v>24</v>
      </c>
      <c r="I26" s="42" t="inlineStr">
        <is>
          <t>Over 500M Unleveraged non EU AIF (of an AIFM with half yearly obligation) marketed in the Union</t>
        </is>
      </c>
      <c r="J26" s="48" t="inlineStr">
        <is>
          <t>No</t>
        </is>
      </c>
      <c r="K26" s="44" t="inlineStr">
        <is>
          <t>No</t>
        </is>
      </c>
      <c r="L26" s="44" t="inlineStr">
        <is>
          <t>No</t>
        </is>
      </c>
      <c r="M26" s="44" t="inlineStr">
        <is>
          <t>Yes</t>
        </is>
      </c>
      <c r="N26" s="50" t="inlineStr">
        <is>
          <t>Yes</t>
        </is>
      </c>
      <c r="O26" s="46" t="inlineStr">
        <is>
          <t>Quarterly</t>
        </is>
      </c>
      <c r="P26" s="47" t="inlineStr">
        <is>
          <t>24(1)+(2)</t>
        </is>
      </c>
    </row>
    <row r="27" hidden="1" ht="22.5" customHeight="1">
      <c r="B27" s="124" t="n">
        <v>1</v>
      </c>
      <c r="C27" s="125" t="n">
        <v>1</v>
      </c>
      <c r="E27" s="39" t="n">
        <v>4</v>
      </c>
      <c r="F27" s="40" t="inlineStr">
        <is>
          <t>Authorised AIFM with half yearly obligation</t>
        </is>
      </c>
      <c r="G27" s="291" t="n"/>
      <c r="H27" s="41" t="n">
        <v>25</v>
      </c>
      <c r="I27" s="42" t="inlineStr">
        <is>
          <t>Over 500M Unleveraged non EU AIF (of an AIFM with half yearly obligation), not marketed in the Union</t>
        </is>
      </c>
      <c r="J27" s="48" t="inlineStr">
        <is>
          <t>No</t>
        </is>
      </c>
      <c r="K27" s="44" t="inlineStr">
        <is>
          <t>No</t>
        </is>
      </c>
      <c r="L27" s="44" t="inlineStr">
        <is>
          <t>No</t>
        </is>
      </c>
      <c r="M27" s="44" t="inlineStr">
        <is>
          <t>No</t>
        </is>
      </c>
      <c r="N27" s="50" t="inlineStr">
        <is>
          <t>Yes</t>
        </is>
      </c>
      <c r="O27" s="46" t="inlineStr">
        <is>
          <t>Quarterly</t>
        </is>
      </c>
      <c r="P27" s="47" t="inlineStr">
        <is>
          <t>24(1)</t>
        </is>
      </c>
    </row>
    <row r="28" hidden="1" ht="22.5" customHeight="1">
      <c r="B28" s="124" t="n">
        <v>1</v>
      </c>
      <c r="C28" s="125" t="n">
        <v>2</v>
      </c>
      <c r="E28" s="39" t="n">
        <v>5</v>
      </c>
      <c r="F28" s="40" t="inlineStr">
        <is>
          <t>Authorised AIFM with quarterly obligation</t>
        </is>
      </c>
      <c r="G28" s="291" t="n"/>
      <c r="H28" s="41" t="n">
        <v>26</v>
      </c>
      <c r="I28" s="42" t="inlineStr">
        <is>
          <t>Unleveraged EU AIF, investing in non-listed companies in order to acquire control (of an AIFM with quarterly obligation)</t>
        </is>
      </c>
      <c r="J28" s="48" t="inlineStr">
        <is>
          <t>Yes</t>
        </is>
      </c>
      <c r="K28" s="49" t="inlineStr">
        <is>
          <t>No</t>
        </is>
      </c>
      <c r="L28" s="44" t="inlineStr">
        <is>
          <t>Yes</t>
        </is>
      </c>
      <c r="M28" s="44" t="inlineStr">
        <is>
          <t>Yes/No</t>
        </is>
      </c>
      <c r="N28" s="50" t="inlineStr">
        <is>
          <t>Yes/No</t>
        </is>
      </c>
      <c r="O28" s="46" t="inlineStr">
        <is>
          <t>Yearly</t>
        </is>
      </c>
      <c r="P28" s="47" t="inlineStr">
        <is>
          <t>24(1)+(2)</t>
        </is>
      </c>
    </row>
    <row r="29" hidden="1" ht="33.75" customHeight="1">
      <c r="B29" s="124" t="n">
        <v>1</v>
      </c>
      <c r="C29" s="125" t="n">
        <v>2</v>
      </c>
      <c r="E29" s="39" t="n">
        <v>5</v>
      </c>
      <c r="F29" s="40" t="inlineStr">
        <is>
          <t>Authorised AIFM with quarterly obligation</t>
        </is>
      </c>
      <c r="G29" s="291" t="n"/>
      <c r="H29" s="41" t="n">
        <v>27</v>
      </c>
      <c r="I29" s="42" t="inlineStr">
        <is>
          <t>Unleveraged non EU AIF, investing in non-listed companies in order to acquire control (of an AIFM with quarterly obligation) marketed in the Union</t>
        </is>
      </c>
      <c r="J29" s="48" t="inlineStr">
        <is>
          <t>Yes</t>
        </is>
      </c>
      <c r="K29" s="44" t="inlineStr">
        <is>
          <t>No</t>
        </is>
      </c>
      <c r="L29" s="44" t="inlineStr">
        <is>
          <t>No</t>
        </is>
      </c>
      <c r="M29" s="44" t="inlineStr">
        <is>
          <t>Yes</t>
        </is>
      </c>
      <c r="N29" s="50" t="inlineStr">
        <is>
          <t>Yes/No</t>
        </is>
      </c>
      <c r="O29" s="46" t="inlineStr">
        <is>
          <t>Yearly</t>
        </is>
      </c>
      <c r="P29" s="47" t="inlineStr">
        <is>
          <t>24(1)+(2)</t>
        </is>
      </c>
    </row>
    <row r="30" hidden="1" ht="33.75" customHeight="1">
      <c r="B30" s="124" t="n">
        <v>1</v>
      </c>
      <c r="C30" s="125" t="n">
        <v>1</v>
      </c>
      <c r="E30" s="39" t="n">
        <v>5</v>
      </c>
      <c r="F30" s="40" t="inlineStr">
        <is>
          <t>Authorised AIFM with quarterly obligation</t>
        </is>
      </c>
      <c r="G30" s="291" t="n"/>
      <c r="H30" s="41" t="n">
        <v>28</v>
      </c>
      <c r="I30" s="42" t="inlineStr">
        <is>
          <t>Unleveraged non EU AIF, investing in non-listed companies in order to acquire control (of an AIFM with quarterly obligation) not marketed in the Union</t>
        </is>
      </c>
      <c r="J30" s="48" t="inlineStr">
        <is>
          <t>Yes</t>
        </is>
      </c>
      <c r="K30" s="49" t="inlineStr">
        <is>
          <t>No</t>
        </is>
      </c>
      <c r="L30" s="44" t="inlineStr">
        <is>
          <t>No</t>
        </is>
      </c>
      <c r="M30" s="44" t="inlineStr">
        <is>
          <t>No</t>
        </is>
      </c>
      <c r="N30" s="50" t="inlineStr">
        <is>
          <t>Yes/No</t>
        </is>
      </c>
      <c r="O30" s="46" t="inlineStr">
        <is>
          <t>Yearly</t>
        </is>
      </c>
      <c r="P30" s="47" t="inlineStr">
        <is>
          <t>24(1)</t>
        </is>
      </c>
    </row>
    <row r="31" hidden="1" ht="22.5" customHeight="1">
      <c r="B31" s="124" t="n">
        <v>1</v>
      </c>
      <c r="C31" s="125" t="n">
        <v>4</v>
      </c>
      <c r="E31" s="39" t="n">
        <v>5</v>
      </c>
      <c r="F31" s="40" t="inlineStr">
        <is>
          <t>Authorised AIFM with quarterly obligation</t>
        </is>
      </c>
      <c r="G31" s="291" t="n"/>
      <c r="H31" s="41" t="n">
        <v>29</v>
      </c>
      <c r="I31" s="42" t="inlineStr">
        <is>
          <t>Leveraged EU AIF (of an AIFM with quarterly obligation)</t>
        </is>
      </c>
      <c r="J31" s="43" t="inlineStr">
        <is>
          <t>No</t>
        </is>
      </c>
      <c r="K31" s="44" t="inlineStr">
        <is>
          <t>Yes</t>
        </is>
      </c>
      <c r="L31" s="44" t="inlineStr">
        <is>
          <t>Yes</t>
        </is>
      </c>
      <c r="M31" s="44" t="inlineStr">
        <is>
          <t>Yes/No</t>
        </is>
      </c>
      <c r="N31" s="50" t="inlineStr">
        <is>
          <t>Yes/No</t>
        </is>
      </c>
      <c r="O31" s="46" t="inlineStr">
        <is>
          <t>Quarterly</t>
        </is>
      </c>
      <c r="P31" s="47" t="inlineStr">
        <is>
          <t>24(1)+(2)+(4)</t>
        </is>
      </c>
    </row>
    <row r="32" hidden="1" ht="22.5" customHeight="1">
      <c r="B32" s="124" t="n">
        <v>1</v>
      </c>
      <c r="C32" s="125" t="n">
        <v>4</v>
      </c>
      <c r="E32" s="39" t="n">
        <v>5</v>
      </c>
      <c r="F32" s="40" t="inlineStr">
        <is>
          <t>Authorised AIFM with quarterly obligation</t>
        </is>
      </c>
      <c r="G32" s="291" t="n"/>
      <c r="H32" s="41" t="n">
        <v>30</v>
      </c>
      <c r="I32" s="42" t="inlineStr">
        <is>
          <t>Leveraged non EU AIF (of an AIFM with quarterly obligation) marketed in the Union</t>
        </is>
      </c>
      <c r="J32" s="43" t="inlineStr">
        <is>
          <t>No</t>
        </is>
      </c>
      <c r="K32" s="44" t="inlineStr">
        <is>
          <t>Yes</t>
        </is>
      </c>
      <c r="L32" s="44" t="inlineStr">
        <is>
          <t>No</t>
        </is>
      </c>
      <c r="M32" s="44" t="inlineStr">
        <is>
          <t>Yes</t>
        </is>
      </c>
      <c r="N32" s="50" t="inlineStr">
        <is>
          <t>Yes/No</t>
        </is>
      </c>
      <c r="O32" s="46" t="inlineStr">
        <is>
          <t>Quarterly</t>
        </is>
      </c>
      <c r="P32" s="47" t="inlineStr">
        <is>
          <t>24(1)+(2)+(4)</t>
        </is>
      </c>
    </row>
    <row r="33" hidden="1" ht="22.5" customHeight="1">
      <c r="B33" s="124" t="n">
        <v>1</v>
      </c>
      <c r="C33" s="125" t="n">
        <v>5</v>
      </c>
      <c r="E33" s="39" t="n">
        <v>5</v>
      </c>
      <c r="F33" s="40" t="inlineStr">
        <is>
          <t>Authorised AIFM with quarterly obligation</t>
        </is>
      </c>
      <c r="G33" s="291" t="n"/>
      <c r="H33" s="41" t="n">
        <v>31</v>
      </c>
      <c r="I33" s="42" t="inlineStr">
        <is>
          <t>Leveraged non EU AIF (of an AIFM with quarterly obligation), not marketed in the Union</t>
        </is>
      </c>
      <c r="J33" s="43" t="inlineStr">
        <is>
          <t>No</t>
        </is>
      </c>
      <c r="K33" s="44" t="inlineStr">
        <is>
          <t>Yes</t>
        </is>
      </c>
      <c r="L33" s="44" t="inlineStr">
        <is>
          <t>No</t>
        </is>
      </c>
      <c r="M33" s="44" t="inlineStr">
        <is>
          <t>No</t>
        </is>
      </c>
      <c r="N33" s="50" t="inlineStr">
        <is>
          <t>Yes/No</t>
        </is>
      </c>
      <c r="O33" s="46" t="inlineStr">
        <is>
          <t>Quarterly</t>
        </is>
      </c>
      <c r="P33" s="47" t="inlineStr">
        <is>
          <t>24(1)+(4)</t>
        </is>
      </c>
    </row>
    <row r="34" hidden="1">
      <c r="B34" s="124" t="n">
        <v>1</v>
      </c>
      <c r="C34" s="125" t="n">
        <v>2</v>
      </c>
      <c r="E34" s="39" t="n">
        <v>5</v>
      </c>
      <c r="F34" s="40" t="inlineStr">
        <is>
          <t>Authorised AIFM with quarterly obligation</t>
        </is>
      </c>
      <c r="G34" s="291" t="n"/>
      <c r="H34" s="41" t="n">
        <v>32</v>
      </c>
      <c r="I34" s="42" t="inlineStr">
        <is>
          <t>Unleveraged EU AIF (of an AIFM with quarterly obligation)</t>
        </is>
      </c>
      <c r="J34" s="48" t="inlineStr">
        <is>
          <t>No</t>
        </is>
      </c>
      <c r="K34" s="44" t="inlineStr">
        <is>
          <t>No</t>
        </is>
      </c>
      <c r="L34" s="44" t="inlineStr">
        <is>
          <t>Yes</t>
        </is>
      </c>
      <c r="M34" s="44" t="inlineStr">
        <is>
          <t>Yes/No</t>
        </is>
      </c>
      <c r="N34" s="50" t="inlineStr">
        <is>
          <t>Yes/No</t>
        </is>
      </c>
      <c r="O34" s="46" t="inlineStr">
        <is>
          <t>Quarterly</t>
        </is>
      </c>
      <c r="P34" s="47" t="inlineStr">
        <is>
          <t>24(1)+(2)</t>
        </is>
      </c>
    </row>
    <row r="35" hidden="1" ht="22.5" customHeight="1">
      <c r="B35" s="124" t="n">
        <v>1</v>
      </c>
      <c r="C35" s="125" t="n">
        <v>2</v>
      </c>
      <c r="E35" s="39" t="n">
        <v>5</v>
      </c>
      <c r="F35" s="40" t="inlineStr">
        <is>
          <t>Authorised AIFM with quarterly obligation</t>
        </is>
      </c>
      <c r="G35" s="291" t="n"/>
      <c r="H35" s="41" t="n">
        <v>33</v>
      </c>
      <c r="I35" s="42" t="inlineStr">
        <is>
          <t>Unleveraged non EU AIF (of an AIFM with quarterly obligation) marketed in the Union</t>
        </is>
      </c>
      <c r="J35" s="48" t="inlineStr">
        <is>
          <t>No</t>
        </is>
      </c>
      <c r="K35" s="44" t="inlineStr">
        <is>
          <t>No</t>
        </is>
      </c>
      <c r="L35" s="44" t="inlineStr">
        <is>
          <t>No</t>
        </is>
      </c>
      <c r="M35" s="44" t="inlineStr">
        <is>
          <t>Yes</t>
        </is>
      </c>
      <c r="N35" s="50" t="inlineStr">
        <is>
          <t>Yes/No</t>
        </is>
      </c>
      <c r="O35" s="46" t="inlineStr">
        <is>
          <t>Quarterly</t>
        </is>
      </c>
      <c r="P35" s="47" t="inlineStr">
        <is>
          <t>24(1)+(2)</t>
        </is>
      </c>
    </row>
    <row r="36" hidden="1" ht="22.5" customHeight="1">
      <c r="B36" s="124" t="n">
        <v>1</v>
      </c>
      <c r="C36" s="125" t="n">
        <v>1</v>
      </c>
      <c r="E36" s="39" t="n">
        <v>5</v>
      </c>
      <c r="F36" s="40" t="inlineStr">
        <is>
          <t>Authorised AIFM with quarterly obligation</t>
        </is>
      </c>
      <c r="G36" s="291" t="n"/>
      <c r="H36" s="41" t="n">
        <v>34</v>
      </c>
      <c r="I36" s="42" t="inlineStr">
        <is>
          <t>Unleveraged non EU AIF (of an AIFM with quarterly obligation), not marketed in the Union</t>
        </is>
      </c>
      <c r="J36" s="48" t="inlineStr">
        <is>
          <t>No</t>
        </is>
      </c>
      <c r="K36" s="44" t="inlineStr">
        <is>
          <t>No</t>
        </is>
      </c>
      <c r="L36" s="44" t="inlineStr">
        <is>
          <t>No</t>
        </is>
      </c>
      <c r="M36" s="44" t="inlineStr">
        <is>
          <t>No</t>
        </is>
      </c>
      <c r="N36" s="50" t="inlineStr">
        <is>
          <t>Yes/No</t>
        </is>
      </c>
      <c r="O36" s="46" t="inlineStr">
        <is>
          <t>Quarterly</t>
        </is>
      </c>
      <c r="P36" s="47" t="inlineStr">
        <is>
          <t>24(1)</t>
        </is>
      </c>
    </row>
    <row r="37" ht="22.5" customHeight="1">
      <c r="B37" s="124" t="n">
        <v>3</v>
      </c>
      <c r="C37" s="125" t="n">
        <v>4</v>
      </c>
      <c r="E37" s="39" t="n">
        <v>6</v>
      </c>
      <c r="F37" s="40" t="inlineStr">
        <is>
          <t>Non-EU AIFM under Private Placement Regime with annual obligation</t>
        </is>
      </c>
      <c r="G37" s="291" t="n"/>
      <c r="H37" s="41" t="n">
        <v>35</v>
      </c>
      <c r="I37" s="42" t="inlineStr">
        <is>
          <t>Leveraged AIF (of an AIFM under Private Placement Regime with yearly obligation) marketed in the Union</t>
        </is>
      </c>
      <c r="J37" s="43" t="inlineStr">
        <is>
          <t>No</t>
        </is>
      </c>
      <c r="K37" s="44" t="inlineStr">
        <is>
          <t>Yes</t>
        </is>
      </c>
      <c r="L37" s="44" t="inlineStr">
        <is>
          <t>No</t>
        </is>
      </c>
      <c r="M37" s="44" t="inlineStr">
        <is>
          <t>Yes</t>
        </is>
      </c>
      <c r="N37" s="45" t="inlineStr">
        <is>
          <t>No</t>
        </is>
      </c>
      <c r="O37" s="46" t="inlineStr">
        <is>
          <t>Yearly</t>
        </is>
      </c>
      <c r="P37" s="47" t="inlineStr">
        <is>
          <t>24(1)+(2)+(4)</t>
        </is>
      </c>
    </row>
    <row r="38" ht="22.5" customHeight="1">
      <c r="B38" s="124" t="n">
        <v>3</v>
      </c>
      <c r="C38" s="125" t="n">
        <v>2</v>
      </c>
      <c r="E38" s="39" t="n">
        <v>6</v>
      </c>
      <c r="F38" s="40" t="inlineStr">
        <is>
          <t>Non-EU AIFM under Private Placement Regime with annual obligation</t>
        </is>
      </c>
      <c r="G38" s="291" t="n"/>
      <c r="H38" s="41" t="n">
        <v>36</v>
      </c>
      <c r="I38" s="42" t="inlineStr">
        <is>
          <t>Unleveraged AIF (of an AIFM under Private Placement Regime with yearly obligation) marketed in the Union</t>
        </is>
      </c>
      <c r="J38" s="48" t="inlineStr">
        <is>
          <t>Yes/No</t>
        </is>
      </c>
      <c r="K38" s="49" t="inlineStr">
        <is>
          <t>No</t>
        </is>
      </c>
      <c r="L38" s="44" t="inlineStr">
        <is>
          <t>No</t>
        </is>
      </c>
      <c r="M38" s="44" t="inlineStr">
        <is>
          <t>Yes</t>
        </is>
      </c>
      <c r="N38" s="45" t="inlineStr">
        <is>
          <t>No</t>
        </is>
      </c>
      <c r="O38" s="46" t="inlineStr">
        <is>
          <t>Yearly</t>
        </is>
      </c>
      <c r="P38" s="47" t="inlineStr">
        <is>
          <t>24(1)+(2)</t>
        </is>
      </c>
    </row>
    <row r="39" ht="22.5" customHeight="1">
      <c r="B39" s="124" t="n">
        <v>3</v>
      </c>
      <c r="C39" s="128" t="inlineStr">
        <is>
          <t>N/A</t>
        </is>
      </c>
      <c r="E39" s="39" t="n">
        <v>6</v>
      </c>
      <c r="F39" s="40" t="inlineStr">
        <is>
          <t>Non-EU AIFM under Private Placement Regime with annual obligation</t>
        </is>
      </c>
      <c r="G39" s="291" t="n"/>
      <c r="H39" s="41">
        <f>""</f>
        <v/>
      </c>
      <c r="I39" s="42" t="inlineStr">
        <is>
          <t>AIF not marketed in the Member State</t>
        </is>
      </c>
      <c r="J39" s="48" t="inlineStr">
        <is>
          <t>Yes/No</t>
        </is>
      </c>
      <c r="K39" s="44" t="inlineStr">
        <is>
          <t>Yes/No</t>
        </is>
      </c>
      <c r="L39" s="44" t="inlineStr">
        <is>
          <t>Yes/No</t>
        </is>
      </c>
      <c r="M39" s="44" t="inlineStr">
        <is>
          <t>No</t>
        </is>
      </c>
      <c r="N39" s="51" t="inlineStr">
        <is>
          <t>Yes/No</t>
        </is>
      </c>
      <c r="O39" s="46" t="inlineStr">
        <is>
          <t>N/A</t>
        </is>
      </c>
      <c r="P39" s="47" t="inlineStr">
        <is>
          <t>N/A</t>
        </is>
      </c>
    </row>
    <row r="40" ht="33.75" customHeight="1">
      <c r="B40" s="124" t="n">
        <v>3</v>
      </c>
      <c r="C40" s="128" t="n">
        <v>2</v>
      </c>
      <c r="E40" s="39" t="n">
        <v>7</v>
      </c>
      <c r="F40" s="40" t="inlineStr">
        <is>
          <t>Non-EU AIFM under Private Placement Regime with only unleveraged AIFs investing in non-listed companies and issuers in order to acquire control</t>
        </is>
      </c>
      <c r="G40" s="291" t="n"/>
      <c r="H40" s="41" t="n">
        <v>37</v>
      </c>
      <c r="I40" s="42" t="inlineStr">
        <is>
          <t>Unleveraged AIF (of an AIFM under Private Placement Regime with only unleveraged AIFs investing in non-listed companies and issuers in order to acquire control) marketed in the Union</t>
        </is>
      </c>
      <c r="J40" s="43" t="inlineStr">
        <is>
          <t>Yes</t>
        </is>
      </c>
      <c r="K40" s="49" t="inlineStr">
        <is>
          <t>No</t>
        </is>
      </c>
      <c r="L40" s="44" t="inlineStr">
        <is>
          <t>No</t>
        </is>
      </c>
      <c r="M40" s="44" t="inlineStr">
        <is>
          <t>Yes</t>
        </is>
      </c>
      <c r="N40" s="50" t="inlineStr">
        <is>
          <t>Yes/No</t>
        </is>
      </c>
      <c r="O40" s="46" t="inlineStr">
        <is>
          <t>Yearly</t>
        </is>
      </c>
      <c r="P40" s="47" t="inlineStr">
        <is>
          <t>24(1)+(2)</t>
        </is>
      </c>
    </row>
    <row r="41" ht="33.75" customHeight="1">
      <c r="B41" s="124" t="n">
        <v>3</v>
      </c>
      <c r="C41" s="128" t="inlineStr">
        <is>
          <t>N/A</t>
        </is>
      </c>
      <c r="E41" s="39" t="n">
        <v>7</v>
      </c>
      <c r="F41" s="40" t="inlineStr">
        <is>
          <t>Non-EU AIFM under Private Placement Regime with only unleveraged AIFs investing in non-listed companies and issuers in order to acquire control</t>
        </is>
      </c>
      <c r="G41" s="291" t="n"/>
      <c r="H41" s="41">
        <f>""</f>
        <v/>
      </c>
      <c r="I41" s="42" t="inlineStr">
        <is>
          <t>AIF not marketed in the Member State</t>
        </is>
      </c>
      <c r="J41" s="48" t="inlineStr">
        <is>
          <t>Yes/No</t>
        </is>
      </c>
      <c r="K41" s="44" t="inlineStr">
        <is>
          <t>Yes/No</t>
        </is>
      </c>
      <c r="L41" s="44" t="inlineStr">
        <is>
          <t>Yes/No</t>
        </is>
      </c>
      <c r="M41" s="44" t="inlineStr">
        <is>
          <t>No</t>
        </is>
      </c>
      <c r="N41" s="51" t="inlineStr">
        <is>
          <t>Yes/No</t>
        </is>
      </c>
      <c r="O41" s="46" t="inlineStr">
        <is>
          <t>N/A</t>
        </is>
      </c>
      <c r="P41" s="47" t="inlineStr">
        <is>
          <t>N/A</t>
        </is>
      </c>
    </row>
    <row r="42" ht="22.5" customHeight="1">
      <c r="B42" s="124" t="n">
        <v>3</v>
      </c>
      <c r="C42" s="128" t="n">
        <v>4</v>
      </c>
      <c r="E42" s="39" t="n">
        <v>8</v>
      </c>
      <c r="F42" s="40" t="inlineStr">
        <is>
          <t>Non-EU AIFM under Private Placement Regime with half yearly obligation</t>
        </is>
      </c>
      <c r="G42" s="291" t="n"/>
      <c r="H42" s="41" t="n">
        <v>38</v>
      </c>
      <c r="I42" s="42" t="inlineStr">
        <is>
          <t>Under 500M Leveraged AIF (of an AIFM under Private Placement Regime with half yearly obligation) marketed in the union</t>
        </is>
      </c>
      <c r="J42" s="43" t="inlineStr">
        <is>
          <t>No</t>
        </is>
      </c>
      <c r="K42" s="44" t="inlineStr">
        <is>
          <t>Yes</t>
        </is>
      </c>
      <c r="L42" s="44" t="inlineStr">
        <is>
          <t>No</t>
        </is>
      </c>
      <c r="M42" s="44" t="inlineStr">
        <is>
          <t>Yes</t>
        </is>
      </c>
      <c r="N42" s="50" t="inlineStr">
        <is>
          <t>No</t>
        </is>
      </c>
      <c r="O42" s="46" t="inlineStr">
        <is>
          <t>Half yearly</t>
        </is>
      </c>
      <c r="P42" s="47" t="inlineStr">
        <is>
          <t>24(1)+(2)+(4)</t>
        </is>
      </c>
    </row>
    <row r="43" ht="22.5" customHeight="1">
      <c r="B43" s="124" t="n">
        <v>3</v>
      </c>
      <c r="C43" s="128" t="n">
        <v>2</v>
      </c>
      <c r="E43" s="39" t="n">
        <v>8</v>
      </c>
      <c r="F43" s="40" t="inlineStr">
        <is>
          <t>Non-EU AIFM under Private Placement Regime with half yearly obligation</t>
        </is>
      </c>
      <c r="G43" s="291" t="n"/>
      <c r="H43" s="41" t="n">
        <v>39</v>
      </c>
      <c r="I43" s="42" t="inlineStr">
        <is>
          <t>Under 500M Unleveraged AIF (of an AIFM under Private Placement Regime with half yearly obligation) marketed in the union</t>
        </is>
      </c>
      <c r="J43" s="48" t="inlineStr">
        <is>
          <t>No</t>
        </is>
      </c>
      <c r="K43" s="44" t="inlineStr">
        <is>
          <t>No</t>
        </is>
      </c>
      <c r="L43" s="44" t="inlineStr">
        <is>
          <t>No</t>
        </is>
      </c>
      <c r="M43" s="44" t="inlineStr">
        <is>
          <t>Yes</t>
        </is>
      </c>
      <c r="N43" s="50" t="inlineStr">
        <is>
          <t>No</t>
        </is>
      </c>
      <c r="O43" s="46" t="inlineStr">
        <is>
          <t>Half yearly</t>
        </is>
      </c>
      <c r="P43" s="47" t="inlineStr">
        <is>
          <t>24(1)+(2)</t>
        </is>
      </c>
    </row>
    <row r="44" ht="33.75" customHeight="1">
      <c r="B44" s="124" t="n">
        <v>3</v>
      </c>
      <c r="C44" s="128" t="n">
        <v>2</v>
      </c>
      <c r="E44" s="39" t="n">
        <v>8</v>
      </c>
      <c r="F44" s="40" t="inlineStr">
        <is>
          <t>Non-EU AIFM under Private Placement Regime with half yearly obligation</t>
        </is>
      </c>
      <c r="G44" s="291" t="n"/>
      <c r="H44" s="41" t="n">
        <v>40</v>
      </c>
      <c r="I44" s="42" t="inlineStr">
        <is>
          <t>Unleveraged AIF, investing in non-listed companies in order to acquire control (of an AIFM under Private Placement Regime with half yearly obligation) marketed in the Union</t>
        </is>
      </c>
      <c r="J44" s="48" t="inlineStr">
        <is>
          <t>Yes</t>
        </is>
      </c>
      <c r="K44" s="49" t="inlineStr">
        <is>
          <t>No</t>
        </is>
      </c>
      <c r="L44" s="44" t="inlineStr">
        <is>
          <t>No</t>
        </is>
      </c>
      <c r="M44" s="44" t="inlineStr">
        <is>
          <t>Yes</t>
        </is>
      </c>
      <c r="N44" s="50" t="inlineStr">
        <is>
          <t>Yes/No</t>
        </is>
      </c>
      <c r="O44" s="46" t="inlineStr">
        <is>
          <t>Yearly</t>
        </is>
      </c>
      <c r="P44" s="47" t="inlineStr">
        <is>
          <t>24(1)+(2)</t>
        </is>
      </c>
    </row>
    <row r="45" ht="22.5" customHeight="1">
      <c r="B45" s="124" t="n">
        <v>3</v>
      </c>
      <c r="C45" s="128" t="n">
        <v>4</v>
      </c>
      <c r="E45" s="39" t="n">
        <v>8</v>
      </c>
      <c r="F45" s="40" t="inlineStr">
        <is>
          <t>Non-EU AIFM under Private Placement Regime with half yearly obligation</t>
        </is>
      </c>
      <c r="G45" s="291" t="n"/>
      <c r="H45" s="41" t="n">
        <v>41</v>
      </c>
      <c r="I45" s="42" t="inlineStr">
        <is>
          <t>Over 500M Leveraged AIF (of an AIFM under Private Placement Regime with half yearly obligation) marketed in the union</t>
        </is>
      </c>
      <c r="J45" s="43" t="inlineStr">
        <is>
          <t>No</t>
        </is>
      </c>
      <c r="K45" s="44" t="inlineStr">
        <is>
          <t>Yes</t>
        </is>
      </c>
      <c r="L45" s="44" t="inlineStr">
        <is>
          <t>No</t>
        </is>
      </c>
      <c r="M45" s="44" t="inlineStr">
        <is>
          <t>Yes</t>
        </is>
      </c>
      <c r="N45" s="50" t="inlineStr">
        <is>
          <t>Yes</t>
        </is>
      </c>
      <c r="O45" s="46" t="inlineStr">
        <is>
          <t>Quarterly</t>
        </is>
      </c>
      <c r="P45" s="47" t="inlineStr">
        <is>
          <t>24(1)+(2)+(4)</t>
        </is>
      </c>
    </row>
    <row r="46" ht="22.5" customHeight="1">
      <c r="B46" s="124" t="n">
        <v>3</v>
      </c>
      <c r="C46" s="128" t="n">
        <v>2</v>
      </c>
      <c r="E46" s="39" t="n">
        <v>8</v>
      </c>
      <c r="F46" s="40" t="inlineStr">
        <is>
          <t>Non-EU AIFM under Private Placement Regime with half yearly obligation</t>
        </is>
      </c>
      <c r="G46" s="291" t="n"/>
      <c r="H46" s="41" t="n">
        <v>42</v>
      </c>
      <c r="I46" s="42" t="inlineStr">
        <is>
          <t>Over 500M Unleveraged AIF (of an AIFM under Private Placement Regime with half yearly obligation) marketed in the union</t>
        </is>
      </c>
      <c r="J46" s="48" t="inlineStr">
        <is>
          <t>No</t>
        </is>
      </c>
      <c r="K46" s="44" t="inlineStr">
        <is>
          <t>No</t>
        </is>
      </c>
      <c r="L46" s="44" t="inlineStr">
        <is>
          <t>No</t>
        </is>
      </c>
      <c r="M46" s="44" t="inlineStr">
        <is>
          <t>Yes</t>
        </is>
      </c>
      <c r="N46" s="50" t="inlineStr">
        <is>
          <t>Yes</t>
        </is>
      </c>
      <c r="O46" s="46" t="inlineStr">
        <is>
          <t>Quarterly</t>
        </is>
      </c>
      <c r="P46" s="47" t="inlineStr">
        <is>
          <t>24(1)+(2)</t>
        </is>
      </c>
    </row>
    <row r="47" ht="22.5" customHeight="1">
      <c r="B47" s="124" t="n">
        <v>3</v>
      </c>
      <c r="C47" s="128" t="inlineStr">
        <is>
          <t>N/A</t>
        </is>
      </c>
      <c r="E47" s="39" t="n">
        <v>8</v>
      </c>
      <c r="F47" s="40" t="inlineStr">
        <is>
          <t>Non-EU AIFM under Private Placement Regime with half yearly obligation</t>
        </is>
      </c>
      <c r="G47" s="291" t="n"/>
      <c r="H47" s="41">
        <f>""</f>
        <v/>
      </c>
      <c r="I47" s="42" t="inlineStr">
        <is>
          <t>AIF not marketed in the Member State</t>
        </is>
      </c>
      <c r="J47" s="48" t="inlineStr">
        <is>
          <t>Yes/No</t>
        </is>
      </c>
      <c r="K47" s="44" t="inlineStr">
        <is>
          <t>Yes/No</t>
        </is>
      </c>
      <c r="L47" s="44" t="inlineStr">
        <is>
          <t>Yes/No</t>
        </is>
      </c>
      <c r="M47" s="44" t="inlineStr">
        <is>
          <t>No</t>
        </is>
      </c>
      <c r="N47" s="51" t="inlineStr">
        <is>
          <t>Yes/No</t>
        </is>
      </c>
      <c r="O47" s="46" t="inlineStr">
        <is>
          <t>N/A</t>
        </is>
      </c>
      <c r="P47" s="47" t="inlineStr">
        <is>
          <t>N/A</t>
        </is>
      </c>
    </row>
    <row r="48" ht="33.75" customHeight="1">
      <c r="B48" s="124" t="n">
        <v>3</v>
      </c>
      <c r="C48" s="128" t="n">
        <v>2</v>
      </c>
      <c r="E48" s="39" t="n">
        <v>9</v>
      </c>
      <c r="F48" s="40" t="inlineStr">
        <is>
          <t>Non-EU AIFM under Private Placement Regime with quarterly obligation</t>
        </is>
      </c>
      <c r="G48" s="291" t="n"/>
      <c r="H48" s="41" t="n">
        <v>43</v>
      </c>
      <c r="I48" s="42" t="inlineStr">
        <is>
          <t>Unleveraged AIF, investing in non-listed companies in order to acquire control (of an AIFM under Private Placement Regime with quarterly obligation) marketed in the Union</t>
        </is>
      </c>
      <c r="J48" s="48" t="inlineStr">
        <is>
          <t>Yes</t>
        </is>
      </c>
      <c r="K48" s="49" t="inlineStr">
        <is>
          <t>No</t>
        </is>
      </c>
      <c r="L48" s="44" t="inlineStr">
        <is>
          <t>No</t>
        </is>
      </c>
      <c r="M48" s="44" t="inlineStr">
        <is>
          <t>Yes</t>
        </is>
      </c>
      <c r="N48" s="50" t="inlineStr">
        <is>
          <t>Yes/No</t>
        </is>
      </c>
      <c r="O48" s="46" t="inlineStr">
        <is>
          <t>Yearly</t>
        </is>
      </c>
      <c r="P48" s="47" t="inlineStr">
        <is>
          <t>24(1)+(2)</t>
        </is>
      </c>
    </row>
    <row r="49" ht="22.5" customHeight="1">
      <c r="B49" s="124" t="n">
        <v>3</v>
      </c>
      <c r="C49" s="128" t="n">
        <v>4</v>
      </c>
      <c r="E49" s="39" t="n">
        <v>9</v>
      </c>
      <c r="F49" s="40" t="inlineStr">
        <is>
          <t>Non-EU AIFM under Private Placement Regime with quarterly obligation</t>
        </is>
      </c>
      <c r="G49" s="291" t="n"/>
      <c r="H49" s="41" t="n">
        <v>44</v>
      </c>
      <c r="I49" s="42" t="inlineStr">
        <is>
          <t>Leveraged AIF (of an AIFM under Private Placement Regime with quarterly obligation) marketed in the Union</t>
        </is>
      </c>
      <c r="J49" s="43" t="inlineStr">
        <is>
          <t>No</t>
        </is>
      </c>
      <c r="K49" s="44" t="inlineStr">
        <is>
          <t>Yes</t>
        </is>
      </c>
      <c r="L49" s="44" t="inlineStr">
        <is>
          <t>No</t>
        </is>
      </c>
      <c r="M49" s="44" t="inlineStr">
        <is>
          <t>Yes</t>
        </is>
      </c>
      <c r="N49" s="50" t="inlineStr">
        <is>
          <t>Yes/No</t>
        </is>
      </c>
      <c r="O49" s="46" t="inlineStr">
        <is>
          <t>Quarterly</t>
        </is>
      </c>
      <c r="P49" s="47" t="inlineStr">
        <is>
          <t>24(1)+(2)+(4)</t>
        </is>
      </c>
    </row>
    <row r="50" ht="22.5" customHeight="1">
      <c r="B50" s="124" t="n">
        <v>3</v>
      </c>
      <c r="C50" s="128" t="n">
        <v>2</v>
      </c>
      <c r="E50" s="39" t="n">
        <v>9</v>
      </c>
      <c r="F50" s="40" t="inlineStr">
        <is>
          <t>Non-EU AIFM under Private Placement Regime with quarterly obligation</t>
        </is>
      </c>
      <c r="G50" s="291" t="n"/>
      <c r="H50" s="41" t="n">
        <v>45</v>
      </c>
      <c r="I50" s="42" t="inlineStr">
        <is>
          <t>Unleveraged AIF (of an AIFM under Private Placement Regime with quarterly obligation) marketed in the Union</t>
        </is>
      </c>
      <c r="J50" s="48" t="inlineStr">
        <is>
          <t>No</t>
        </is>
      </c>
      <c r="K50" s="44" t="inlineStr">
        <is>
          <t>No</t>
        </is>
      </c>
      <c r="L50" s="44" t="inlineStr">
        <is>
          <t>No</t>
        </is>
      </c>
      <c r="M50" s="44" t="inlineStr">
        <is>
          <t>Yes</t>
        </is>
      </c>
      <c r="N50" s="50" t="inlineStr">
        <is>
          <t>Yes/No</t>
        </is>
      </c>
      <c r="O50" s="46" t="inlineStr">
        <is>
          <t>Quarterly</t>
        </is>
      </c>
      <c r="P50" s="47" t="inlineStr">
        <is>
          <t>24(1)+(2)</t>
        </is>
      </c>
    </row>
    <row r="51" ht="23.25" customHeight="1" thickBot="1">
      <c r="B51" s="126" t="n">
        <v>3</v>
      </c>
      <c r="C51" s="129" t="inlineStr">
        <is>
          <t>N/A</t>
        </is>
      </c>
      <c r="E51" s="52" t="n">
        <v>9</v>
      </c>
      <c r="F51" s="53" t="inlineStr">
        <is>
          <t>Non-EU AIFM under Private Placement Regime with quarterly obligation</t>
        </is>
      </c>
      <c r="G51" s="292" t="n"/>
      <c r="H51" s="54">
        <f>""</f>
        <v/>
      </c>
      <c r="I51" s="55" t="inlineStr">
        <is>
          <t>AIF not marketed in the Member State</t>
        </is>
      </c>
      <c r="J51" s="56" t="inlineStr">
        <is>
          <t>Yes/No</t>
        </is>
      </c>
      <c r="K51" s="57" t="inlineStr">
        <is>
          <t>Yes/No</t>
        </is>
      </c>
      <c r="L51" s="57" t="inlineStr">
        <is>
          <t>Yes/No</t>
        </is>
      </c>
      <c r="M51" s="57" t="inlineStr">
        <is>
          <t>No</t>
        </is>
      </c>
      <c r="N51" s="58" t="inlineStr">
        <is>
          <t>Yes/No</t>
        </is>
      </c>
      <c r="O51" s="59" t="inlineStr">
        <is>
          <t>N/A</t>
        </is>
      </c>
      <c r="P51" s="60" t="inlineStr">
        <is>
          <t>N/A</t>
        </is>
      </c>
    </row>
  </sheetData>
  <autoFilter ref="B2:P51">
    <filterColumn colId="0" hiddenButton="0" showButton="1">
      <filters>
        <filter val="3"/>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5.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68" activePane="bottomRight" state="frozen"/>
      <selection activeCell="C20" sqref="C20"/>
      <selection pane="topRight" activeCell="C20" sqref="C20"/>
      <selection pane="bottomLeft" activeCell="C20" sqref="C20"/>
      <selection pane="bottomRight" activeCell="H100" sqref="H100"/>
    </sheetView>
  </sheetViews>
  <sheetFormatPr baseColWidth="10" defaultColWidth="9.140625" defaultRowHeight="11.25"/>
  <cols>
    <col width="1.5703125" customWidth="1" style="13" min="1" max="1"/>
    <col width="9.140625" customWidth="1" style="79" min="2" max="2"/>
    <col width="2" customWidth="1" style="13" min="3" max="3"/>
    <col width="15.42578125" customWidth="1" style="13" min="4" max="4"/>
    <col width="47.42578125" customWidth="1" style="13" min="5" max="5"/>
    <col width="17.5703125" customWidth="1" style="13" min="6" max="6"/>
    <col width="43.42578125" customWidth="1" style="13" min="7" max="7"/>
    <col width="20.85546875" bestFit="1" customWidth="1" style="13" min="8" max="8"/>
    <col width="68.140625" customWidth="1" style="13" min="9" max="9"/>
    <col width="14.85546875" bestFit="1" customWidth="1" style="13" min="10" max="11"/>
    <col width="33.140625" bestFit="1" customWidth="1" style="13" min="12" max="12"/>
    <col width="13.140625" bestFit="1" customWidth="1" style="13" min="13" max="14"/>
    <col width="9.140625" customWidth="1" style="13" min="15" max="15"/>
    <col width="69.85546875" customWidth="1" style="13" min="16" max="16"/>
    <col width="9.140625" customWidth="1" style="13" min="17" max="16384"/>
  </cols>
  <sheetData>
    <row r="1">
      <c r="A1" s="13" t="inlineStr">
        <is>
          <t>#</t>
        </is>
      </c>
      <c r="B1" s="74" t="inlineStr">
        <is>
          <t>FILTER</t>
        </is>
      </c>
      <c r="D1" s="270" t="inlineStr">
        <is>
          <t>Annex II Table</t>
        </is>
      </c>
      <c r="E1" s="293" t="n"/>
      <c r="F1" s="293" t="n"/>
      <c r="G1" s="293" t="n"/>
      <c r="H1" s="293" t="n"/>
      <c r="I1" s="294" t="n"/>
    </row>
    <row r="2">
      <c r="B2" s="76" t="inlineStr">
        <is>
          <t>table 1</t>
        </is>
      </c>
      <c r="D2" s="272" t="inlineStr">
        <is>
          <t>Macro asset type</t>
        </is>
      </c>
      <c r="E2" s="295" t="n"/>
      <c r="F2" s="296" t="inlineStr">
        <is>
          <t>Asset type</t>
        </is>
      </c>
      <c r="G2" s="297" t="n"/>
      <c r="H2" s="298" t="inlineStr">
        <is>
          <t>Sub-Asset Type for Positions</t>
        </is>
      </c>
      <c r="I2" s="297" t="n"/>
    </row>
    <row r="3" ht="45" customHeight="1">
      <c r="B3" s="76" t="inlineStr">
        <is>
          <t>table 1</t>
        </is>
      </c>
      <c r="D3" s="140" t="inlineStr">
        <is>
          <t>Code</t>
        </is>
      </c>
      <c r="E3" s="140" t="inlineStr">
        <is>
          <t>Label</t>
        </is>
      </c>
      <c r="F3" s="140" t="inlineStr">
        <is>
          <t>Code</t>
        </is>
      </c>
      <c r="G3" s="140" t="inlineStr">
        <is>
          <t>Label</t>
        </is>
      </c>
      <c r="H3" s="140" t="inlineStr">
        <is>
          <t>Code
POSITION (field 65)
POSITION_COMPACT (field 65)
POSITION_EXTERNAL (field 65)</t>
        </is>
      </c>
      <c r="I3" s="140" t="inlineStr">
        <is>
          <t>Label</t>
        </is>
      </c>
    </row>
    <row r="4">
      <c r="B4" s="76" t="inlineStr">
        <is>
          <t>table 1</t>
        </is>
      </c>
      <c r="D4" s="68" t="inlineStr">
        <is>
          <t>SEC</t>
        </is>
      </c>
      <c r="E4" s="68" t="inlineStr">
        <is>
          <t>Securities</t>
        </is>
      </c>
      <c r="F4" s="68" t="inlineStr">
        <is>
          <t>SEC_CSH</t>
        </is>
      </c>
      <c r="G4" s="70" t="inlineStr">
        <is>
          <t>Cash and cash equivalent</t>
        </is>
      </c>
      <c r="H4" s="70" t="inlineStr">
        <is>
          <t>SEC_CSH_CODP</t>
        </is>
      </c>
      <c r="I4" s="68" t="inlineStr">
        <is>
          <t>Certificates of deposit</t>
        </is>
      </c>
    </row>
    <row r="5">
      <c r="B5" s="76" t="inlineStr">
        <is>
          <t>table 1</t>
        </is>
      </c>
      <c r="D5" s="68" t="inlineStr">
        <is>
          <t>SEC</t>
        </is>
      </c>
      <c r="E5" s="68" t="inlineStr">
        <is>
          <t>Securities</t>
        </is>
      </c>
      <c r="F5" s="68" t="inlineStr">
        <is>
          <t>SEC_CSH</t>
        </is>
      </c>
      <c r="G5" s="70" t="inlineStr">
        <is>
          <t>Cash and cash equivalent</t>
        </is>
      </c>
      <c r="H5" s="70" t="inlineStr">
        <is>
          <t>SEC_CSH_COMP</t>
        </is>
      </c>
      <c r="I5" s="68" t="inlineStr">
        <is>
          <t>Commercial papers</t>
        </is>
      </c>
    </row>
    <row r="6">
      <c r="B6" s="76" t="inlineStr">
        <is>
          <t>table 1</t>
        </is>
      </c>
      <c r="D6" s="68" t="inlineStr">
        <is>
          <t>SEC</t>
        </is>
      </c>
      <c r="E6" s="68" t="inlineStr">
        <is>
          <t>Securities</t>
        </is>
      </c>
      <c r="F6" s="68" t="inlineStr">
        <is>
          <t>SEC_CSH</t>
        </is>
      </c>
      <c r="G6" s="70" t="inlineStr">
        <is>
          <t>Cash and cash equivalent</t>
        </is>
      </c>
      <c r="H6" s="70" t="inlineStr">
        <is>
          <t>SEC_CSH_OTHD</t>
        </is>
      </c>
      <c r="I6" s="68" t="inlineStr">
        <is>
          <t>Other deposits</t>
        </is>
      </c>
    </row>
    <row r="7">
      <c r="B7" s="76" t="inlineStr">
        <is>
          <t>table 1</t>
        </is>
      </c>
      <c r="D7" s="68" t="inlineStr">
        <is>
          <t>SEC</t>
        </is>
      </c>
      <c r="E7" s="68" t="inlineStr">
        <is>
          <t>Securities</t>
        </is>
      </c>
      <c r="F7" s="68" t="inlineStr">
        <is>
          <t>SEC_CSH</t>
        </is>
      </c>
      <c r="G7" s="70" t="inlineStr">
        <is>
          <t>Cash and cash equivalent</t>
        </is>
      </c>
      <c r="H7" s="70" t="inlineStr">
        <is>
          <t>SEC_CSH_OTHC</t>
        </is>
      </c>
      <c r="I7" s="68" t="inlineStr">
        <is>
          <t>Other cash and cash equivalents (excluding government securities)</t>
        </is>
      </c>
    </row>
    <row r="8">
      <c r="B8" s="76" t="inlineStr">
        <is>
          <t>table 1</t>
        </is>
      </c>
      <c r="D8" s="68" t="inlineStr">
        <is>
          <t>SEC</t>
        </is>
      </c>
      <c r="E8" s="68" t="inlineStr">
        <is>
          <t>Securities</t>
        </is>
      </c>
      <c r="F8" s="68" t="inlineStr">
        <is>
          <t>SEC_LEQ</t>
        </is>
      </c>
      <c r="G8" s="69" t="inlineStr">
        <is>
          <t>Listed equities</t>
        </is>
      </c>
      <c r="H8" s="70" t="inlineStr">
        <is>
          <t>SEC_LEQ_IFIN</t>
        </is>
      </c>
      <c r="I8" s="68" t="inlineStr">
        <is>
          <t>Listed equities issued by financial institutions</t>
        </is>
      </c>
    </row>
    <row r="9">
      <c r="B9" s="76" t="inlineStr">
        <is>
          <t>table 1</t>
        </is>
      </c>
      <c r="D9" s="68" t="inlineStr">
        <is>
          <t>SEC</t>
        </is>
      </c>
      <c r="E9" s="68" t="inlineStr">
        <is>
          <t>Securities</t>
        </is>
      </c>
      <c r="F9" s="68" t="inlineStr">
        <is>
          <t>SEC_LEQ</t>
        </is>
      </c>
      <c r="G9" s="69" t="inlineStr">
        <is>
          <t>Listed equities</t>
        </is>
      </c>
      <c r="H9" s="70" t="inlineStr">
        <is>
          <t>SEC_LEQ_OTHR</t>
        </is>
      </c>
      <c r="I9" s="69" t="inlineStr">
        <is>
          <t>Other listed equity</t>
        </is>
      </c>
    </row>
    <row r="10">
      <c r="B10" s="76" t="inlineStr">
        <is>
          <t>table 1</t>
        </is>
      </c>
      <c r="D10" s="68" t="inlineStr">
        <is>
          <t>SEC</t>
        </is>
      </c>
      <c r="E10" s="68" t="inlineStr">
        <is>
          <t>Securities</t>
        </is>
      </c>
      <c r="F10" s="68" t="inlineStr">
        <is>
          <t>SEC_UEQ</t>
        </is>
      </c>
      <c r="G10" s="69" t="inlineStr">
        <is>
          <t>Unlisted equities</t>
        </is>
      </c>
      <c r="H10" s="70" t="inlineStr">
        <is>
          <t>SEC_UEQ_UEQY</t>
        </is>
      </c>
      <c r="I10" s="69" t="inlineStr">
        <is>
          <t>Unlisted equities</t>
        </is>
      </c>
    </row>
    <row r="11">
      <c r="B11" s="76" t="inlineStr">
        <is>
          <t>table 1</t>
        </is>
      </c>
      <c r="D11" s="68" t="inlineStr">
        <is>
          <t>SEC</t>
        </is>
      </c>
      <c r="E11" s="68" t="inlineStr">
        <is>
          <t>Securities</t>
        </is>
      </c>
      <c r="F11" s="68" t="inlineStr">
        <is>
          <t>SEC_CPN</t>
        </is>
      </c>
      <c r="G11" s="69" t="inlineStr">
        <is>
          <t>Corporate bonds not issued by financial institutions</t>
        </is>
      </c>
      <c r="H11" s="70" t="inlineStr">
        <is>
          <t>SEC_CPN_INVG</t>
        </is>
      </c>
      <c r="I11" s="68" t="inlineStr">
        <is>
          <t>Corporate bonds not issued by financial institutions-Investment grade</t>
        </is>
      </c>
    </row>
    <row r="12">
      <c r="B12" s="76" t="inlineStr">
        <is>
          <t>table 1</t>
        </is>
      </c>
      <c r="D12" s="68" t="inlineStr">
        <is>
          <t>SEC</t>
        </is>
      </c>
      <c r="E12" s="68" t="inlineStr">
        <is>
          <t>Securities</t>
        </is>
      </c>
      <c r="F12" s="68" t="inlineStr">
        <is>
          <t>SEC_CPN</t>
        </is>
      </c>
      <c r="G12" s="69" t="inlineStr">
        <is>
          <t>Corporate bonds not issued by financial institutions</t>
        </is>
      </c>
      <c r="H12" s="70" t="inlineStr">
        <is>
          <t>SEC_CPN_NIVG</t>
        </is>
      </c>
      <c r="I12" s="68" t="inlineStr">
        <is>
          <t>Corporate bonds not issued by financial institutions-Non-investment grade</t>
        </is>
      </c>
    </row>
    <row r="13">
      <c r="B13" s="76" t="inlineStr">
        <is>
          <t>table 1</t>
        </is>
      </c>
      <c r="D13" s="68" t="inlineStr">
        <is>
          <t>SEC</t>
        </is>
      </c>
      <c r="E13" s="68" t="inlineStr">
        <is>
          <t>Securities</t>
        </is>
      </c>
      <c r="F13" s="68" t="inlineStr">
        <is>
          <t>SEC_CPI</t>
        </is>
      </c>
      <c r="G13" s="69" t="inlineStr">
        <is>
          <t>Corporate bonds issued by financial institutions</t>
        </is>
      </c>
      <c r="H13" s="70" t="inlineStr">
        <is>
          <t>SEC_CPI_INVG</t>
        </is>
      </c>
      <c r="I13" s="68" t="inlineStr">
        <is>
          <t>Corporate bonds issued by financial institutions-Investment grade</t>
        </is>
      </c>
    </row>
    <row r="14">
      <c r="B14" s="76" t="inlineStr">
        <is>
          <t>table 1</t>
        </is>
      </c>
      <c r="D14" s="68" t="inlineStr">
        <is>
          <t>SEC</t>
        </is>
      </c>
      <c r="E14" s="68" t="inlineStr">
        <is>
          <t>Securities</t>
        </is>
      </c>
      <c r="F14" s="68" t="inlineStr">
        <is>
          <t>SEC_CPI</t>
        </is>
      </c>
      <c r="G14" s="69" t="inlineStr">
        <is>
          <t>Corporate bonds issued by financial institutions</t>
        </is>
      </c>
      <c r="H14" s="70" t="inlineStr">
        <is>
          <t>SEC_CPI_NIVG</t>
        </is>
      </c>
      <c r="I14" s="68" t="inlineStr">
        <is>
          <t>Corporate bonds issued by financial institutions-Non-investment grade</t>
        </is>
      </c>
    </row>
    <row r="15">
      <c r="B15" s="76" t="inlineStr">
        <is>
          <t>table 1</t>
        </is>
      </c>
      <c r="D15" s="68" t="inlineStr">
        <is>
          <t>SEC</t>
        </is>
      </c>
      <c r="E15" s="68" t="inlineStr">
        <is>
          <t>Securities</t>
        </is>
      </c>
      <c r="F15" s="68" t="inlineStr">
        <is>
          <t>SEC_SBD</t>
        </is>
      </c>
      <c r="G15" s="70" t="inlineStr">
        <is>
          <t>Sovereign bonds</t>
        </is>
      </c>
      <c r="H15" s="70" t="inlineStr">
        <is>
          <t>SEC_SBD_EUBY</t>
        </is>
      </c>
      <c r="I15" s="70" t="inlineStr">
        <is>
          <t>EU bonds with a 0-1 year term to maturity - Can only be used when reporting to an EU/EEA country.</t>
        </is>
      </c>
    </row>
    <row r="16">
      <c r="B16" s="76" t="inlineStr">
        <is>
          <t>table 1</t>
        </is>
      </c>
      <c r="D16" s="68" t="inlineStr">
        <is>
          <t>SEC</t>
        </is>
      </c>
      <c r="E16" s="68" t="inlineStr">
        <is>
          <t>Securities</t>
        </is>
      </c>
      <c r="F16" s="68" t="inlineStr">
        <is>
          <t>SEC_SBD</t>
        </is>
      </c>
      <c r="G16" s="70" t="inlineStr">
        <is>
          <t>Sovereign bonds</t>
        </is>
      </c>
      <c r="H16" s="70" t="inlineStr">
        <is>
          <t>SEC_SBD_EUBM</t>
        </is>
      </c>
      <c r="I16" s="70" t="inlineStr">
        <is>
          <t>EU bonds with a 1+ year term to maturity - Can only be used when reporting to an EU/EEA country.</t>
        </is>
      </c>
    </row>
    <row r="17">
      <c r="B17" s="76" t="inlineStr">
        <is>
          <t>table 1</t>
        </is>
      </c>
      <c r="D17" s="68" t="inlineStr">
        <is>
          <t>SEC</t>
        </is>
      </c>
      <c r="E17" s="68" t="inlineStr">
        <is>
          <t>Securities</t>
        </is>
      </c>
      <c r="F17" s="68" t="inlineStr">
        <is>
          <t>SEC_SBD</t>
        </is>
      </c>
      <c r="G17" s="70" t="inlineStr">
        <is>
          <t>Sovereign bonds</t>
        </is>
      </c>
      <c r="H17" s="70" t="inlineStr">
        <is>
          <t>SEC_SBD_UKBY</t>
        </is>
      </c>
      <c r="I17" s="70" t="inlineStr">
        <is>
          <t>UK bonds with a 0-1 year term to maturity - Only relevant when reporting to the UK.</t>
        </is>
      </c>
    </row>
    <row r="18">
      <c r="B18" s="76" t="inlineStr">
        <is>
          <t>table 1</t>
        </is>
      </c>
      <c r="D18" s="68" t="inlineStr">
        <is>
          <t>SEC</t>
        </is>
      </c>
      <c r="E18" s="68" t="inlineStr">
        <is>
          <t>Securities</t>
        </is>
      </c>
      <c r="F18" s="68" t="inlineStr">
        <is>
          <t>SEC_SBD</t>
        </is>
      </c>
      <c r="G18" s="70" t="inlineStr">
        <is>
          <t>Sovereign bonds</t>
        </is>
      </c>
      <c r="H18" s="70" t="inlineStr">
        <is>
          <t>SEC_SBD_UKBM</t>
        </is>
      </c>
      <c r="I18" s="70" t="inlineStr">
        <is>
          <t>UK bonds with a 1+ year term to maturity - Only relevant  when reporting to the UK.</t>
        </is>
      </c>
    </row>
    <row r="19">
      <c r="B19" s="76" t="inlineStr">
        <is>
          <t>table 1</t>
        </is>
      </c>
      <c r="D19" s="68" t="inlineStr">
        <is>
          <t>SEC</t>
        </is>
      </c>
      <c r="E19" s="68" t="inlineStr">
        <is>
          <t>Securities</t>
        </is>
      </c>
      <c r="F19" s="68" t="inlineStr">
        <is>
          <t>SEC_SBD</t>
        </is>
      </c>
      <c r="G19" s="70" t="inlineStr">
        <is>
          <t>Sovereign bonds</t>
        </is>
      </c>
      <c r="H19" s="70" t="inlineStr">
        <is>
          <t>SEC_SBD_NOGY</t>
        </is>
      </c>
      <c r="I19" s="70" t="inlineStr">
        <is>
          <t>Non-G10 bonds with a 0-1 year term to maturity</t>
        </is>
      </c>
    </row>
    <row r="20">
      <c r="B20" s="76" t="inlineStr">
        <is>
          <t>table 1</t>
        </is>
      </c>
      <c r="D20" s="68" t="inlineStr">
        <is>
          <t>SEC</t>
        </is>
      </c>
      <c r="E20" s="68" t="inlineStr">
        <is>
          <t>Securities</t>
        </is>
      </c>
      <c r="F20" s="68" t="inlineStr">
        <is>
          <t>SEC_SBD</t>
        </is>
      </c>
      <c r="G20" s="70" t="inlineStr">
        <is>
          <t>Sovereign bonds</t>
        </is>
      </c>
      <c r="H20" s="70" t="inlineStr">
        <is>
          <t>SEC_SBD_NOGM</t>
        </is>
      </c>
      <c r="I20" s="70" t="inlineStr">
        <is>
          <t>Non-G10 bonds with a 1+ year term to maturity</t>
        </is>
      </c>
    </row>
    <row r="21">
      <c r="B21" s="76" t="inlineStr">
        <is>
          <t>table 1</t>
        </is>
      </c>
      <c r="D21" s="68" t="inlineStr">
        <is>
          <t>SEC</t>
        </is>
      </c>
      <c r="E21" s="68" t="inlineStr">
        <is>
          <t>Securities</t>
        </is>
      </c>
      <c r="F21" s="68" t="inlineStr">
        <is>
          <t>SEC_SBD</t>
        </is>
      </c>
      <c r="G21" s="70" t="inlineStr">
        <is>
          <t>Sovereign bonds</t>
        </is>
      </c>
      <c r="H21" s="70" t="inlineStr">
        <is>
          <t>SEC_SBD_EUGY</t>
        </is>
      </c>
      <c r="I21" s="70" t="inlineStr">
        <is>
          <t>G10 non EU bonds with a 0-1 year term to maturity</t>
        </is>
      </c>
    </row>
    <row r="22">
      <c r="B22" s="76" t="inlineStr">
        <is>
          <t>table 1</t>
        </is>
      </c>
      <c r="D22" s="68" t="inlineStr">
        <is>
          <t>SEC</t>
        </is>
      </c>
      <c r="E22" s="68" t="inlineStr">
        <is>
          <t>Securities</t>
        </is>
      </c>
      <c r="F22" s="68" t="inlineStr">
        <is>
          <t>SEC_SBD</t>
        </is>
      </c>
      <c r="G22" s="70" t="inlineStr">
        <is>
          <t>Sovereign bonds</t>
        </is>
      </c>
      <c r="H22" s="70" t="inlineStr">
        <is>
          <t>SEC_SBD_EUGM</t>
        </is>
      </c>
      <c r="I22" s="70" t="inlineStr">
        <is>
          <t>G10 non EU bonds with a 1+ year term to maturity</t>
        </is>
      </c>
    </row>
    <row r="23">
      <c r="B23" s="76" t="inlineStr">
        <is>
          <t>table 1</t>
        </is>
      </c>
      <c r="D23" s="68" t="inlineStr">
        <is>
          <t>SEC</t>
        </is>
      </c>
      <c r="E23" s="68" t="inlineStr">
        <is>
          <t>Securities</t>
        </is>
      </c>
      <c r="F23" s="68" t="inlineStr">
        <is>
          <t>SEC_MBN</t>
        </is>
      </c>
      <c r="G23" s="70" t="inlineStr">
        <is>
          <t>Municipal bonds</t>
        </is>
      </c>
      <c r="H23" s="70" t="inlineStr">
        <is>
          <t>SEC_MBN_MNPL</t>
        </is>
      </c>
      <c r="I23" s="70" t="inlineStr">
        <is>
          <t>Municipal bonds</t>
        </is>
      </c>
    </row>
    <row r="24">
      <c r="B24" s="76" t="inlineStr">
        <is>
          <t>table 1</t>
        </is>
      </c>
      <c r="D24" s="68" t="inlineStr">
        <is>
          <t>SEC</t>
        </is>
      </c>
      <c r="E24" s="68" t="inlineStr">
        <is>
          <t>Securities</t>
        </is>
      </c>
      <c r="F24" s="68" t="inlineStr">
        <is>
          <t>SEC_CBN</t>
        </is>
      </c>
      <c r="G24" s="70" t="inlineStr">
        <is>
          <t>Convertible bonds not issued by financial institutions</t>
        </is>
      </c>
      <c r="H24" s="70" t="inlineStr">
        <is>
          <t>SEC_CBN_INVG</t>
        </is>
      </c>
      <c r="I24" s="69" t="inlineStr">
        <is>
          <t>Convertible bonds not issued by financial institutions-Investment grade</t>
        </is>
      </c>
    </row>
    <row r="25">
      <c r="B25" s="76" t="inlineStr">
        <is>
          <t>table 1</t>
        </is>
      </c>
      <c r="D25" s="68" t="inlineStr">
        <is>
          <t>SEC</t>
        </is>
      </c>
      <c r="E25" s="68" t="inlineStr">
        <is>
          <t>Securities</t>
        </is>
      </c>
      <c r="F25" s="68" t="inlineStr">
        <is>
          <t>SEC_CBN</t>
        </is>
      </c>
      <c r="G25" s="70" t="inlineStr">
        <is>
          <t>Convertible bonds not issued by financial institutions</t>
        </is>
      </c>
      <c r="H25" s="70" t="inlineStr">
        <is>
          <t>SEC_CBN_NIVG</t>
        </is>
      </c>
      <c r="I25" s="69" t="inlineStr">
        <is>
          <t>Convertible bonds not issued by financial institutionsNon-investment grade</t>
        </is>
      </c>
    </row>
    <row r="26">
      <c r="B26" s="76" t="inlineStr">
        <is>
          <t>table 1</t>
        </is>
      </c>
      <c r="D26" s="68" t="inlineStr">
        <is>
          <t>SEC</t>
        </is>
      </c>
      <c r="E26" s="68" t="inlineStr">
        <is>
          <t>Securities</t>
        </is>
      </c>
      <c r="F26" s="68" t="inlineStr">
        <is>
          <t>SEC_CBI</t>
        </is>
      </c>
      <c r="G26" s="70" t="inlineStr">
        <is>
          <t>Convertible bonds issued by financial institutions</t>
        </is>
      </c>
      <c r="H26" s="70" t="inlineStr">
        <is>
          <t>SEC_CBI_INVG</t>
        </is>
      </c>
      <c r="I26" s="69" t="inlineStr">
        <is>
          <t>Convertible bonds issued by financial institutionsInvestment grade</t>
        </is>
      </c>
    </row>
    <row r="27">
      <c r="B27" s="76" t="inlineStr">
        <is>
          <t>table 1</t>
        </is>
      </c>
      <c r="D27" s="68" t="inlineStr">
        <is>
          <t>SEC</t>
        </is>
      </c>
      <c r="E27" s="68" t="inlineStr">
        <is>
          <t>Securities</t>
        </is>
      </c>
      <c r="F27" s="68" t="inlineStr">
        <is>
          <t>SEC_CBI</t>
        </is>
      </c>
      <c r="G27" s="70" t="inlineStr">
        <is>
          <t>Convertible bonds issued by financial institutions</t>
        </is>
      </c>
      <c r="H27" s="70" t="inlineStr">
        <is>
          <t>SEC_CBI_NIVG</t>
        </is>
      </c>
      <c r="I27" s="69" t="inlineStr">
        <is>
          <t>Convertible bonds issued by financial institutions-Non-investment grade</t>
        </is>
      </c>
    </row>
    <row r="28">
      <c r="B28" s="76" t="inlineStr">
        <is>
          <t>table 1</t>
        </is>
      </c>
      <c r="D28" s="68" t="inlineStr">
        <is>
          <t>SEC</t>
        </is>
      </c>
      <c r="E28" s="68" t="inlineStr">
        <is>
          <t>Securities</t>
        </is>
      </c>
      <c r="F28" s="68" t="inlineStr">
        <is>
          <t>SEC_LON</t>
        </is>
      </c>
      <c r="G28" s="70" t="inlineStr">
        <is>
          <t>Loans</t>
        </is>
      </c>
      <c r="H28" s="70" t="inlineStr">
        <is>
          <t>SEC_LON_LEVL</t>
        </is>
      </c>
      <c r="I28" s="70" t="inlineStr">
        <is>
          <t>Leveraged loans</t>
        </is>
      </c>
    </row>
    <row r="29">
      <c r="B29" s="76" t="inlineStr">
        <is>
          <t>table 1</t>
        </is>
      </c>
      <c r="D29" s="68" t="inlineStr">
        <is>
          <t>SEC</t>
        </is>
      </c>
      <c r="E29" s="68" t="inlineStr">
        <is>
          <t>Securities</t>
        </is>
      </c>
      <c r="F29" s="68" t="inlineStr">
        <is>
          <t>SEC_LON</t>
        </is>
      </c>
      <c r="G29" s="70" t="inlineStr">
        <is>
          <t>Loans</t>
        </is>
      </c>
      <c r="H29" s="70" t="inlineStr">
        <is>
          <t>SEC_LON_OTHL</t>
        </is>
      </c>
      <c r="I29" s="70" t="inlineStr">
        <is>
          <t>Other loans</t>
        </is>
      </c>
    </row>
    <row r="30">
      <c r="B30" s="76" t="inlineStr">
        <is>
          <t>table 1</t>
        </is>
      </c>
      <c r="D30" s="68" t="inlineStr">
        <is>
          <t>SEC</t>
        </is>
      </c>
      <c r="E30" s="68" t="inlineStr">
        <is>
          <t>Securities</t>
        </is>
      </c>
      <c r="F30" s="68" t="inlineStr">
        <is>
          <t>SEC_SSP</t>
        </is>
      </c>
      <c r="G30" s="70" t="inlineStr">
        <is>
          <t>Structured/securitised products</t>
        </is>
      </c>
      <c r="H30" s="70" t="inlineStr">
        <is>
          <t>SEC_SSP_SABS</t>
        </is>
      </c>
      <c r="I30" s="70" t="inlineStr">
        <is>
          <t>ABS</t>
        </is>
      </c>
    </row>
    <row r="31">
      <c r="B31" s="76" t="inlineStr">
        <is>
          <t>table 1</t>
        </is>
      </c>
      <c r="D31" s="68" t="inlineStr">
        <is>
          <t>SEC</t>
        </is>
      </c>
      <c r="E31" s="68" t="inlineStr">
        <is>
          <t>Securities</t>
        </is>
      </c>
      <c r="F31" s="68" t="inlineStr">
        <is>
          <t>SEC_SSP</t>
        </is>
      </c>
      <c r="G31" s="70" t="inlineStr">
        <is>
          <t>Structured/securitised products</t>
        </is>
      </c>
      <c r="H31" s="70" t="inlineStr">
        <is>
          <t>SEC_SSP_RMBS</t>
        </is>
      </c>
      <c r="I31" s="70" t="inlineStr">
        <is>
          <t>RMBS</t>
        </is>
      </c>
    </row>
    <row r="32">
      <c r="B32" s="76" t="inlineStr">
        <is>
          <t>table 1</t>
        </is>
      </c>
      <c r="D32" s="68" t="inlineStr">
        <is>
          <t>SEC</t>
        </is>
      </c>
      <c r="E32" s="68" t="inlineStr">
        <is>
          <t>Securities</t>
        </is>
      </c>
      <c r="F32" s="68" t="inlineStr">
        <is>
          <t>SEC_SSP</t>
        </is>
      </c>
      <c r="G32" s="70" t="inlineStr">
        <is>
          <t>Structured/securitised products</t>
        </is>
      </c>
      <c r="H32" s="70" t="inlineStr">
        <is>
          <t>SEC_SSP_CMBS</t>
        </is>
      </c>
      <c r="I32" s="70" t="inlineStr">
        <is>
          <t>CMBS</t>
        </is>
      </c>
    </row>
    <row r="33">
      <c r="B33" s="76" t="inlineStr">
        <is>
          <t>table 1</t>
        </is>
      </c>
      <c r="D33" s="68" t="inlineStr">
        <is>
          <t>SEC</t>
        </is>
      </c>
      <c r="E33" s="68" t="inlineStr">
        <is>
          <t>Securities</t>
        </is>
      </c>
      <c r="F33" s="68" t="inlineStr">
        <is>
          <t>SEC_SSP</t>
        </is>
      </c>
      <c r="G33" s="70" t="inlineStr">
        <is>
          <t>Structured/securitised products</t>
        </is>
      </c>
      <c r="H33" s="70" t="inlineStr">
        <is>
          <t>SEC_SSP_AMBS</t>
        </is>
      </c>
      <c r="I33" s="70" t="inlineStr">
        <is>
          <t>Agency MBS</t>
        </is>
      </c>
    </row>
    <row r="34">
      <c r="B34" s="76" t="inlineStr">
        <is>
          <t>table 1</t>
        </is>
      </c>
      <c r="D34" s="68" t="inlineStr">
        <is>
          <t>SEC</t>
        </is>
      </c>
      <c r="E34" s="68" t="inlineStr">
        <is>
          <t>Securities</t>
        </is>
      </c>
      <c r="F34" s="68" t="inlineStr">
        <is>
          <t>SEC_SSP</t>
        </is>
      </c>
      <c r="G34" s="70" t="inlineStr">
        <is>
          <t>Structured/securitised products</t>
        </is>
      </c>
      <c r="H34" s="70" t="inlineStr">
        <is>
          <t>SEC_SSP_ABCP</t>
        </is>
      </c>
      <c r="I34" s="70" t="inlineStr">
        <is>
          <t xml:space="preserve">ABCP </t>
        </is>
      </c>
    </row>
    <row r="35">
      <c r="B35" s="76" t="inlineStr">
        <is>
          <t>table 1</t>
        </is>
      </c>
      <c r="D35" s="68" t="inlineStr">
        <is>
          <t>SEC</t>
        </is>
      </c>
      <c r="E35" s="68" t="inlineStr">
        <is>
          <t>Securities</t>
        </is>
      </c>
      <c r="F35" s="68" t="inlineStr">
        <is>
          <t>SEC_SSP</t>
        </is>
      </c>
      <c r="G35" s="70" t="inlineStr">
        <is>
          <t>Structured/securitised products</t>
        </is>
      </c>
      <c r="H35" s="70" t="inlineStr">
        <is>
          <t>SEC_SSP_CDOC</t>
        </is>
      </c>
      <c r="I35" s="70" t="inlineStr">
        <is>
          <t>CDO/CLO</t>
        </is>
      </c>
    </row>
    <row r="36">
      <c r="B36" s="76" t="inlineStr">
        <is>
          <t>table 1</t>
        </is>
      </c>
      <c r="D36" s="68" t="inlineStr">
        <is>
          <t>SEC</t>
        </is>
      </c>
      <c r="E36" s="68" t="inlineStr">
        <is>
          <t>Securities</t>
        </is>
      </c>
      <c r="F36" s="68" t="inlineStr">
        <is>
          <t>SEC_SSP</t>
        </is>
      </c>
      <c r="G36" s="70" t="inlineStr">
        <is>
          <t>Structured/securitised products</t>
        </is>
      </c>
      <c r="H36" s="70" t="inlineStr">
        <is>
          <t>SEC_SSP_STRC</t>
        </is>
      </c>
      <c r="I36" s="70" t="inlineStr">
        <is>
          <t>Structured certificates</t>
        </is>
      </c>
    </row>
    <row r="37">
      <c r="B37" s="76" t="inlineStr">
        <is>
          <t>table 1</t>
        </is>
      </c>
      <c r="D37" s="68" t="inlineStr">
        <is>
          <t>SEC</t>
        </is>
      </c>
      <c r="E37" s="68" t="inlineStr">
        <is>
          <t>Securities</t>
        </is>
      </c>
      <c r="F37" s="68" t="inlineStr">
        <is>
          <t>SEC_SSP</t>
        </is>
      </c>
      <c r="G37" s="70" t="inlineStr">
        <is>
          <t>Structured/securitised products</t>
        </is>
      </c>
      <c r="H37" s="70" t="inlineStr">
        <is>
          <t>SEC_SSP_SETP</t>
        </is>
      </c>
      <c r="I37" s="70" t="inlineStr">
        <is>
          <t>ETP</t>
        </is>
      </c>
    </row>
    <row r="38">
      <c r="B38" s="76" t="inlineStr">
        <is>
          <t>table 1</t>
        </is>
      </c>
      <c r="D38" s="68" t="inlineStr">
        <is>
          <t>SEC</t>
        </is>
      </c>
      <c r="E38" s="68" t="inlineStr">
        <is>
          <t>Securities</t>
        </is>
      </c>
      <c r="F38" s="68" t="inlineStr">
        <is>
          <t>SEC_SSP</t>
        </is>
      </c>
      <c r="G38" s="70" t="inlineStr">
        <is>
          <t>Structured/securitised products</t>
        </is>
      </c>
      <c r="H38" s="70" t="inlineStr">
        <is>
          <t>SEC_SSP_OTHS</t>
        </is>
      </c>
      <c r="I38" s="70" t="inlineStr">
        <is>
          <t>Other Structured/securitised products</t>
        </is>
      </c>
    </row>
    <row r="39">
      <c r="B39" s="76" t="inlineStr">
        <is>
          <t>table 1</t>
        </is>
      </c>
      <c r="D39" s="68" t="inlineStr">
        <is>
          <t>DER</t>
        </is>
      </c>
      <c r="E39" s="68" t="inlineStr">
        <is>
          <t>Derivatives</t>
        </is>
      </c>
      <c r="F39" s="68" t="inlineStr">
        <is>
          <t>DER_EQD</t>
        </is>
      </c>
      <c r="G39" s="70" t="inlineStr">
        <is>
          <t>Equity derivatives</t>
        </is>
      </c>
      <c r="H39" s="70" t="inlineStr">
        <is>
          <t>DER_EQD_FINI</t>
        </is>
      </c>
      <c r="I39" s="70" t="inlineStr">
        <is>
          <t>Equity derivatives related to financial institutions</t>
        </is>
      </c>
    </row>
    <row r="40">
      <c r="B40" s="76" t="inlineStr">
        <is>
          <t>table 1</t>
        </is>
      </c>
      <c r="D40" s="68" t="inlineStr">
        <is>
          <t>DER</t>
        </is>
      </c>
      <c r="E40" s="68" t="inlineStr">
        <is>
          <t>Derivatives</t>
        </is>
      </c>
      <c r="F40" s="68" t="inlineStr">
        <is>
          <t>DER_EQD</t>
        </is>
      </c>
      <c r="G40" s="70" t="inlineStr">
        <is>
          <t>Equity derivatives</t>
        </is>
      </c>
      <c r="H40" s="70" t="inlineStr">
        <is>
          <t>DER_EQD_OTHD</t>
        </is>
      </c>
      <c r="I40" s="70" t="inlineStr">
        <is>
          <t>Other equity derivatives</t>
        </is>
      </c>
    </row>
    <row r="41">
      <c r="B41" s="76" t="inlineStr">
        <is>
          <t>table 1</t>
        </is>
      </c>
      <c r="D41" s="68" t="inlineStr">
        <is>
          <t>DER</t>
        </is>
      </c>
      <c r="E41" s="68" t="inlineStr">
        <is>
          <t>Derivatives</t>
        </is>
      </c>
      <c r="F41" s="68" t="inlineStr">
        <is>
          <t>DER_FID</t>
        </is>
      </c>
      <c r="G41" s="70" t="inlineStr">
        <is>
          <t>Fixed income derivatives</t>
        </is>
      </c>
      <c r="H41" s="70" t="inlineStr">
        <is>
          <t>DER_FID_FIXI</t>
        </is>
      </c>
      <c r="I41" s="70" t="inlineStr">
        <is>
          <t>Fixed income derivatives</t>
        </is>
      </c>
    </row>
    <row r="42">
      <c r="B42" s="76" t="inlineStr">
        <is>
          <t>table 1</t>
        </is>
      </c>
      <c r="D42" s="68" t="inlineStr">
        <is>
          <t>DER</t>
        </is>
      </c>
      <c r="E42" s="68" t="inlineStr">
        <is>
          <t>Derivatives</t>
        </is>
      </c>
      <c r="F42" s="68" t="inlineStr">
        <is>
          <t>DER_CDS</t>
        </is>
      </c>
      <c r="G42" s="70" t="inlineStr">
        <is>
          <t>CDS</t>
        </is>
      </c>
      <c r="H42" s="70" t="inlineStr">
        <is>
          <t>DER_CDS_SNFI</t>
        </is>
      </c>
      <c r="I42" s="70" t="inlineStr">
        <is>
          <t>Single name financial CDS</t>
        </is>
      </c>
    </row>
    <row r="43">
      <c r="B43" s="76" t="inlineStr">
        <is>
          <t>table 1</t>
        </is>
      </c>
      <c r="D43" s="68" t="inlineStr">
        <is>
          <t>DER</t>
        </is>
      </c>
      <c r="E43" s="68" t="inlineStr">
        <is>
          <t>Derivatives</t>
        </is>
      </c>
      <c r="F43" s="68" t="inlineStr">
        <is>
          <t>DER_CDS</t>
        </is>
      </c>
      <c r="G43" s="70" t="inlineStr">
        <is>
          <t>CDS</t>
        </is>
      </c>
      <c r="H43" s="70" t="inlineStr">
        <is>
          <t>DER_CDS_SNSO</t>
        </is>
      </c>
      <c r="I43" s="70" t="inlineStr">
        <is>
          <t>Single name sovereign CDS</t>
        </is>
      </c>
    </row>
    <row r="44">
      <c r="B44" s="76" t="inlineStr">
        <is>
          <t>table 1</t>
        </is>
      </c>
      <c r="D44" s="68" t="inlineStr">
        <is>
          <t>DER</t>
        </is>
      </c>
      <c r="E44" s="68" t="inlineStr">
        <is>
          <t>Derivatives</t>
        </is>
      </c>
      <c r="F44" s="68" t="inlineStr">
        <is>
          <t>DER_CDS</t>
        </is>
      </c>
      <c r="G44" s="70" t="inlineStr">
        <is>
          <t>CDS</t>
        </is>
      </c>
      <c r="H44" s="70" t="inlineStr">
        <is>
          <t>DER_CDS_SNOT</t>
        </is>
      </c>
      <c r="I44" s="70" t="inlineStr">
        <is>
          <t>Single name other CDS</t>
        </is>
      </c>
    </row>
    <row r="45">
      <c r="B45" s="76" t="inlineStr">
        <is>
          <t>table 1</t>
        </is>
      </c>
      <c r="D45" s="68" t="inlineStr">
        <is>
          <t>DER</t>
        </is>
      </c>
      <c r="E45" s="68" t="inlineStr">
        <is>
          <t>Derivatives</t>
        </is>
      </c>
      <c r="F45" s="68" t="inlineStr">
        <is>
          <t>DER_CDS</t>
        </is>
      </c>
      <c r="G45" s="70" t="inlineStr">
        <is>
          <t>CDS</t>
        </is>
      </c>
      <c r="H45" s="70" t="inlineStr">
        <is>
          <t>DER_CDS_INDX</t>
        </is>
      </c>
      <c r="I45" s="70" t="inlineStr">
        <is>
          <t>Index CDS</t>
        </is>
      </c>
    </row>
    <row r="46">
      <c r="B46" s="76" t="inlineStr">
        <is>
          <t>table 1</t>
        </is>
      </c>
      <c r="D46" s="68" t="inlineStr">
        <is>
          <t>DER</t>
        </is>
      </c>
      <c r="E46" s="68" t="inlineStr">
        <is>
          <t>Derivatives</t>
        </is>
      </c>
      <c r="F46" s="68" t="inlineStr">
        <is>
          <t>DER_CDS</t>
        </is>
      </c>
      <c r="G46" s="70" t="inlineStr">
        <is>
          <t>CDS</t>
        </is>
      </c>
      <c r="H46" s="70" t="inlineStr">
        <is>
          <t>DER_CDS_EXOT</t>
        </is>
      </c>
      <c r="I46" s="70" t="inlineStr">
        <is>
          <t>Exotic (incl. credit default tranche)</t>
        </is>
      </c>
    </row>
    <row r="47">
      <c r="B47" s="76" t="inlineStr">
        <is>
          <t>table 1</t>
        </is>
      </c>
      <c r="D47" s="68" t="inlineStr">
        <is>
          <t>DER</t>
        </is>
      </c>
      <c r="E47" s="68" t="inlineStr">
        <is>
          <t>Derivatives</t>
        </is>
      </c>
      <c r="F47" s="68" t="inlineStr">
        <is>
          <t>DER_CDS</t>
        </is>
      </c>
      <c r="G47" s="70" t="inlineStr">
        <is>
          <t>CDS</t>
        </is>
      </c>
      <c r="H47" s="70" t="inlineStr">
        <is>
          <t>DER_CDS_OTHR</t>
        </is>
      </c>
      <c r="I47" s="70" t="inlineStr">
        <is>
          <t>Other CDS</t>
        </is>
      </c>
    </row>
    <row r="48">
      <c r="B48" s="76" t="inlineStr">
        <is>
          <t>table 1</t>
        </is>
      </c>
      <c r="D48" s="68" t="inlineStr">
        <is>
          <t>DER</t>
        </is>
      </c>
      <c r="E48" s="68" t="inlineStr">
        <is>
          <t>Derivatives</t>
        </is>
      </c>
      <c r="F48" s="68" t="inlineStr">
        <is>
          <t>DER_FEX</t>
        </is>
      </c>
      <c r="G48" s="70" t="inlineStr">
        <is>
          <t>Foreign exchange</t>
        </is>
      </c>
      <c r="H48" s="70" t="inlineStr">
        <is>
          <t>DER_FEX_INVT</t>
        </is>
      </c>
      <c r="I48" s="70" t="inlineStr">
        <is>
          <t>Foreign exchange (for investment purposes)</t>
        </is>
      </c>
    </row>
    <row r="49">
      <c r="B49" s="76" t="inlineStr">
        <is>
          <t>table 1</t>
        </is>
      </c>
      <c r="D49" s="68" t="inlineStr">
        <is>
          <t>DER</t>
        </is>
      </c>
      <c r="E49" s="68" t="inlineStr">
        <is>
          <t>Derivatives</t>
        </is>
      </c>
      <c r="F49" s="68" t="inlineStr">
        <is>
          <t>DER_FEX</t>
        </is>
      </c>
      <c r="G49" s="70" t="inlineStr">
        <is>
          <t>Foreign exchange</t>
        </is>
      </c>
      <c r="H49" s="70" t="inlineStr">
        <is>
          <t>DER_FEX_HEDG</t>
        </is>
      </c>
      <c r="I49" s="70" t="inlineStr">
        <is>
          <t>Foreign exchange (for hedging purposes)</t>
        </is>
      </c>
    </row>
    <row r="50">
      <c r="B50" s="76" t="inlineStr">
        <is>
          <t>table 1</t>
        </is>
      </c>
      <c r="D50" s="68" t="inlineStr">
        <is>
          <t>DER</t>
        </is>
      </c>
      <c r="E50" s="68" t="inlineStr">
        <is>
          <t>Derivatives</t>
        </is>
      </c>
      <c r="F50" s="68" t="inlineStr">
        <is>
          <t>DER_IRD</t>
        </is>
      </c>
      <c r="G50" s="70" t="inlineStr">
        <is>
          <t>Interest rate derivatives</t>
        </is>
      </c>
      <c r="H50" s="70" t="inlineStr">
        <is>
          <t>DER_IRD_INTR</t>
        </is>
      </c>
      <c r="I50" s="70" t="inlineStr">
        <is>
          <t>Interest rate derivatives</t>
        </is>
      </c>
    </row>
    <row r="51">
      <c r="B51" s="76" t="inlineStr">
        <is>
          <t>table 1</t>
        </is>
      </c>
      <c r="D51" s="68" t="inlineStr">
        <is>
          <t>DER</t>
        </is>
      </c>
      <c r="E51" s="68" t="inlineStr">
        <is>
          <t>Derivatives</t>
        </is>
      </c>
      <c r="F51" s="68" t="inlineStr">
        <is>
          <t>DER_CTY</t>
        </is>
      </c>
      <c r="G51" s="70" t="inlineStr">
        <is>
          <t>Commodity derivatives</t>
        </is>
      </c>
      <c r="H51" s="70" t="inlineStr">
        <is>
          <t>DER_CTY_ECOL</t>
        </is>
      </c>
      <c r="I51" s="70" t="inlineStr">
        <is>
          <t>Energy/Crude oil</t>
        </is>
      </c>
    </row>
    <row r="52">
      <c r="B52" s="76" t="inlineStr">
        <is>
          <t>table 1</t>
        </is>
      </c>
      <c r="D52" s="68" t="inlineStr">
        <is>
          <t>DER</t>
        </is>
      </c>
      <c r="E52" s="68" t="inlineStr">
        <is>
          <t>Derivatives</t>
        </is>
      </c>
      <c r="F52" s="68" t="inlineStr">
        <is>
          <t>DER_CTY</t>
        </is>
      </c>
      <c r="G52" s="70" t="inlineStr">
        <is>
          <t>Commodity derivatives</t>
        </is>
      </c>
      <c r="H52" s="70" t="inlineStr">
        <is>
          <t>DER_CTY_ENNG</t>
        </is>
      </c>
      <c r="I52" s="70" t="inlineStr">
        <is>
          <t>Energy/Natural gas</t>
        </is>
      </c>
    </row>
    <row r="53">
      <c r="B53" s="76" t="inlineStr">
        <is>
          <t>table 1</t>
        </is>
      </c>
      <c r="D53" s="68" t="inlineStr">
        <is>
          <t>DER</t>
        </is>
      </c>
      <c r="E53" s="68" t="inlineStr">
        <is>
          <t>Derivatives</t>
        </is>
      </c>
      <c r="F53" s="68" t="inlineStr">
        <is>
          <t>DER_CTY</t>
        </is>
      </c>
      <c r="G53" s="70" t="inlineStr">
        <is>
          <t>Commodity derivatives</t>
        </is>
      </c>
      <c r="H53" s="70" t="inlineStr">
        <is>
          <t>DER_CTY_ENPW</t>
        </is>
      </c>
      <c r="I53" s="70" t="inlineStr">
        <is>
          <t>Energy/Power</t>
        </is>
      </c>
    </row>
    <row r="54">
      <c r="B54" s="76" t="inlineStr">
        <is>
          <t>table 1</t>
        </is>
      </c>
      <c r="D54" s="68" t="inlineStr">
        <is>
          <t>DER</t>
        </is>
      </c>
      <c r="E54" s="68" t="inlineStr">
        <is>
          <t>Derivatives</t>
        </is>
      </c>
      <c r="F54" s="68" t="inlineStr">
        <is>
          <t>DER_CTY</t>
        </is>
      </c>
      <c r="G54" s="70" t="inlineStr">
        <is>
          <t>Commodity derivatives</t>
        </is>
      </c>
      <c r="H54" s="70" t="inlineStr">
        <is>
          <t>DER_CTY_ENOT</t>
        </is>
      </c>
      <c r="I54" s="70" t="inlineStr">
        <is>
          <t>Energy/Other</t>
        </is>
      </c>
    </row>
    <row r="55">
      <c r="B55" s="76" t="inlineStr">
        <is>
          <t>table 1</t>
        </is>
      </c>
      <c r="D55" s="68" t="inlineStr">
        <is>
          <t>DER</t>
        </is>
      </c>
      <c r="E55" s="68" t="inlineStr">
        <is>
          <t>Derivatives</t>
        </is>
      </c>
      <c r="F55" s="68" t="inlineStr">
        <is>
          <t>DER_CTY</t>
        </is>
      </c>
      <c r="G55" s="70" t="inlineStr">
        <is>
          <t>Commodity derivatives</t>
        </is>
      </c>
      <c r="H55" s="70" t="inlineStr">
        <is>
          <t>DER_CTY_PMGD</t>
        </is>
      </c>
      <c r="I55" s="68" t="inlineStr">
        <is>
          <t xml:space="preserve">Precious metals/Gold </t>
        </is>
      </c>
    </row>
    <row r="56">
      <c r="B56" s="76" t="inlineStr">
        <is>
          <t>table 1</t>
        </is>
      </c>
      <c r="D56" s="68" t="inlineStr">
        <is>
          <t>DER</t>
        </is>
      </c>
      <c r="E56" s="68" t="inlineStr">
        <is>
          <t>Derivatives</t>
        </is>
      </c>
      <c r="F56" s="68" t="inlineStr">
        <is>
          <t>DER_CTY</t>
        </is>
      </c>
      <c r="G56" s="70" t="inlineStr">
        <is>
          <t>Commodity derivatives</t>
        </is>
      </c>
      <c r="H56" s="70" t="inlineStr">
        <is>
          <t>DER_CTY_PMOT</t>
        </is>
      </c>
      <c r="I56" s="68" t="inlineStr">
        <is>
          <t xml:space="preserve">Precious metals/Other </t>
        </is>
      </c>
    </row>
    <row r="57">
      <c r="B57" s="76" t="inlineStr">
        <is>
          <t>table 1</t>
        </is>
      </c>
      <c r="D57" s="68" t="inlineStr">
        <is>
          <t>DER</t>
        </is>
      </c>
      <c r="E57" s="68" t="inlineStr">
        <is>
          <t>Derivatives</t>
        </is>
      </c>
      <c r="F57" s="68" t="inlineStr">
        <is>
          <t>DER_CTY</t>
        </is>
      </c>
      <c r="G57" s="70" t="inlineStr">
        <is>
          <t>Commodity derivatives</t>
        </is>
      </c>
      <c r="H57" s="70" t="inlineStr">
        <is>
          <t>DER_CTY_OTIM</t>
        </is>
      </c>
      <c r="I57" s="70" t="inlineStr">
        <is>
          <t>Other commodities/Industrial metals</t>
        </is>
      </c>
    </row>
    <row r="58">
      <c r="B58" s="76" t="inlineStr">
        <is>
          <t>table 1</t>
        </is>
      </c>
      <c r="D58" s="68" t="inlineStr">
        <is>
          <t>DER</t>
        </is>
      </c>
      <c r="E58" s="68" t="inlineStr">
        <is>
          <t>Derivatives</t>
        </is>
      </c>
      <c r="F58" s="68" t="inlineStr">
        <is>
          <t>DER_CTY</t>
        </is>
      </c>
      <c r="G58" s="70" t="inlineStr">
        <is>
          <t>Commodity derivatives</t>
        </is>
      </c>
      <c r="H58" s="70" t="inlineStr">
        <is>
          <t>DER_CTY_OTLS</t>
        </is>
      </c>
      <c r="I58" s="70" t="inlineStr">
        <is>
          <t>Other commodities/Livestock</t>
        </is>
      </c>
    </row>
    <row r="59">
      <c r="B59" s="76" t="inlineStr">
        <is>
          <t>table 1</t>
        </is>
      </c>
      <c r="D59" s="68" t="inlineStr">
        <is>
          <t>DER</t>
        </is>
      </c>
      <c r="E59" s="68" t="inlineStr">
        <is>
          <t>Derivatives</t>
        </is>
      </c>
      <c r="F59" s="68" t="inlineStr">
        <is>
          <t>DER_CTY</t>
        </is>
      </c>
      <c r="G59" s="70" t="inlineStr">
        <is>
          <t>Commodity derivatives</t>
        </is>
      </c>
      <c r="H59" s="70" t="inlineStr">
        <is>
          <t>DER_CTY_OTAP</t>
        </is>
      </c>
      <c r="I59" s="70" t="inlineStr">
        <is>
          <t>Other commodities/Agricultural products</t>
        </is>
      </c>
    </row>
    <row r="60">
      <c r="B60" s="76" t="inlineStr">
        <is>
          <t>table 1</t>
        </is>
      </c>
      <c r="D60" s="68" t="inlineStr">
        <is>
          <t>DER</t>
        </is>
      </c>
      <c r="E60" s="68" t="inlineStr">
        <is>
          <t>Derivatives</t>
        </is>
      </c>
      <c r="F60" s="68" t="inlineStr">
        <is>
          <t>DER_CTY</t>
        </is>
      </c>
      <c r="G60" s="70" t="inlineStr">
        <is>
          <t>Commodity derivatives</t>
        </is>
      </c>
      <c r="H60" s="70" t="inlineStr">
        <is>
          <t>DER_CTY_OTHR</t>
        </is>
      </c>
      <c r="I60" s="70" t="inlineStr">
        <is>
          <t>Other commodities/Other</t>
        </is>
      </c>
    </row>
    <row r="61">
      <c r="B61" s="76" t="inlineStr">
        <is>
          <t>table 1</t>
        </is>
      </c>
      <c r="D61" s="68" t="inlineStr">
        <is>
          <t>DER</t>
        </is>
      </c>
      <c r="E61" s="68" t="inlineStr">
        <is>
          <t>Derivatives</t>
        </is>
      </c>
      <c r="F61" s="68" t="inlineStr">
        <is>
          <t>DER_OTH</t>
        </is>
      </c>
      <c r="G61" s="70" t="inlineStr">
        <is>
          <t>Other derivatives</t>
        </is>
      </c>
      <c r="H61" s="70" t="inlineStr">
        <is>
          <t>DER_OTH_OTHR</t>
        </is>
      </c>
      <c r="I61" s="70" t="inlineStr">
        <is>
          <t>Other derivatives</t>
        </is>
      </c>
    </row>
    <row r="62">
      <c r="B62" s="76" t="inlineStr">
        <is>
          <t>table 1</t>
        </is>
      </c>
      <c r="D62" s="68" t="inlineStr">
        <is>
          <t>PHY</t>
        </is>
      </c>
      <c r="E62" s="68" t="inlineStr">
        <is>
          <t>Physical (Real / Tangible Assets)</t>
        </is>
      </c>
      <c r="F62" s="68" t="inlineStr">
        <is>
          <t>PHY_RES</t>
        </is>
      </c>
      <c r="G62" s="68" t="inlineStr">
        <is>
          <t>Physical: real estate</t>
        </is>
      </c>
      <c r="H62" s="70" t="inlineStr">
        <is>
          <t>PHY_RES_RESL</t>
        </is>
      </c>
      <c r="I62" s="68" t="inlineStr">
        <is>
          <t>Residential real estate</t>
        </is>
      </c>
    </row>
    <row r="63">
      <c r="B63" s="76" t="inlineStr">
        <is>
          <t>table 1</t>
        </is>
      </c>
      <c r="D63" s="68" t="inlineStr">
        <is>
          <t>PHY</t>
        </is>
      </c>
      <c r="E63" s="68" t="inlineStr">
        <is>
          <t>Physical (Real / Tangible Assets)</t>
        </is>
      </c>
      <c r="F63" s="68" t="inlineStr">
        <is>
          <t>PHY_RES</t>
        </is>
      </c>
      <c r="G63" s="68" t="inlineStr">
        <is>
          <t>Physical: real estate</t>
        </is>
      </c>
      <c r="H63" s="70" t="inlineStr">
        <is>
          <t>PHY_RES_COML</t>
        </is>
      </c>
      <c r="I63" s="68" t="inlineStr">
        <is>
          <t>Commercial real estate</t>
        </is>
      </c>
    </row>
    <row r="64">
      <c r="B64" s="76" t="inlineStr">
        <is>
          <t>table 1</t>
        </is>
      </c>
      <c r="D64" s="68" t="inlineStr">
        <is>
          <t>PHY</t>
        </is>
      </c>
      <c r="E64" s="68" t="inlineStr">
        <is>
          <t>Physical (Real / Tangible Assets)</t>
        </is>
      </c>
      <c r="F64" s="68" t="inlineStr">
        <is>
          <t>PHY_RES</t>
        </is>
      </c>
      <c r="G64" s="68" t="inlineStr">
        <is>
          <t>Physical: real estate</t>
        </is>
      </c>
      <c r="H64" s="70" t="inlineStr">
        <is>
          <t>PHY_RES_OTHR</t>
        </is>
      </c>
      <c r="I64" s="68" t="inlineStr">
        <is>
          <t>Other real estate</t>
        </is>
      </c>
    </row>
    <row r="65">
      <c r="B65" s="76" t="inlineStr">
        <is>
          <t>table 1</t>
        </is>
      </c>
      <c r="D65" s="68" t="inlineStr">
        <is>
          <t>PHY</t>
        </is>
      </c>
      <c r="E65" s="68" t="inlineStr">
        <is>
          <t>Physical (Real / Tangible Assets)</t>
        </is>
      </c>
      <c r="F65" s="68" t="inlineStr">
        <is>
          <t>PHY_CTY</t>
        </is>
      </c>
      <c r="G65" s="68" t="inlineStr">
        <is>
          <t>Physical: Commodities</t>
        </is>
      </c>
      <c r="H65" s="70" t="inlineStr">
        <is>
          <t>PHY_CTY_PCTY</t>
        </is>
      </c>
      <c r="I65" s="68" t="inlineStr">
        <is>
          <t>Physical: Commodities</t>
        </is>
      </c>
    </row>
    <row r="66">
      <c r="B66" s="76" t="inlineStr">
        <is>
          <t>table 1</t>
        </is>
      </c>
      <c r="D66" s="68" t="inlineStr">
        <is>
          <t>PHY</t>
        </is>
      </c>
      <c r="E66" s="68" t="inlineStr">
        <is>
          <t>Physical (Real / Tangible Assets)</t>
        </is>
      </c>
      <c r="F66" s="68" t="inlineStr">
        <is>
          <t>PHY_TIM</t>
        </is>
      </c>
      <c r="G66" s="68" t="inlineStr">
        <is>
          <t>Physical: Timber</t>
        </is>
      </c>
      <c r="H66" s="70" t="inlineStr">
        <is>
          <t>PHY_TIM_PTIM</t>
        </is>
      </c>
      <c r="I66" s="68" t="inlineStr">
        <is>
          <t>Physical: Timber</t>
        </is>
      </c>
    </row>
    <row r="67">
      <c r="B67" s="76" t="inlineStr">
        <is>
          <t>table 1</t>
        </is>
      </c>
      <c r="D67" s="68" t="inlineStr">
        <is>
          <t>PHY</t>
        </is>
      </c>
      <c r="E67" s="68" t="inlineStr">
        <is>
          <t>Physical (Real / Tangible Assets)</t>
        </is>
      </c>
      <c r="F67" s="68" t="inlineStr">
        <is>
          <t>PHY_ART</t>
        </is>
      </c>
      <c r="G67" s="68" t="inlineStr">
        <is>
          <t>Physical: Art and collectables</t>
        </is>
      </c>
      <c r="H67" s="70" t="inlineStr">
        <is>
          <t>PHY_ART_PART</t>
        </is>
      </c>
      <c r="I67" s="68" t="inlineStr">
        <is>
          <t>Physical: Art and collectables</t>
        </is>
      </c>
    </row>
    <row r="68">
      <c r="B68" s="76" t="inlineStr">
        <is>
          <t>table 1</t>
        </is>
      </c>
      <c r="D68" s="68" t="inlineStr">
        <is>
          <t>PHY</t>
        </is>
      </c>
      <c r="E68" s="68" t="inlineStr">
        <is>
          <t>Physical (Real / Tangible Assets)</t>
        </is>
      </c>
      <c r="F68" s="68" t="inlineStr">
        <is>
          <t>PHY_TPT</t>
        </is>
      </c>
      <c r="G68" s="68" t="inlineStr">
        <is>
          <t>Physical: Transportation assets</t>
        </is>
      </c>
      <c r="H68" s="70" t="inlineStr">
        <is>
          <t>PHY_TPT_PTPT</t>
        </is>
      </c>
      <c r="I68" s="68" t="inlineStr">
        <is>
          <t>Physical: Transportation assets</t>
        </is>
      </c>
    </row>
    <row r="69">
      <c r="B69" s="76" t="inlineStr">
        <is>
          <t>table 1</t>
        </is>
      </c>
      <c r="D69" s="68" t="inlineStr">
        <is>
          <t>PHY</t>
        </is>
      </c>
      <c r="E69" s="68" t="inlineStr">
        <is>
          <t>Physical (Real / Tangible Assets)</t>
        </is>
      </c>
      <c r="F69" s="68" t="inlineStr">
        <is>
          <t>PHY_OTH</t>
        </is>
      </c>
      <c r="G69" s="68" t="inlineStr">
        <is>
          <t>Physical: Other</t>
        </is>
      </c>
      <c r="H69" s="70" t="inlineStr">
        <is>
          <t>PHY_OTH_OTHR</t>
        </is>
      </c>
      <c r="I69" s="68" t="inlineStr">
        <is>
          <t>Physical: Other</t>
        </is>
      </c>
    </row>
    <row r="70" ht="22.5" customHeight="1">
      <c r="B70" s="76" t="inlineStr">
        <is>
          <t>table 1</t>
        </is>
      </c>
      <c r="D70" s="68" t="inlineStr">
        <is>
          <t>CIU</t>
        </is>
      </c>
      <c r="E70" s="68" t="inlineStr">
        <is>
          <t>Collective Investment Undertakings</t>
        </is>
      </c>
      <c r="F70" s="68" t="inlineStr">
        <is>
          <t>CIU_OAM</t>
        </is>
      </c>
      <c r="G70" s="68" t="inlineStr">
        <is>
          <t>Investment in CIU operated/managed by the AIFM</t>
        </is>
      </c>
      <c r="H70" s="70" t="inlineStr">
        <is>
          <t>CIU_OAM_MMFC</t>
        </is>
      </c>
      <c r="I70" s="68" t="inlineStr">
        <is>
          <t>Investment in CIU operated/managed by the AIFM-Money Market Funds and cash management CIU</t>
        </is>
      </c>
    </row>
    <row r="71">
      <c r="B71" s="76" t="inlineStr">
        <is>
          <t>table 1</t>
        </is>
      </c>
      <c r="D71" s="68" t="inlineStr">
        <is>
          <t>CIU</t>
        </is>
      </c>
      <c r="E71" s="68" t="inlineStr">
        <is>
          <t>Collective Investment Undertakings</t>
        </is>
      </c>
      <c r="F71" s="68" t="inlineStr">
        <is>
          <t>CIU_OAM</t>
        </is>
      </c>
      <c r="G71" s="68" t="inlineStr">
        <is>
          <t>Investment in CIU operated/managed by the AIFM</t>
        </is>
      </c>
      <c r="H71" s="70" t="inlineStr">
        <is>
          <t>CIU_OAM_AETF</t>
        </is>
      </c>
      <c r="I71" s="68" t="inlineStr">
        <is>
          <t>Investment in CIU operated/managed by the AIFM-ETF</t>
        </is>
      </c>
    </row>
    <row r="72">
      <c r="B72" s="76" t="inlineStr">
        <is>
          <t>table 1</t>
        </is>
      </c>
      <c r="D72" s="68" t="inlineStr">
        <is>
          <t>CIU</t>
        </is>
      </c>
      <c r="E72" s="68" t="inlineStr">
        <is>
          <t>Collective Investment Undertakings</t>
        </is>
      </c>
      <c r="F72" s="68" t="inlineStr">
        <is>
          <t>CIU_OAM</t>
        </is>
      </c>
      <c r="G72" s="68" t="inlineStr">
        <is>
          <t>Investment in CIU operated/managed by the AIFM</t>
        </is>
      </c>
      <c r="H72" s="70" t="inlineStr">
        <is>
          <t>CIU_OAM_OTHR</t>
        </is>
      </c>
      <c r="I72" s="68" t="inlineStr">
        <is>
          <t>Investment in CIU operated/managed by the AIFM-Other CIU</t>
        </is>
      </c>
    </row>
    <row r="73" ht="22.5" customHeight="1">
      <c r="B73" s="76" t="inlineStr">
        <is>
          <t>table 1</t>
        </is>
      </c>
      <c r="D73" s="68" t="inlineStr">
        <is>
          <t>CIU</t>
        </is>
      </c>
      <c r="E73" s="68" t="inlineStr">
        <is>
          <t>Collective Investment Undertakings</t>
        </is>
      </c>
      <c r="F73" s="68" t="inlineStr">
        <is>
          <t>CIU_NAM</t>
        </is>
      </c>
      <c r="G73" s="68" t="inlineStr">
        <is>
          <t>Investment in CIU not operated/managed by the AIFM</t>
        </is>
      </c>
      <c r="H73" s="70" t="inlineStr">
        <is>
          <t>CIU_NAM_MMFC</t>
        </is>
      </c>
      <c r="I73" s="68" t="inlineStr">
        <is>
          <t>Investment in CIU not operated/managed by the AIFM-Money Market Funds and cash management CIU</t>
        </is>
      </c>
    </row>
    <row r="74">
      <c r="B74" s="76" t="inlineStr">
        <is>
          <t>table 1</t>
        </is>
      </c>
      <c r="D74" s="68" t="inlineStr">
        <is>
          <t>CIU</t>
        </is>
      </c>
      <c r="E74" s="68" t="inlineStr">
        <is>
          <t>Collective Investment Undertakings</t>
        </is>
      </c>
      <c r="F74" s="68" t="inlineStr">
        <is>
          <t>CIU_NAM</t>
        </is>
      </c>
      <c r="G74" s="68" t="inlineStr">
        <is>
          <t>Investment in CIU not operated/managed by the AIFM</t>
        </is>
      </c>
      <c r="H74" s="70" t="inlineStr">
        <is>
          <t>CIU_NAM_AETF</t>
        </is>
      </c>
      <c r="I74" s="68" t="inlineStr">
        <is>
          <t>Investment in CIU not operated/managed by the AIFM-ETF</t>
        </is>
      </c>
    </row>
    <row r="75">
      <c r="B75" s="76" t="inlineStr">
        <is>
          <t>table 1</t>
        </is>
      </c>
      <c r="D75" s="68" t="inlineStr">
        <is>
          <t>CIU</t>
        </is>
      </c>
      <c r="E75" s="68" t="inlineStr">
        <is>
          <t>Collective Investment Undertakings</t>
        </is>
      </c>
      <c r="F75" s="68" t="inlineStr">
        <is>
          <t>CIU_NAM</t>
        </is>
      </c>
      <c r="G75" s="68" t="inlineStr">
        <is>
          <t>Investment in CIU not operated/managed by the AIFM</t>
        </is>
      </c>
      <c r="H75" s="70" t="inlineStr">
        <is>
          <t>CIU_NAM_OTHR</t>
        </is>
      </c>
      <c r="I75" s="68" t="inlineStr">
        <is>
          <t>Investment in CIU not operated/managed by the AIFM-Other CIU</t>
        </is>
      </c>
    </row>
    <row r="76">
      <c r="B76" s="76" t="inlineStr">
        <is>
          <t>table 1</t>
        </is>
      </c>
      <c r="D76" s="68" t="inlineStr">
        <is>
          <t>OTH</t>
        </is>
      </c>
      <c r="E76" s="68" t="inlineStr">
        <is>
          <t>Investments in other asset classes</t>
        </is>
      </c>
      <c r="F76" s="68" t="inlineStr">
        <is>
          <t>OTH_OTH</t>
        </is>
      </c>
      <c r="G76" s="68" t="inlineStr">
        <is>
          <t>Total Other</t>
        </is>
      </c>
      <c r="H76" s="70" t="inlineStr">
        <is>
          <t>OTH_OTH_OTHR</t>
        </is>
      </c>
      <c r="I76" s="68" t="inlineStr">
        <is>
          <t>Total Other</t>
        </is>
      </c>
    </row>
    <row r="77">
      <c r="B77" s="76" t="n"/>
    </row>
    <row r="78">
      <c r="B78" s="76" t="inlineStr">
        <is>
          <t>table 2</t>
        </is>
      </c>
      <c r="H78" s="299" t="inlineStr">
        <is>
          <t>Sub-Asset Type for Turnover</t>
        </is>
      </c>
      <c r="I78" s="294" t="n"/>
    </row>
    <row r="79" ht="22.5" customHeight="1">
      <c r="B79" s="76" t="inlineStr">
        <is>
          <t>table 2</t>
        </is>
      </c>
      <c r="H79" s="140" t="inlineStr">
        <is>
          <t>Code
TURNOVER (field 125)</t>
        </is>
      </c>
      <c r="I79" s="67" t="inlineStr">
        <is>
          <t>Label</t>
        </is>
      </c>
    </row>
    <row r="80">
      <c r="B80" s="76" t="inlineStr">
        <is>
          <t>table 2</t>
        </is>
      </c>
      <c r="F80" s="143" t="n"/>
      <c r="H80" s="142" t="inlineStr">
        <is>
          <t>SEC_CSH_CSH</t>
        </is>
      </c>
      <c r="I80" s="142" t="inlineStr">
        <is>
          <t>Cash and cash equivalents</t>
        </is>
      </c>
    </row>
    <row r="81">
      <c r="B81" s="76" t="inlineStr">
        <is>
          <t>table 2</t>
        </is>
      </c>
      <c r="F81" s="143" t="n"/>
      <c r="H81" s="142" t="inlineStr">
        <is>
          <t>SEC_LEQ_LEQ</t>
        </is>
      </c>
      <c r="I81" s="142" t="inlineStr">
        <is>
          <t>Listed equities</t>
        </is>
      </c>
    </row>
    <row r="82">
      <c r="B82" s="76" t="inlineStr">
        <is>
          <t>table 2</t>
        </is>
      </c>
      <c r="F82" s="143" t="n"/>
      <c r="H82" s="142" t="inlineStr">
        <is>
          <t>SEC_UEQ_UEQ</t>
        </is>
      </c>
      <c r="I82" s="142" t="inlineStr">
        <is>
          <t>Unlisted equities</t>
        </is>
      </c>
    </row>
    <row r="83">
      <c r="B83" s="76" t="inlineStr">
        <is>
          <t>table 2</t>
        </is>
      </c>
      <c r="F83" s="143" t="n"/>
      <c r="H83" s="142" t="inlineStr">
        <is>
          <t>SEC_CPN_IVG</t>
        </is>
      </c>
      <c r="I83" s="141" t="inlineStr">
        <is>
          <t>Corporate bonds not issued by financial institutions-Investment grade</t>
        </is>
      </c>
    </row>
    <row r="84">
      <c r="B84" s="76" t="inlineStr">
        <is>
          <t>table 2</t>
        </is>
      </c>
      <c r="F84" s="143" t="n"/>
      <c r="H84" s="142" t="inlineStr">
        <is>
          <t>SEC_CPN_NIG</t>
        </is>
      </c>
      <c r="I84" s="141" t="inlineStr">
        <is>
          <t>Corporate bonds not issued by financial institutions-Non-investment grade</t>
        </is>
      </c>
    </row>
    <row r="85">
      <c r="B85" s="76" t="inlineStr">
        <is>
          <t>table 2</t>
        </is>
      </c>
      <c r="F85" s="143" t="n"/>
      <c r="H85" s="142" t="inlineStr">
        <is>
          <t>SEC_CPI_CPI</t>
        </is>
      </c>
      <c r="I85" s="142" t="inlineStr">
        <is>
          <t>Corporate bonds issued by financial institutions</t>
        </is>
      </c>
    </row>
    <row r="86">
      <c r="B86" s="76" t="inlineStr">
        <is>
          <t>table 2</t>
        </is>
      </c>
      <c r="F86" s="143" t="n"/>
      <c r="H86" s="142" t="inlineStr">
        <is>
          <t>SEC_SBD_EUB</t>
        </is>
      </c>
      <c r="I86" s="142" t="inlineStr">
        <is>
          <t>Sovereign bonds - EU Member State bonds</t>
        </is>
      </c>
    </row>
    <row r="87">
      <c r="B87" s="76" t="inlineStr">
        <is>
          <t>table 2</t>
        </is>
      </c>
      <c r="F87" s="143" t="n"/>
      <c r="H87" s="142" t="inlineStr">
        <is>
          <t>SEC_SBD_NEU</t>
        </is>
      </c>
      <c r="I87" s="142" t="inlineStr">
        <is>
          <t>Sovereign bonds - Non EU Member State bonds</t>
        </is>
      </c>
    </row>
    <row r="88">
      <c r="B88" s="76" t="inlineStr">
        <is>
          <t>table 2</t>
        </is>
      </c>
      <c r="F88" s="143" t="n"/>
      <c r="H88" s="142" t="inlineStr">
        <is>
          <t>SEC_MUN_MUN</t>
        </is>
      </c>
      <c r="I88" s="142" t="inlineStr">
        <is>
          <t>Municipal bonds</t>
        </is>
      </c>
    </row>
    <row r="89">
      <c r="B89" s="76" t="inlineStr">
        <is>
          <t>table 2</t>
        </is>
      </c>
      <c r="F89" s="143" t="n"/>
      <c r="H89" s="142" t="inlineStr">
        <is>
          <t>SEC_CBD_CBD</t>
        </is>
      </c>
      <c r="I89" s="142" t="inlineStr">
        <is>
          <t>Convertible bonds</t>
        </is>
      </c>
    </row>
    <row r="90">
      <c r="B90" s="76" t="inlineStr">
        <is>
          <t>table 2</t>
        </is>
      </c>
      <c r="F90" s="143" t="n"/>
      <c r="H90" s="142" t="inlineStr">
        <is>
          <t>SEC_LON_LON</t>
        </is>
      </c>
      <c r="I90" s="142" t="inlineStr">
        <is>
          <t>Loans</t>
        </is>
      </c>
    </row>
    <row r="91">
      <c r="B91" s="76" t="inlineStr">
        <is>
          <t>table 2</t>
        </is>
      </c>
      <c r="F91" s="143" t="n"/>
      <c r="H91" s="142" t="inlineStr">
        <is>
          <t>SEC_SSP_SSP</t>
        </is>
      </c>
      <c r="I91" s="142" t="inlineStr">
        <is>
          <t>Structured/securitised products</t>
        </is>
      </c>
    </row>
    <row r="92">
      <c r="B92" s="76" t="inlineStr">
        <is>
          <t>table 2</t>
        </is>
      </c>
      <c r="F92" s="143" t="n"/>
      <c r="H92" s="142" t="inlineStr">
        <is>
          <t>DER_EQD_EQD</t>
        </is>
      </c>
      <c r="I92" s="142" t="inlineStr">
        <is>
          <t>Equity derivatives</t>
        </is>
      </c>
    </row>
    <row r="93">
      <c r="B93" s="76" t="inlineStr">
        <is>
          <t>table 2</t>
        </is>
      </c>
      <c r="F93" s="143" t="n"/>
      <c r="H93" s="142" t="inlineStr">
        <is>
          <t>DER_FID_FID</t>
        </is>
      </c>
      <c r="I93" s="142" t="inlineStr">
        <is>
          <t>Fixed income derivatives</t>
        </is>
      </c>
    </row>
    <row r="94">
      <c r="B94" s="76" t="inlineStr">
        <is>
          <t>table 2</t>
        </is>
      </c>
      <c r="F94" s="143" t="n"/>
      <c r="H94" s="142" t="inlineStr">
        <is>
          <t>DER_CDS_CDS</t>
        </is>
      </c>
      <c r="I94" s="142" t="inlineStr">
        <is>
          <t>CDS</t>
        </is>
      </c>
    </row>
    <row r="95">
      <c r="B95" s="76" t="inlineStr">
        <is>
          <t>table 2</t>
        </is>
      </c>
      <c r="F95" s="143" t="n"/>
      <c r="H95" s="142" t="inlineStr">
        <is>
          <t>DER_FEX_INV</t>
        </is>
      </c>
      <c r="I95" s="142" t="inlineStr">
        <is>
          <t>Foreign exchange (for investment purposes)</t>
        </is>
      </c>
    </row>
    <row r="96">
      <c r="B96" s="76" t="inlineStr">
        <is>
          <t>table 2</t>
        </is>
      </c>
      <c r="F96" s="143" t="n"/>
      <c r="H96" s="142" t="inlineStr">
        <is>
          <t>DER_FEX_HED</t>
        </is>
      </c>
      <c r="I96" s="142" t="inlineStr">
        <is>
          <t>Foreign exchange (for hedging purposes)</t>
        </is>
      </c>
    </row>
    <row r="97">
      <c r="B97" s="76" t="inlineStr">
        <is>
          <t>table 2</t>
        </is>
      </c>
      <c r="F97" s="143" t="n"/>
      <c r="H97" s="142" t="inlineStr">
        <is>
          <t>DER_IRD_IRD</t>
        </is>
      </c>
      <c r="I97" s="142" t="inlineStr">
        <is>
          <t>Interest rate derivatives</t>
        </is>
      </c>
    </row>
    <row r="98">
      <c r="B98" s="76" t="inlineStr">
        <is>
          <t>table 2</t>
        </is>
      </c>
      <c r="F98" s="143" t="n"/>
      <c r="H98" s="142" t="inlineStr">
        <is>
          <t>DER_CTY_CTY</t>
        </is>
      </c>
      <c r="I98" s="142" t="inlineStr">
        <is>
          <t>Commodity derivatives</t>
        </is>
      </c>
    </row>
    <row r="99">
      <c r="B99" s="76" t="inlineStr">
        <is>
          <t>table 2</t>
        </is>
      </c>
      <c r="F99" s="143" t="n"/>
      <c r="H99" s="142" t="inlineStr">
        <is>
          <t>DER_OTH_OTH</t>
        </is>
      </c>
      <c r="I99" s="142" t="inlineStr">
        <is>
          <t>Other derivatives</t>
        </is>
      </c>
    </row>
    <row r="100">
      <c r="B100" s="76" t="inlineStr">
        <is>
          <t>table 2</t>
        </is>
      </c>
      <c r="F100" s="143" t="n"/>
      <c r="H100" s="142" t="inlineStr">
        <is>
          <t>PHY_RES_RES</t>
        </is>
      </c>
      <c r="I100" s="141" t="inlineStr">
        <is>
          <t>Physical: Real estate</t>
        </is>
      </c>
    </row>
    <row r="101">
      <c r="B101" s="76" t="inlineStr">
        <is>
          <t>table 2</t>
        </is>
      </c>
      <c r="F101" s="143" t="n"/>
      <c r="H101" s="142" t="inlineStr">
        <is>
          <t>PHY_CTY_CTY</t>
        </is>
      </c>
      <c r="I101" s="141" t="inlineStr">
        <is>
          <t>Physical: Commodities</t>
        </is>
      </c>
    </row>
    <row r="102">
      <c r="B102" s="76" t="inlineStr">
        <is>
          <t>table 2</t>
        </is>
      </c>
      <c r="F102" s="143" t="n"/>
      <c r="H102" s="142" t="inlineStr">
        <is>
          <t>PHY_TIM_TIM</t>
        </is>
      </c>
      <c r="I102" s="141" t="inlineStr">
        <is>
          <t>Physical: Timber</t>
        </is>
      </c>
    </row>
    <row r="103">
      <c r="B103" s="76" t="inlineStr">
        <is>
          <t>table 2</t>
        </is>
      </c>
      <c r="F103" s="143" t="n"/>
      <c r="H103" s="142" t="inlineStr">
        <is>
          <t>PHY_ART_ART</t>
        </is>
      </c>
      <c r="I103" s="141" t="inlineStr">
        <is>
          <t>Physical: Art and collectables</t>
        </is>
      </c>
    </row>
    <row r="104">
      <c r="B104" s="76" t="inlineStr">
        <is>
          <t>table 2</t>
        </is>
      </c>
      <c r="F104" s="143" t="n"/>
      <c r="H104" s="142" t="inlineStr">
        <is>
          <t>PHY_TPT_TPT</t>
        </is>
      </c>
      <c r="I104" s="141" t="inlineStr">
        <is>
          <t>Physical: Transportation assets</t>
        </is>
      </c>
    </row>
    <row r="105">
      <c r="B105" s="76" t="inlineStr">
        <is>
          <t>table 2</t>
        </is>
      </c>
      <c r="F105" s="143" t="n"/>
      <c r="H105" s="142" t="inlineStr">
        <is>
          <t>PHY_OTH_OTH</t>
        </is>
      </c>
      <c r="I105" s="141" t="inlineStr">
        <is>
          <t>Physical: Other</t>
        </is>
      </c>
    </row>
    <row r="106">
      <c r="B106" s="76" t="inlineStr">
        <is>
          <t>table 2</t>
        </is>
      </c>
      <c r="F106" s="143" t="n"/>
      <c r="H106" s="142" t="inlineStr">
        <is>
          <t>CIU_CIU_CIU</t>
        </is>
      </c>
      <c r="I106" s="141" t="inlineStr">
        <is>
          <t>Collective Investment Undertakings</t>
        </is>
      </c>
    </row>
    <row r="107">
      <c r="B107" s="76" t="inlineStr">
        <is>
          <t>table 2</t>
        </is>
      </c>
      <c r="F107" s="143" t="n"/>
      <c r="H107" s="142" t="inlineStr">
        <is>
          <t>OTH_OTH_OTH</t>
        </is>
      </c>
      <c r="I107" s="141" t="inlineStr">
        <is>
          <t>Total Other</t>
        </is>
      </c>
    </row>
    <row r="108">
      <c r="B108" s="77" t="n"/>
    </row>
    <row r="109" ht="22.5" customHeight="1">
      <c r="B109" s="76" t="inlineStr">
        <is>
          <t>table 3</t>
        </is>
      </c>
      <c r="C109" s="166" t="n"/>
      <c r="D109" s="167" t="n"/>
      <c r="E109" s="168" t="inlineStr">
        <is>
          <t>AIF type label</t>
        </is>
      </c>
      <c r="F109" s="169" t="inlineStr">
        <is>
          <t>AIF strategy code
STRATEGY (field 58)</t>
        </is>
      </c>
      <c r="G109" s="170" t="inlineStr">
        <is>
          <t>AIF strategy label</t>
        </is>
      </c>
    </row>
    <row r="110">
      <c r="B110" s="76" t="inlineStr">
        <is>
          <t>table 3</t>
        </is>
      </c>
      <c r="C110" s="166" t="n"/>
      <c r="D110" s="146" t="inlineStr">
        <is>
          <t>HFND</t>
        </is>
      </c>
      <c r="E110" s="144" t="inlineStr">
        <is>
          <t xml:space="preserve"> Hedge fund strategies</t>
        </is>
      </c>
      <c r="F110" s="144" t="inlineStr">
        <is>
          <t>EQTY_LGBS</t>
        </is>
      </c>
      <c r="G110" s="164" t="inlineStr">
        <is>
          <t>Equity: Long Bias</t>
        </is>
      </c>
    </row>
    <row r="111">
      <c r="B111" s="76" t="inlineStr">
        <is>
          <t>table 3</t>
        </is>
      </c>
      <c r="C111" s="166" t="n"/>
      <c r="D111" s="146" t="inlineStr">
        <is>
          <t>HFND</t>
        </is>
      </c>
      <c r="E111" s="144" t="inlineStr">
        <is>
          <t xml:space="preserve"> Hedge fund strategies</t>
        </is>
      </c>
      <c r="F111" s="144" t="inlineStr">
        <is>
          <t>EQTY_LGST</t>
        </is>
      </c>
      <c r="G111" s="164" t="inlineStr">
        <is>
          <t>Equity: Long/Short</t>
        </is>
      </c>
    </row>
    <row r="112">
      <c r="B112" s="76" t="inlineStr">
        <is>
          <t>table 3</t>
        </is>
      </c>
      <c r="C112" s="166" t="n"/>
      <c r="D112" s="146" t="inlineStr">
        <is>
          <t>HFND</t>
        </is>
      </c>
      <c r="E112" s="144" t="inlineStr">
        <is>
          <t xml:space="preserve"> Hedge fund strategies</t>
        </is>
      </c>
      <c r="F112" s="144" t="inlineStr">
        <is>
          <t>EQTY_MTNL</t>
        </is>
      </c>
      <c r="G112" s="164" t="inlineStr">
        <is>
          <t>Equity: Market neutral</t>
        </is>
      </c>
    </row>
    <row r="113">
      <c r="B113" s="76" t="inlineStr">
        <is>
          <t>table 3</t>
        </is>
      </c>
      <c r="C113" s="166" t="n"/>
      <c r="D113" s="146" t="inlineStr">
        <is>
          <t>HFND</t>
        </is>
      </c>
      <c r="E113" s="144" t="inlineStr">
        <is>
          <t xml:space="preserve"> Hedge fund strategies</t>
        </is>
      </c>
      <c r="F113" s="144" t="inlineStr">
        <is>
          <t>EQTY_STBS</t>
        </is>
      </c>
      <c r="G113" s="164" t="inlineStr">
        <is>
          <t>Equity: Short Bias</t>
        </is>
      </c>
    </row>
    <row r="114">
      <c r="B114" s="76" t="inlineStr">
        <is>
          <t>table 3</t>
        </is>
      </c>
      <c r="C114" s="166" t="n"/>
      <c r="D114" s="146" t="inlineStr">
        <is>
          <t>HFND</t>
        </is>
      </c>
      <c r="E114" s="144" t="inlineStr">
        <is>
          <t xml:space="preserve"> Hedge fund strategies</t>
        </is>
      </c>
      <c r="F114" s="144" t="inlineStr">
        <is>
          <t>RELV_FXIA</t>
        </is>
      </c>
      <c r="G114" s="164" t="inlineStr">
        <is>
          <t>Relative Value: Fixed Income Arbitrage</t>
        </is>
      </c>
    </row>
    <row r="115">
      <c r="B115" s="76" t="inlineStr">
        <is>
          <t>table 3</t>
        </is>
      </c>
      <c r="C115" s="166" t="n"/>
      <c r="D115" s="146" t="inlineStr">
        <is>
          <t>HFND</t>
        </is>
      </c>
      <c r="E115" s="144" t="inlineStr">
        <is>
          <t xml:space="preserve"> Hedge fund strategies</t>
        </is>
      </c>
      <c r="F115" s="144" t="inlineStr">
        <is>
          <t>RELV_CBAR</t>
        </is>
      </c>
      <c r="G115" s="164" t="inlineStr">
        <is>
          <t>Relative Value: Convertible Bond Arbitrage</t>
        </is>
      </c>
    </row>
    <row r="116">
      <c r="B116" s="76" t="inlineStr">
        <is>
          <t>table 3</t>
        </is>
      </c>
      <c r="C116" s="166" t="n"/>
      <c r="D116" s="146" t="inlineStr">
        <is>
          <t>HFND</t>
        </is>
      </c>
      <c r="E116" s="144" t="inlineStr">
        <is>
          <t xml:space="preserve"> Hedge fund strategies</t>
        </is>
      </c>
      <c r="F116" s="144" t="inlineStr">
        <is>
          <t>RELV_VLAR</t>
        </is>
      </c>
      <c r="G116" s="164" t="inlineStr">
        <is>
          <t>Relative Value: Volatility Arbitrage</t>
        </is>
      </c>
    </row>
    <row r="117">
      <c r="B117" s="76" t="inlineStr">
        <is>
          <t>table 3</t>
        </is>
      </c>
      <c r="C117" s="166" t="n"/>
      <c r="D117" s="146" t="inlineStr">
        <is>
          <t>HFND</t>
        </is>
      </c>
      <c r="E117" s="144" t="inlineStr">
        <is>
          <t xml:space="preserve"> Hedge fund strategies</t>
        </is>
      </c>
      <c r="F117" s="144" t="inlineStr">
        <is>
          <t>EVDR_DSRS</t>
        </is>
      </c>
      <c r="G117" s="164" t="inlineStr">
        <is>
          <t>Event Driven: Distressed/Restructuring</t>
        </is>
      </c>
    </row>
    <row r="118">
      <c r="B118" s="76" t="inlineStr">
        <is>
          <t>table 3</t>
        </is>
      </c>
      <c r="C118" s="166" t="n"/>
      <c r="D118" s="146" t="inlineStr">
        <is>
          <t>HFND</t>
        </is>
      </c>
      <c r="E118" s="144" t="inlineStr">
        <is>
          <t xml:space="preserve"> Hedge fund strategies</t>
        </is>
      </c>
      <c r="F118" s="144" t="inlineStr">
        <is>
          <t>EVDR_RAMA</t>
        </is>
      </c>
      <c r="G118" s="164" t="inlineStr">
        <is>
          <t>Event Driven: Risk Arbitrage/Merger Arbitrage</t>
        </is>
      </c>
    </row>
    <row r="119">
      <c r="B119" s="76" t="inlineStr">
        <is>
          <t>table 3</t>
        </is>
      </c>
      <c r="C119" s="166" t="n"/>
      <c r="D119" s="146" t="inlineStr">
        <is>
          <t>HFND</t>
        </is>
      </c>
      <c r="E119" s="144" t="inlineStr">
        <is>
          <t xml:space="preserve"> Hedge fund strategies</t>
        </is>
      </c>
      <c r="F119" s="144" t="inlineStr">
        <is>
          <t>EVDR_EYSS</t>
        </is>
      </c>
      <c r="G119" s="164" t="inlineStr">
        <is>
          <t>Event Driven: Equity Special Situations</t>
        </is>
      </c>
    </row>
    <row r="120">
      <c r="B120" s="76" t="inlineStr">
        <is>
          <t>table 3</t>
        </is>
      </c>
      <c r="C120" s="166" t="n"/>
      <c r="D120" s="146" t="inlineStr">
        <is>
          <t>HFND</t>
        </is>
      </c>
      <c r="E120" s="144" t="inlineStr">
        <is>
          <t xml:space="preserve"> Hedge fund strategies</t>
        </is>
      </c>
      <c r="F120" s="144" t="inlineStr">
        <is>
          <t>CRED_LGST</t>
        </is>
      </c>
      <c r="G120" s="164" t="inlineStr">
        <is>
          <t>Credit Long/Short</t>
        </is>
      </c>
    </row>
    <row r="121">
      <c r="B121" s="76" t="inlineStr">
        <is>
          <t>table 3</t>
        </is>
      </c>
      <c r="C121" s="166" t="n"/>
      <c r="D121" s="146" t="inlineStr">
        <is>
          <t>HFND</t>
        </is>
      </c>
      <c r="E121" s="144" t="inlineStr">
        <is>
          <t xml:space="preserve"> Hedge fund strategies</t>
        </is>
      </c>
      <c r="F121" s="144" t="inlineStr">
        <is>
          <t>CRED_ABLG</t>
        </is>
      </c>
      <c r="G121" s="164" t="inlineStr">
        <is>
          <t>Credit Asset Based Lending</t>
        </is>
      </c>
    </row>
    <row r="122">
      <c r="B122" s="76" t="inlineStr">
        <is>
          <t>table 3</t>
        </is>
      </c>
      <c r="C122" s="166" t="n"/>
      <c r="D122" s="146" t="inlineStr">
        <is>
          <t>HFND</t>
        </is>
      </c>
      <c r="E122" s="144" t="inlineStr">
        <is>
          <t xml:space="preserve"> Hedge fund strategies</t>
        </is>
      </c>
      <c r="F122" s="144" t="inlineStr">
        <is>
          <t>MACR_MACR</t>
        </is>
      </c>
      <c r="G122" s="164" t="inlineStr">
        <is>
          <t>Macro</t>
        </is>
      </c>
    </row>
    <row r="123">
      <c r="B123" s="76" t="inlineStr">
        <is>
          <t>table 3</t>
        </is>
      </c>
      <c r="C123" s="166" t="n"/>
      <c r="D123" s="146" t="inlineStr">
        <is>
          <t>HFND</t>
        </is>
      </c>
      <c r="E123" s="144" t="inlineStr">
        <is>
          <t xml:space="preserve"> Hedge fund strategies</t>
        </is>
      </c>
      <c r="F123" s="144" t="inlineStr">
        <is>
          <t>MANF_CTAF</t>
        </is>
      </c>
      <c r="G123" s="164" t="inlineStr">
        <is>
          <t>Managed Futures/CTA: Fundamental</t>
        </is>
      </c>
    </row>
    <row r="124">
      <c r="B124" s="76" t="inlineStr">
        <is>
          <t>table 3</t>
        </is>
      </c>
      <c r="C124" s="166" t="n"/>
      <c r="D124" s="146" t="inlineStr">
        <is>
          <t>HFND</t>
        </is>
      </c>
      <c r="E124" s="144" t="inlineStr">
        <is>
          <t xml:space="preserve"> Hedge fund strategies</t>
        </is>
      </c>
      <c r="F124" s="144" t="inlineStr">
        <is>
          <t>MANF_CTAQ</t>
        </is>
      </c>
      <c r="G124" s="164" t="inlineStr">
        <is>
          <t>Managed Futures/CTA: Quantitative</t>
        </is>
      </c>
    </row>
    <row r="125">
      <c r="B125" s="76" t="inlineStr">
        <is>
          <t>table 3</t>
        </is>
      </c>
      <c r="C125" s="166" t="n"/>
      <c r="D125" s="171" t="inlineStr">
        <is>
          <t>HFND</t>
        </is>
      </c>
      <c r="E125" s="145" t="inlineStr">
        <is>
          <t xml:space="preserve"> Hedge fund strategies</t>
        </is>
      </c>
      <c r="F125" s="145" t="inlineStr">
        <is>
          <t>MULT_HFND</t>
        </is>
      </c>
      <c r="G125" s="165" t="inlineStr">
        <is>
          <t>Multi-strategy hedge fund</t>
        </is>
      </c>
      <c r="H125" s="163" t="inlineStr">
        <is>
          <t>Do not enter "MULT_" strategy codes, these are added automatically when needed.</t>
        </is>
      </c>
    </row>
    <row r="126">
      <c r="B126" s="76" t="inlineStr">
        <is>
          <t>table 3</t>
        </is>
      </c>
      <c r="C126" s="166" t="n"/>
      <c r="D126" s="146" t="inlineStr">
        <is>
          <t>HFND</t>
        </is>
      </c>
      <c r="E126" s="144" t="inlineStr">
        <is>
          <t xml:space="preserve"> Hedge fund strategies</t>
        </is>
      </c>
      <c r="F126" s="144" t="inlineStr">
        <is>
          <t>OTHR_HFND</t>
        </is>
      </c>
      <c r="G126" s="164" t="inlineStr">
        <is>
          <t>Other hedge fund strategy</t>
        </is>
      </c>
    </row>
    <row r="127">
      <c r="B127" s="76" t="inlineStr">
        <is>
          <t>table 3</t>
        </is>
      </c>
      <c r="C127" s="166" t="n"/>
      <c r="D127" s="146" t="inlineStr">
        <is>
          <t>PEQF</t>
        </is>
      </c>
      <c r="E127" s="144" t="inlineStr">
        <is>
          <t>Private equity strategies</t>
        </is>
      </c>
      <c r="F127" s="144" t="inlineStr">
        <is>
          <t>VENT_CAPL</t>
        </is>
      </c>
      <c r="G127" s="164" t="inlineStr">
        <is>
          <t>Venture Capital</t>
        </is>
      </c>
    </row>
    <row r="128">
      <c r="B128" s="76" t="inlineStr">
        <is>
          <t>table 3</t>
        </is>
      </c>
      <c r="C128" s="166" t="n"/>
      <c r="D128" s="146" t="inlineStr">
        <is>
          <t>PEQF</t>
        </is>
      </c>
      <c r="E128" s="144" t="inlineStr">
        <is>
          <t>Private equity strategies</t>
        </is>
      </c>
      <c r="F128" s="144" t="inlineStr">
        <is>
          <t>GRTH_CAPL</t>
        </is>
      </c>
      <c r="G128" s="164" t="inlineStr">
        <is>
          <t>Growth Capital</t>
        </is>
      </c>
    </row>
    <row r="129">
      <c r="B129" s="76" t="inlineStr">
        <is>
          <t>table 3</t>
        </is>
      </c>
      <c r="C129" s="166" t="n"/>
      <c r="D129" s="146" t="inlineStr">
        <is>
          <t>PEQF</t>
        </is>
      </c>
      <c r="E129" s="144" t="inlineStr">
        <is>
          <t>Private equity strategies</t>
        </is>
      </c>
      <c r="F129" s="144" t="inlineStr">
        <is>
          <t>MZNE_CAPL</t>
        </is>
      </c>
      <c r="G129" s="164" t="inlineStr">
        <is>
          <t>Mezzanine Capital</t>
        </is>
      </c>
    </row>
    <row r="130">
      <c r="B130" s="76" t="inlineStr">
        <is>
          <t>table 3</t>
        </is>
      </c>
      <c r="C130" s="166" t="n"/>
      <c r="D130" s="171" t="inlineStr">
        <is>
          <t>PEQF</t>
        </is>
      </c>
      <c r="E130" s="145" t="inlineStr">
        <is>
          <t>Private equity strategies</t>
        </is>
      </c>
      <c r="F130" s="145" t="inlineStr">
        <is>
          <t>MULT_PEQF</t>
        </is>
      </c>
      <c r="G130" s="165" t="inlineStr">
        <is>
          <t>Multi-strategy private equity fund</t>
        </is>
      </c>
      <c r="H130" s="163" t="inlineStr">
        <is>
          <t>Do not enter "MULT_" strategy codes, these are added automatically when needed.</t>
        </is>
      </c>
    </row>
    <row r="131">
      <c r="B131" s="76" t="inlineStr">
        <is>
          <t>table 3</t>
        </is>
      </c>
      <c r="C131" s="166" t="n"/>
      <c r="D131" s="146" t="inlineStr">
        <is>
          <t>PEQF</t>
        </is>
      </c>
      <c r="E131" s="144" t="inlineStr">
        <is>
          <t>Private equity strategies</t>
        </is>
      </c>
      <c r="F131" s="144" t="inlineStr">
        <is>
          <t>OTHR_PEQF</t>
        </is>
      </c>
      <c r="G131" s="164" t="inlineStr">
        <is>
          <t>Other private equity fund strategy</t>
        </is>
      </c>
    </row>
    <row r="132">
      <c r="B132" s="76" t="inlineStr">
        <is>
          <t>table 3</t>
        </is>
      </c>
      <c r="C132" s="166" t="n"/>
      <c r="D132" s="146" t="inlineStr">
        <is>
          <t>REST</t>
        </is>
      </c>
      <c r="E132" s="144" t="inlineStr">
        <is>
          <t>Real estate strategies</t>
        </is>
      </c>
      <c r="F132" s="144" t="inlineStr">
        <is>
          <t>RESL_REST</t>
        </is>
      </c>
      <c r="G132" s="164" t="inlineStr">
        <is>
          <t>Residential real estate</t>
        </is>
      </c>
    </row>
    <row r="133">
      <c r="B133" s="76" t="inlineStr">
        <is>
          <t>table 3</t>
        </is>
      </c>
      <c r="C133" s="166" t="n"/>
      <c r="D133" s="146" t="inlineStr">
        <is>
          <t>REST</t>
        </is>
      </c>
      <c r="E133" s="144" t="inlineStr">
        <is>
          <t>Real estate strategies</t>
        </is>
      </c>
      <c r="F133" s="144" t="inlineStr">
        <is>
          <t>COML_REST</t>
        </is>
      </c>
      <c r="G133" s="164" t="inlineStr">
        <is>
          <t>Commercial real estate</t>
        </is>
      </c>
    </row>
    <row r="134">
      <c r="B134" s="76" t="inlineStr">
        <is>
          <t>table 3</t>
        </is>
      </c>
      <c r="C134" s="166" t="n"/>
      <c r="D134" s="146" t="inlineStr">
        <is>
          <t>REST</t>
        </is>
      </c>
      <c r="E134" s="144" t="inlineStr">
        <is>
          <t>Real estate strategies</t>
        </is>
      </c>
      <c r="F134" s="144" t="inlineStr">
        <is>
          <t>INDL_REST</t>
        </is>
      </c>
      <c r="G134" s="164" t="inlineStr">
        <is>
          <t>Industrial real estate</t>
        </is>
      </c>
    </row>
    <row r="135">
      <c r="B135" s="76" t="inlineStr">
        <is>
          <t>table 3</t>
        </is>
      </c>
      <c r="C135" s="166" t="n"/>
      <c r="D135" s="171" t="inlineStr">
        <is>
          <t>REST</t>
        </is>
      </c>
      <c r="E135" s="145" t="inlineStr">
        <is>
          <t>Real estate strategies</t>
        </is>
      </c>
      <c r="F135" s="145" t="inlineStr">
        <is>
          <t>MULT_REST</t>
        </is>
      </c>
      <c r="G135" s="165" t="inlineStr">
        <is>
          <t>Multi-strategy real estate fund</t>
        </is>
      </c>
      <c r="H135" s="163" t="inlineStr">
        <is>
          <t>Do not enter "MULT_" strategy codes, these are added automatically when needed.</t>
        </is>
      </c>
    </row>
    <row r="136">
      <c r="B136" s="76" t="inlineStr">
        <is>
          <t>table 3</t>
        </is>
      </c>
      <c r="C136" s="166" t="n"/>
      <c r="D136" s="146" t="inlineStr">
        <is>
          <t>REST</t>
        </is>
      </c>
      <c r="E136" s="144" t="inlineStr">
        <is>
          <t>Real estate strategies</t>
        </is>
      </c>
      <c r="F136" s="144" t="inlineStr">
        <is>
          <t>OTHR_REST</t>
        </is>
      </c>
      <c r="G136" s="164" t="inlineStr">
        <is>
          <t>Other real estate strategy</t>
        </is>
      </c>
    </row>
    <row r="137">
      <c r="B137" s="76" t="inlineStr">
        <is>
          <t>table 3</t>
        </is>
      </c>
      <c r="C137" s="166" t="n"/>
      <c r="D137" s="146" t="inlineStr">
        <is>
          <t>FOFS</t>
        </is>
      </c>
      <c r="E137" s="144" t="inlineStr">
        <is>
          <t>Fund of fund strategies</t>
        </is>
      </c>
      <c r="F137" s="146" t="inlineStr">
        <is>
          <t>FOFS_FHFS</t>
        </is>
      </c>
      <c r="G137" s="164" t="inlineStr">
        <is>
          <t>Fund of hedge funds</t>
        </is>
      </c>
    </row>
    <row r="138">
      <c r="B138" s="76" t="inlineStr">
        <is>
          <t>table 3</t>
        </is>
      </c>
      <c r="C138" s="166" t="n"/>
      <c r="D138" s="146" t="inlineStr">
        <is>
          <t xml:space="preserve">FOFS </t>
        </is>
      </c>
      <c r="E138" s="144" t="inlineStr">
        <is>
          <t>Fund of fund strategies</t>
        </is>
      </c>
      <c r="F138" s="146" t="inlineStr">
        <is>
          <t>FOFS_PRIV</t>
        </is>
      </c>
      <c r="G138" s="164" t="inlineStr">
        <is>
          <t>Fund of private equity</t>
        </is>
      </c>
    </row>
    <row r="139">
      <c r="B139" s="76" t="inlineStr">
        <is>
          <t>table 3</t>
        </is>
      </c>
      <c r="C139" s="166" t="n"/>
      <c r="D139" s="146" t="inlineStr">
        <is>
          <t xml:space="preserve">FOFS </t>
        </is>
      </c>
      <c r="E139" s="144" t="inlineStr">
        <is>
          <t>Fund of fund strategies</t>
        </is>
      </c>
      <c r="F139" s="146" t="inlineStr">
        <is>
          <t>OTHR_FOFS</t>
        </is>
      </c>
      <c r="G139" s="164" t="inlineStr">
        <is>
          <t>Other fund of funds</t>
        </is>
      </c>
    </row>
    <row r="140">
      <c r="B140" s="76" t="inlineStr">
        <is>
          <t>table 3</t>
        </is>
      </c>
      <c r="C140" s="166" t="n"/>
      <c r="D140" s="146" t="inlineStr">
        <is>
          <t>OTHR</t>
        </is>
      </c>
      <c r="E140" s="144" t="inlineStr">
        <is>
          <t>Other Strategy</t>
        </is>
      </c>
      <c r="F140" s="146" t="inlineStr">
        <is>
          <t>OTHR_COMF</t>
        </is>
      </c>
      <c r="G140" s="164" t="inlineStr">
        <is>
          <t>Commodity fund</t>
        </is>
      </c>
    </row>
    <row r="141">
      <c r="B141" s="76" t="inlineStr">
        <is>
          <t>table 3</t>
        </is>
      </c>
      <c r="C141" s="166" t="n"/>
      <c r="D141" s="146" t="inlineStr">
        <is>
          <t>OTHR</t>
        </is>
      </c>
      <c r="E141" s="144" t="inlineStr">
        <is>
          <t>Other Strategy</t>
        </is>
      </c>
      <c r="F141" s="146" t="inlineStr">
        <is>
          <t>OTHR_EQYF</t>
        </is>
      </c>
      <c r="G141" s="164" t="inlineStr">
        <is>
          <t>Equity fund</t>
        </is>
      </c>
    </row>
    <row r="142">
      <c r="B142" s="76" t="inlineStr">
        <is>
          <t>table 3</t>
        </is>
      </c>
      <c r="C142" s="166" t="n"/>
      <c r="D142" s="146" t="inlineStr">
        <is>
          <t>OTHR</t>
        </is>
      </c>
      <c r="E142" s="144" t="inlineStr">
        <is>
          <t>Other Strategy</t>
        </is>
      </c>
      <c r="F142" s="146" t="inlineStr">
        <is>
          <t>OTHR_FXIF</t>
        </is>
      </c>
      <c r="G142" s="164" t="inlineStr">
        <is>
          <t>Fixed income fund</t>
        </is>
      </c>
    </row>
    <row r="143">
      <c r="B143" s="76" t="inlineStr">
        <is>
          <t>table 3</t>
        </is>
      </c>
      <c r="C143" s="166" t="n"/>
      <c r="D143" s="146" t="inlineStr">
        <is>
          <t>OTHR</t>
        </is>
      </c>
      <c r="E143" s="144" t="inlineStr">
        <is>
          <t>Other Strategy</t>
        </is>
      </c>
      <c r="F143" s="146" t="inlineStr">
        <is>
          <t>OTHR_INFF</t>
        </is>
      </c>
      <c r="G143" s="164" t="inlineStr">
        <is>
          <t>Infrastructure fund</t>
        </is>
      </c>
    </row>
    <row r="144">
      <c r="B144" s="76" t="inlineStr">
        <is>
          <t>table 3</t>
        </is>
      </c>
      <c r="C144" s="166" t="n"/>
      <c r="D144" s="146" t="inlineStr">
        <is>
          <t>OTHR</t>
        </is>
      </c>
      <c r="E144" s="144" t="inlineStr">
        <is>
          <t>Other Strategy</t>
        </is>
      </c>
      <c r="F144" s="146" t="inlineStr">
        <is>
          <t>OTHR_OTHF</t>
        </is>
      </c>
      <c r="G144" s="164" t="inlineStr">
        <is>
          <t>Other fund</t>
        </is>
      </c>
    </row>
    <row r="145">
      <c r="B145" s="77" t="n"/>
    </row>
    <row r="146" ht="12" customHeight="1" thickBot="1">
      <c r="B146" s="76" t="inlineStr">
        <is>
          <t>table 4</t>
        </is>
      </c>
      <c r="E146" s="73" t="n"/>
      <c r="F146" s="71" t="inlineStr">
        <is>
          <t>Code (field 113)</t>
        </is>
      </c>
      <c r="G146" s="71" t="inlineStr">
        <is>
          <t>Label</t>
        </is>
      </c>
    </row>
    <row r="147">
      <c r="B147" s="76" t="inlineStr">
        <is>
          <t>table 4</t>
        </is>
      </c>
      <c r="E147" s="147" t="inlineStr">
        <is>
          <t>Typical Position Size</t>
        </is>
      </c>
      <c r="F147" s="148" t="inlineStr">
        <is>
          <t>V_SMALL</t>
        </is>
      </c>
      <c r="G147" s="147" t="inlineStr">
        <is>
          <t>Very Small</t>
        </is>
      </c>
    </row>
    <row r="148">
      <c r="B148" s="76" t="inlineStr">
        <is>
          <t>table 4</t>
        </is>
      </c>
      <c r="E148" s="144" t="inlineStr">
        <is>
          <t>Typical Position Size</t>
        </is>
      </c>
      <c r="F148" s="149" t="inlineStr">
        <is>
          <t>SMALL</t>
        </is>
      </c>
      <c r="G148" s="144" t="inlineStr">
        <is>
          <t>Small</t>
        </is>
      </c>
    </row>
    <row r="149">
      <c r="B149" s="76" t="inlineStr">
        <is>
          <t>table 4</t>
        </is>
      </c>
      <c r="E149" s="144" t="inlineStr">
        <is>
          <t>Typical Position Size</t>
        </is>
      </c>
      <c r="F149" s="149" t="inlineStr">
        <is>
          <t>LOW_MID_MKT</t>
        </is>
      </c>
      <c r="G149" s="144" t="inlineStr">
        <is>
          <t>Lower mid market</t>
        </is>
      </c>
    </row>
    <row r="150">
      <c r="B150" s="76" t="inlineStr">
        <is>
          <t>table 4</t>
        </is>
      </c>
      <c r="E150" s="144" t="inlineStr">
        <is>
          <t>Typical Position Size</t>
        </is>
      </c>
      <c r="F150" s="149" t="inlineStr">
        <is>
          <t>UP_MID_MKT</t>
        </is>
      </c>
      <c r="G150" s="144" t="inlineStr">
        <is>
          <t>Upper mid market</t>
        </is>
      </c>
    </row>
    <row r="151">
      <c r="B151" s="76" t="inlineStr">
        <is>
          <t>table 4</t>
        </is>
      </c>
      <c r="E151" s="144" t="inlineStr">
        <is>
          <t>Typical Position Size</t>
        </is>
      </c>
      <c r="F151" s="149" t="inlineStr">
        <is>
          <t>L_CAP</t>
        </is>
      </c>
      <c r="G151" s="144" t="inlineStr">
        <is>
          <t>Large cap</t>
        </is>
      </c>
    </row>
    <row r="152">
      <c r="B152" s="76" t="inlineStr">
        <is>
          <t>table 4</t>
        </is>
      </c>
      <c r="E152" s="144" t="inlineStr">
        <is>
          <t>Typical Position Size</t>
        </is>
      </c>
      <c r="F152" s="149" t="inlineStr">
        <is>
          <t>M_CAP</t>
        </is>
      </c>
      <c r="G152" s="144" t="inlineStr">
        <is>
          <t>Mega cap</t>
        </is>
      </c>
    </row>
    <row r="153">
      <c r="B153" s="78" t="n"/>
    </row>
    <row r="154">
      <c r="B154" s="76" t="inlineStr">
        <is>
          <t>table 5</t>
        </is>
      </c>
      <c r="E154" s="73" t="n"/>
      <c r="F154" s="71" t="inlineStr">
        <is>
          <t>Code (field 134)</t>
        </is>
      </c>
      <c r="G154" s="71" t="inlineStr">
        <is>
          <t>Label</t>
        </is>
      </c>
    </row>
    <row r="155">
      <c r="B155" s="76" t="inlineStr">
        <is>
          <t>table 5</t>
        </is>
      </c>
      <c r="E155" s="144" t="inlineStr">
        <is>
          <t>Transaction type</t>
        </is>
      </c>
      <c r="F155" s="149" t="inlineStr">
        <is>
          <t>ACAP</t>
        </is>
      </c>
      <c r="G155" s="144" t="inlineStr">
        <is>
          <t>Acquisition capital</t>
        </is>
      </c>
    </row>
    <row r="156">
      <c r="B156" s="76" t="inlineStr">
        <is>
          <t>table 5</t>
        </is>
      </c>
      <c r="E156" s="144" t="inlineStr">
        <is>
          <t>Transaction type</t>
        </is>
      </c>
      <c r="F156" s="149" t="inlineStr">
        <is>
          <t>BOUT</t>
        </is>
      </c>
      <c r="G156" s="144" t="inlineStr">
        <is>
          <t>Buyouts</t>
        </is>
      </c>
    </row>
    <row r="157">
      <c r="B157" s="76" t="inlineStr">
        <is>
          <t>table 5</t>
        </is>
      </c>
      <c r="E157" s="144" t="inlineStr">
        <is>
          <t>Transaction type</t>
        </is>
      </c>
      <c r="F157" s="149" t="inlineStr">
        <is>
          <t>CONS</t>
        </is>
      </c>
      <c r="G157" s="144" t="inlineStr">
        <is>
          <t>Consolidations (industry roll-ups)</t>
        </is>
      </c>
    </row>
    <row r="158">
      <c r="B158" s="76" t="inlineStr">
        <is>
          <t>table 5</t>
        </is>
      </c>
      <c r="E158" s="144" t="inlineStr">
        <is>
          <t>Transaction type</t>
        </is>
      </c>
      <c r="F158" s="149" t="inlineStr">
        <is>
          <t>CDIV</t>
        </is>
      </c>
      <c r="G158" s="144" t="inlineStr">
        <is>
          <t>Corporate Divestitures</t>
        </is>
      </c>
    </row>
    <row r="159">
      <c r="B159" s="76" t="inlineStr">
        <is>
          <t>table 5</t>
        </is>
      </c>
      <c r="E159" s="144" t="inlineStr">
        <is>
          <t>Transaction type</t>
        </is>
      </c>
      <c r="F159" s="149" t="inlineStr">
        <is>
          <t>ESOP</t>
        </is>
      </c>
      <c r="G159" s="144" t="inlineStr">
        <is>
          <t>Employee Stock Ownership Plans</t>
        </is>
      </c>
    </row>
    <row r="160">
      <c r="B160" s="76" t="inlineStr">
        <is>
          <t>table 5</t>
        </is>
      </c>
      <c r="E160" s="144" t="inlineStr">
        <is>
          <t>Transaction type</t>
        </is>
      </c>
      <c r="F160" s="149" t="inlineStr">
        <is>
          <t>GCAP</t>
        </is>
      </c>
      <c r="G160" s="144" t="inlineStr">
        <is>
          <t>Growth Capital</t>
        </is>
      </c>
    </row>
    <row r="161">
      <c r="B161" s="76" t="inlineStr">
        <is>
          <t>table 5</t>
        </is>
      </c>
      <c r="E161" s="144" t="inlineStr">
        <is>
          <t>Transaction type</t>
        </is>
      </c>
      <c r="F161" s="149" t="inlineStr">
        <is>
          <t>RCAP</t>
        </is>
      </c>
      <c r="G161" s="144" t="inlineStr">
        <is>
          <t>Recapitalisation</t>
        </is>
      </c>
    </row>
    <row r="162">
      <c r="B162" s="76" t="inlineStr">
        <is>
          <t>table 5</t>
        </is>
      </c>
      <c r="E162" s="144" t="inlineStr">
        <is>
          <t>Transaction type</t>
        </is>
      </c>
      <c r="F162" s="149" t="inlineStr">
        <is>
          <t>SLIQ</t>
        </is>
      </c>
      <c r="G162" s="144" t="inlineStr">
        <is>
          <t>Shareholder Liquidity</t>
        </is>
      </c>
    </row>
    <row r="163">
      <c r="B163" s="76" t="inlineStr">
        <is>
          <t>table 5</t>
        </is>
      </c>
      <c r="E163" s="144" t="inlineStr">
        <is>
          <t>Transaction type</t>
        </is>
      </c>
      <c r="F163" s="149" t="inlineStr">
        <is>
          <t>TURN</t>
        </is>
      </c>
      <c r="G163" s="144" t="inlineStr">
        <is>
          <t>Turnarounds</t>
        </is>
      </c>
    </row>
    <row r="164">
      <c r="B164" s="76" t="inlineStr">
        <is>
          <t>table 5</t>
        </is>
      </c>
      <c r="E164" s="144" t="inlineStr">
        <is>
          <t>Transaction type</t>
        </is>
      </c>
      <c r="F164" s="149" t="inlineStr">
        <is>
          <t>OTHR</t>
        </is>
      </c>
      <c r="G164" s="144" t="inlineStr">
        <is>
          <t>Other transaction type</t>
        </is>
      </c>
    </row>
    <row r="165">
      <c r="B165" s="77" t="n"/>
    </row>
    <row r="166">
      <c r="B166" s="76" t="inlineStr">
        <is>
          <t>table 6</t>
        </is>
      </c>
      <c r="E166" s="73" t="n"/>
      <c r="F166" s="71" t="inlineStr">
        <is>
          <t>Code (field 194)</t>
        </is>
      </c>
      <c r="G166" s="71" t="inlineStr">
        <is>
          <t>Label</t>
        </is>
      </c>
    </row>
    <row r="167">
      <c r="B167" s="76" t="inlineStr">
        <is>
          <t>table 6</t>
        </is>
      </c>
      <c r="E167" s="150" t="inlineStr">
        <is>
          <t>Redemption frequency</t>
        </is>
      </c>
      <c r="F167" s="151" t="inlineStr">
        <is>
          <t>D</t>
        </is>
      </c>
      <c r="G167" s="150" t="inlineStr">
        <is>
          <t>Daily</t>
        </is>
      </c>
    </row>
    <row r="168">
      <c r="B168" s="76" t="inlineStr">
        <is>
          <t>table 6</t>
        </is>
      </c>
      <c r="E168" s="150" t="inlineStr">
        <is>
          <t>Redemption frequency</t>
        </is>
      </c>
      <c r="F168" s="151" t="inlineStr">
        <is>
          <t>W</t>
        </is>
      </c>
      <c r="G168" s="150" t="inlineStr">
        <is>
          <t>Weekly</t>
        </is>
      </c>
    </row>
    <row r="169">
      <c r="B169" s="76" t="inlineStr">
        <is>
          <t>table 6</t>
        </is>
      </c>
      <c r="E169" s="150" t="inlineStr">
        <is>
          <t>Redemption frequency</t>
        </is>
      </c>
      <c r="F169" s="151" t="inlineStr">
        <is>
          <t>F</t>
        </is>
      </c>
      <c r="G169" s="150" t="inlineStr">
        <is>
          <t>Fortnightly</t>
        </is>
      </c>
    </row>
    <row r="170">
      <c r="B170" s="76" t="inlineStr">
        <is>
          <t>table 6</t>
        </is>
      </c>
      <c r="E170" s="150" t="inlineStr">
        <is>
          <t>Redemption frequency</t>
        </is>
      </c>
      <c r="F170" s="151" t="inlineStr">
        <is>
          <t>M</t>
        </is>
      </c>
      <c r="G170" s="150" t="inlineStr">
        <is>
          <t>Monthly</t>
        </is>
      </c>
    </row>
    <row r="171">
      <c r="B171" s="76" t="inlineStr">
        <is>
          <t>table 6</t>
        </is>
      </c>
      <c r="E171" s="150" t="inlineStr">
        <is>
          <t>Redemption frequency</t>
        </is>
      </c>
      <c r="F171" s="151" t="inlineStr">
        <is>
          <t>Q</t>
        </is>
      </c>
      <c r="G171" s="150" t="inlineStr">
        <is>
          <t>Quarterly</t>
        </is>
      </c>
    </row>
    <row r="172">
      <c r="B172" s="76" t="inlineStr">
        <is>
          <t>table 6</t>
        </is>
      </c>
      <c r="E172" s="150" t="inlineStr">
        <is>
          <t>Redemption frequency</t>
        </is>
      </c>
      <c r="F172" s="151" t="inlineStr">
        <is>
          <t>H</t>
        </is>
      </c>
      <c r="G172" s="150" t="inlineStr">
        <is>
          <t>Half-yearly</t>
        </is>
      </c>
    </row>
    <row r="173">
      <c r="B173" s="76" t="inlineStr">
        <is>
          <t>table 6</t>
        </is>
      </c>
      <c r="E173" s="150" t="inlineStr">
        <is>
          <t>Redemption frequency</t>
        </is>
      </c>
      <c r="F173" s="151" t="inlineStr">
        <is>
          <t>Y</t>
        </is>
      </c>
      <c r="G173" s="150" t="inlineStr">
        <is>
          <t>Yearly</t>
        </is>
      </c>
    </row>
    <row r="174">
      <c r="B174" s="76" t="inlineStr">
        <is>
          <t>table 6</t>
        </is>
      </c>
      <c r="E174" s="150" t="inlineStr">
        <is>
          <t>Redemption frequency</t>
        </is>
      </c>
      <c r="F174" s="151" t="inlineStr">
        <is>
          <t>O</t>
        </is>
      </c>
      <c r="G174" s="150" t="inlineStr">
        <is>
          <t>Other</t>
        </is>
      </c>
    </row>
    <row r="175">
      <c r="B175" s="76" t="inlineStr">
        <is>
          <t>table 6</t>
        </is>
      </c>
      <c r="E175" s="150" t="inlineStr">
        <is>
          <t>Redemption frequency</t>
        </is>
      </c>
      <c r="F175" s="151" t="inlineStr">
        <is>
          <t>N</t>
        </is>
      </c>
      <c r="G175" s="150" t="inlineStr">
        <is>
          <t>None</t>
        </is>
      </c>
    </row>
    <row r="176">
      <c r="B176" s="77" t="n"/>
    </row>
    <row r="177">
      <c r="B177" s="76" t="inlineStr">
        <is>
          <t>table 7</t>
        </is>
      </c>
      <c r="E177" s="73" t="n"/>
      <c r="F177" s="71" t="inlineStr">
        <is>
          <t>Code (field 208)</t>
        </is>
      </c>
      <c r="G177" s="71" t="inlineStr">
        <is>
          <t>Label</t>
        </is>
      </c>
    </row>
    <row r="178">
      <c r="B178" s="76" t="inlineStr">
        <is>
          <t>table 7</t>
        </is>
      </c>
      <c r="E178" s="144" t="inlineStr">
        <is>
          <t>Investor group</t>
        </is>
      </c>
      <c r="F178" s="152" t="inlineStr">
        <is>
          <t>NFCO</t>
        </is>
      </c>
      <c r="G178" s="72" t="inlineStr">
        <is>
          <t>Non-financial corporations</t>
        </is>
      </c>
    </row>
    <row r="179">
      <c r="B179" s="76" t="inlineStr">
        <is>
          <t>table 7</t>
        </is>
      </c>
      <c r="E179" s="144" t="inlineStr">
        <is>
          <t>Investor group</t>
        </is>
      </c>
      <c r="F179" s="152" t="inlineStr">
        <is>
          <t>BANK</t>
        </is>
      </c>
      <c r="G179" s="72" t="inlineStr">
        <is>
          <t>Banks</t>
        </is>
      </c>
    </row>
    <row r="180">
      <c r="B180" s="76" t="inlineStr">
        <is>
          <t>table 7</t>
        </is>
      </c>
      <c r="E180" s="144" t="inlineStr">
        <is>
          <t>Investor group</t>
        </is>
      </c>
      <c r="F180" s="152" t="inlineStr">
        <is>
          <t>INSC</t>
        </is>
      </c>
      <c r="G180" s="72" t="inlineStr">
        <is>
          <t>Insurance corporations</t>
        </is>
      </c>
    </row>
    <row r="181">
      <c r="B181" s="76" t="inlineStr">
        <is>
          <t>table 7</t>
        </is>
      </c>
      <c r="E181" s="144" t="inlineStr">
        <is>
          <t>Investor group</t>
        </is>
      </c>
      <c r="F181" s="152" t="inlineStr">
        <is>
          <t>OFIN</t>
        </is>
      </c>
      <c r="G181" s="72" t="inlineStr">
        <is>
          <t>Other financial institutions</t>
        </is>
      </c>
    </row>
    <row r="182">
      <c r="B182" s="76" t="inlineStr">
        <is>
          <t>table 7</t>
        </is>
      </c>
      <c r="E182" s="144" t="inlineStr">
        <is>
          <t>Investor group</t>
        </is>
      </c>
      <c r="F182" s="152" t="inlineStr">
        <is>
          <t>PFND</t>
        </is>
      </c>
      <c r="G182" s="72" t="inlineStr">
        <is>
          <t>Pension plans / funds</t>
        </is>
      </c>
    </row>
    <row r="183">
      <c r="B183" s="76" t="inlineStr">
        <is>
          <t>table 7</t>
        </is>
      </c>
      <c r="E183" s="144" t="inlineStr">
        <is>
          <t>Investor group</t>
        </is>
      </c>
      <c r="F183" s="152" t="inlineStr">
        <is>
          <t>GENG</t>
        </is>
      </c>
      <c r="G183" s="72" t="inlineStr">
        <is>
          <t>General government</t>
        </is>
      </c>
    </row>
    <row r="184" ht="22.5" customHeight="1">
      <c r="B184" s="76" t="inlineStr">
        <is>
          <t>table 7</t>
        </is>
      </c>
      <c r="E184" s="144" t="inlineStr">
        <is>
          <t>Investor group</t>
        </is>
      </c>
      <c r="F184" s="152" t="inlineStr">
        <is>
          <t>OCIU</t>
        </is>
      </c>
      <c r="G184" s="72" t="inlineStr">
        <is>
          <t>Other collective investment undertaking (e.g. fund of funds or master)</t>
        </is>
      </c>
    </row>
    <row r="185">
      <c r="B185" s="76" t="inlineStr">
        <is>
          <t>table 7</t>
        </is>
      </c>
      <c r="E185" s="144" t="inlineStr">
        <is>
          <t>Investor group</t>
        </is>
      </c>
      <c r="F185" s="152" t="inlineStr">
        <is>
          <t>HHLD</t>
        </is>
      </c>
      <c r="G185" s="72" t="inlineStr">
        <is>
          <t>Households</t>
        </is>
      </c>
    </row>
    <row r="186">
      <c r="B186" s="76" t="inlineStr">
        <is>
          <t>table 7</t>
        </is>
      </c>
      <c r="E186" s="144" t="inlineStr">
        <is>
          <t>Investor group</t>
        </is>
      </c>
      <c r="F186" s="152" t="inlineStr">
        <is>
          <t>UNKN</t>
        </is>
      </c>
      <c r="G186" s="72" t="inlineStr">
        <is>
          <t>Unknown</t>
        </is>
      </c>
    </row>
    <row r="187">
      <c r="B187" s="76" t="inlineStr">
        <is>
          <t>table 7</t>
        </is>
      </c>
      <c r="E187" s="144" t="inlineStr">
        <is>
          <t>Investor group</t>
        </is>
      </c>
      <c r="F187" s="152" t="inlineStr">
        <is>
          <t>NONE</t>
        </is>
      </c>
      <c r="G187" s="72" t="inlineStr">
        <is>
          <t>None</t>
        </is>
      </c>
    </row>
    <row r="188">
      <c r="B188" s="77" t="n"/>
    </row>
    <row r="189" ht="23.25" customHeight="1" thickBot="1">
      <c r="B189" s="76" t="inlineStr">
        <is>
          <t>Period Types</t>
        </is>
      </c>
      <c r="E189" s="73" t="n"/>
      <c r="F189" s="71" t="inlineStr">
        <is>
          <t>Code (field 8)</t>
        </is>
      </c>
      <c r="G189" s="67" t="inlineStr">
        <is>
          <t>Description</t>
        </is>
      </c>
    </row>
    <row r="190" ht="22.5" customHeight="1">
      <c r="B190" s="76" t="inlineStr">
        <is>
          <t>Period Types</t>
        </is>
      </c>
      <c r="E190" s="147" t="inlineStr">
        <is>
          <t>Reporting Period Type</t>
        </is>
      </c>
      <c r="F190" s="75" t="inlineStr">
        <is>
          <t>Q1</t>
        </is>
      </c>
      <c r="G190" s="75" t="inlineStr">
        <is>
          <t>For 1st quarter of the calendar year</t>
        </is>
      </c>
    </row>
    <row r="191" ht="22.5" customHeight="1">
      <c r="B191" s="76" t="inlineStr">
        <is>
          <t>Period Types</t>
        </is>
      </c>
      <c r="E191" s="144" t="inlineStr">
        <is>
          <t>Reporting Period Type</t>
        </is>
      </c>
      <c r="F191" s="75" t="inlineStr">
        <is>
          <t>Q2</t>
        </is>
      </c>
      <c r="G191" s="75" t="inlineStr">
        <is>
          <t>For 2nd quarter of the calendar year</t>
        </is>
      </c>
    </row>
    <row r="192" ht="22.5" customHeight="1">
      <c r="B192" s="76" t="inlineStr">
        <is>
          <t>Period Types</t>
        </is>
      </c>
      <c r="E192" s="144" t="inlineStr">
        <is>
          <t>Reporting Period Type</t>
        </is>
      </c>
      <c r="F192" s="75" t="inlineStr">
        <is>
          <t>Q3</t>
        </is>
      </c>
      <c r="G192" s="75" t="inlineStr">
        <is>
          <t>For 3rd quarter of the calendar year</t>
        </is>
      </c>
    </row>
    <row r="193" ht="22.5" customHeight="1">
      <c r="B193" s="76" t="inlineStr">
        <is>
          <t>Period Types</t>
        </is>
      </c>
      <c r="E193" s="144" t="inlineStr">
        <is>
          <t>Reporting Period Type</t>
        </is>
      </c>
      <c r="F193" s="75" t="inlineStr">
        <is>
          <t>Q4</t>
        </is>
      </c>
      <c r="G193" s="75" t="inlineStr">
        <is>
          <t>For 4th quarter of the calendar year</t>
        </is>
      </c>
    </row>
    <row r="194" ht="22.5" customHeight="1">
      <c r="B194" s="76" t="inlineStr">
        <is>
          <t>Period Types</t>
        </is>
      </c>
      <c r="E194" s="144" t="inlineStr">
        <is>
          <t>Reporting Period Type</t>
        </is>
      </c>
      <c r="F194" s="75" t="inlineStr">
        <is>
          <t>H1</t>
        </is>
      </c>
      <c r="G194" s="75" t="inlineStr">
        <is>
          <t>For 1st half of the calendar year</t>
        </is>
      </c>
    </row>
    <row r="195" ht="22.5" customHeight="1">
      <c r="B195" s="76" t="inlineStr">
        <is>
          <t>Period Types</t>
        </is>
      </c>
      <c r="E195" s="144" t="inlineStr">
        <is>
          <t>Reporting Period Type</t>
        </is>
      </c>
      <c r="F195" s="75" t="inlineStr">
        <is>
          <t>H2</t>
        </is>
      </c>
      <c r="G195" s="75" t="inlineStr">
        <is>
          <t>For 2nd half of the calendar year</t>
        </is>
      </c>
    </row>
    <row r="196" ht="22.5" customHeight="1">
      <c r="B196" s="76" t="inlineStr">
        <is>
          <t>Period Types</t>
        </is>
      </c>
      <c r="E196" s="144" t="inlineStr">
        <is>
          <t>Reporting Period Type</t>
        </is>
      </c>
      <c r="F196" s="75" t="inlineStr">
        <is>
          <t>Y1</t>
        </is>
      </c>
      <c r="G196" s="75" t="inlineStr">
        <is>
          <t>For the calendar year</t>
        </is>
      </c>
    </row>
    <row r="197" ht="22.5" customHeight="1">
      <c r="B197" s="76" t="inlineStr">
        <is>
          <t>Period Types</t>
        </is>
      </c>
      <c r="E197" s="144" t="inlineStr">
        <is>
          <t>Reporting Period Type</t>
        </is>
      </c>
      <c r="F197" s="75" t="inlineStr">
        <is>
          <t>X1</t>
        </is>
      </c>
      <c r="G197" s="75" t="inlineStr">
        <is>
          <t>For period from 1st quarter to 3rd quarter</t>
        </is>
      </c>
    </row>
    <row r="198" ht="22.5" customHeight="1">
      <c r="B198" s="76" t="inlineStr">
        <is>
          <t>Period Types</t>
        </is>
      </c>
      <c r="E198" s="144" t="inlineStr">
        <is>
          <t>Reporting Period Type</t>
        </is>
      </c>
      <c r="F198" s="75" t="inlineStr">
        <is>
          <t>X2</t>
        </is>
      </c>
      <c r="G198" s="75" t="inlineStr">
        <is>
          <t>For period from 2nd quarter to 4th quarter</t>
        </is>
      </c>
    </row>
    <row r="199">
      <c r="B199" s="153" t="n"/>
      <c r="E199" s="156" t="n"/>
      <c r="F199" s="154" t="n"/>
      <c r="G199" s="154" t="n"/>
    </row>
    <row r="200" ht="22.5" customHeight="1">
      <c r="B200" s="76" t="inlineStr">
        <is>
          <t xml:space="preserve">Risk </t>
        </is>
      </c>
      <c r="D200" s="67" t="inlineStr">
        <is>
          <t>Risk Measure Type
RISK (field 138)</t>
        </is>
      </c>
      <c r="E200" s="155" t="inlineStr">
        <is>
          <t>Description</t>
        </is>
      </c>
      <c r="F200" s="67" t="inlineStr">
        <is>
          <t>Relevant Instrument type</t>
        </is>
      </c>
    </row>
    <row r="201" ht="22.5" customHeight="1">
      <c r="B201" s="76" t="inlineStr">
        <is>
          <t xml:space="preserve">Risk </t>
        </is>
      </c>
      <c r="D201" s="75" t="inlineStr">
        <is>
          <t>NET_EQTY_DELTA</t>
        </is>
      </c>
      <c r="E201" s="75" t="inlineStr">
        <is>
          <t>Net Equity Delta</t>
        </is>
      </c>
      <c r="F201" s="75" t="inlineStr">
        <is>
          <t>Equity / Equity Derivatives</t>
        </is>
      </c>
    </row>
    <row r="202" ht="22.5" customHeight="1">
      <c r="B202" s="76" t="inlineStr">
        <is>
          <t xml:space="preserve">Risk </t>
        </is>
      </c>
      <c r="D202" s="75" t="inlineStr">
        <is>
          <t>NET_DV01</t>
        </is>
      </c>
      <c r="E202" s="75" t="inlineStr">
        <is>
          <t>Net DV01 - Shows change in bond price relative to decrease in bonds yield</t>
        </is>
      </c>
      <c r="F202" s="75" t="inlineStr">
        <is>
          <t>Fixed income</t>
        </is>
      </c>
    </row>
    <row r="203">
      <c r="B203" s="76" t="inlineStr">
        <is>
          <t xml:space="preserve">Risk </t>
        </is>
      </c>
      <c r="D203" s="75" t="inlineStr">
        <is>
          <t>NET_CS01</t>
        </is>
      </c>
      <c r="E203" s="75" t="inlineStr">
        <is>
          <t>Net CSO1 - credit exposure of the swap at a given point in time</t>
        </is>
      </c>
      <c r="F203" s="75" t="inlineStr">
        <is>
          <t>Fixed income</t>
        </is>
      </c>
    </row>
    <row r="204">
      <c r="B204" s="76" t="inlineStr">
        <is>
          <t xml:space="preserve">Risk </t>
        </is>
      </c>
      <c r="D204" s="75" t="inlineStr">
        <is>
          <t>VEGA_EXPO</t>
        </is>
      </c>
      <c r="E204" s="75" t="inlineStr">
        <is>
          <t>Price change of instrument / vol change underlying</t>
        </is>
      </c>
      <c r="F204" s="75" t="inlineStr">
        <is>
          <t>All</t>
        </is>
      </c>
    </row>
    <row r="205">
      <c r="B205" s="76" t="inlineStr">
        <is>
          <t xml:space="preserve">Risk </t>
        </is>
      </c>
      <c r="D205" s="75" t="inlineStr">
        <is>
          <t>VAR</t>
        </is>
      </c>
      <c r="E205" s="75" t="inlineStr">
        <is>
          <t>Value at Risk</t>
        </is>
      </c>
      <c r="F205" s="75" t="inlineStr">
        <is>
          <t>All</t>
        </is>
      </c>
    </row>
    <row r="206">
      <c r="B206" s="76" t="inlineStr">
        <is>
          <t xml:space="preserve">Risk </t>
        </is>
      </c>
      <c r="D206" s="75" t="inlineStr">
        <is>
          <t>NET_FX_DELTA</t>
        </is>
      </c>
      <c r="E206" s="75" t="inlineStr">
        <is>
          <t>Net FX Delta</t>
        </is>
      </c>
      <c r="F206" s="75" t="inlineStr">
        <is>
          <t>FX</t>
        </is>
      </c>
    </row>
    <row r="207" ht="22.5" customHeight="1">
      <c r="B207" s="76" t="inlineStr">
        <is>
          <t xml:space="preserve">Risk </t>
        </is>
      </c>
      <c r="D207" s="75" t="inlineStr">
        <is>
          <t>NET_CTY_DELTA</t>
        </is>
      </c>
      <c r="E207" s="75" t="inlineStr">
        <is>
          <t>Net Commodity Delta</t>
        </is>
      </c>
      <c r="F207" s="75" t="inlineStr">
        <is>
          <t>Commodities / Derivatives</t>
        </is>
      </c>
    </row>
  </sheetData>
  <autoFilter ref="B1:B207"/>
  <mergeCells count="5">
    <mergeCell ref="F2:G2"/>
    <mergeCell ref="H2:I2"/>
    <mergeCell ref="D2:E2"/>
    <mergeCell ref="H78:I78"/>
    <mergeCell ref="D1:I1"/>
  </mergeCells>
  <pageMargins left="0.7" right="0.7" top="0.75" bottom="0.75" header="0.3" footer="0.3"/>
  <pageSetup orientation="portrait" paperSize="9"/>
</worksheet>
</file>

<file path=xl/worksheets/sheet6.xml><?xml version="1.0" encoding="utf-8"?>
<worksheet xmlns="http://schemas.openxmlformats.org/spreadsheetml/2006/main">
  <sheetPr>
    <tabColor theme="4" tint="-0.499984740745262"/>
    <outlinePr summaryBelow="1" summaryRight="1"/>
    <pageSetUpPr fitToPage="1"/>
  </sheetPr>
  <dimension ref="A1:AJ272"/>
  <sheetViews>
    <sheetView workbookViewId="0">
      <pane ySplit="4" topLeftCell="A5" activePane="bottomLeft" state="frozen"/>
      <selection activeCell="C20" sqref="C20"/>
      <selection pane="bottomLeft" activeCell="AJ259" sqref="A5:AJ259"/>
    </sheetView>
  </sheetViews>
  <sheetFormatPr baseColWidth="10" defaultColWidth="9.140625" defaultRowHeight="11.25"/>
  <cols>
    <col width="1.85546875" bestFit="1" customWidth="1" style="3" min="1" max="1"/>
    <col width="39.85546875" bestFit="1" customWidth="1" style="1" min="2" max="2"/>
    <col width="3" bestFit="1" customWidth="1" style="1" min="3" max="3"/>
    <col width="6" bestFit="1" customWidth="1" style="1" min="4" max="4"/>
    <col width="2.85546875" bestFit="1" customWidth="1" style="1" min="5" max="5"/>
    <col width="4.42578125" bestFit="1" customWidth="1" style="1" min="6" max="6"/>
    <col width="3" bestFit="1" customWidth="1" style="1" min="7" max="7"/>
    <col width="2.85546875" bestFit="1" customWidth="1" style="1" min="8" max="8"/>
    <col width="5.140625" bestFit="1" customWidth="1" style="1" min="9" max="9"/>
    <col width="8.85546875" bestFit="1" customWidth="1" style="2" min="10" max="10"/>
    <col width="1.85546875" bestFit="1" customWidth="1" style="2" min="11" max="11"/>
    <col width="2.85546875" bestFit="1" customWidth="1" style="2" min="12" max="13"/>
    <col width="1.85546875" bestFit="1" customWidth="1" style="2" min="14" max="14"/>
    <col width="2.85546875" bestFit="1" customWidth="1" style="2" min="15" max="16"/>
    <col width="6.140625" bestFit="1" customWidth="1" style="2" min="17" max="17"/>
    <col width="4.5703125" bestFit="1" customWidth="1" style="2" min="18" max="18"/>
    <col width="3.85546875" bestFit="1" customWidth="1" style="2" min="19" max="19"/>
    <col width="9.42578125" bestFit="1" customWidth="1" style="2" min="20" max="20"/>
    <col width="12" bestFit="1" customWidth="1" style="2" min="21" max="21"/>
    <col width="4.85546875" customWidth="1" style="2" min="22" max="22"/>
    <col width="2.85546875" bestFit="1" customWidth="1" style="2" min="23" max="25"/>
    <col width="11.85546875" bestFit="1" customWidth="1" style="2" min="26" max="26"/>
    <col width="4.140625" bestFit="1" customWidth="1" style="2" min="27" max="27"/>
    <col width="11.140625" bestFit="1" customWidth="1" style="2" min="28" max="28"/>
    <col width="3.85546875" bestFit="1" customWidth="1" style="2" min="29" max="29"/>
    <col width="11.140625" bestFit="1" customWidth="1" style="2" min="30" max="30"/>
    <col width="4.5703125" bestFit="1" customWidth="1" style="2" min="31" max="31"/>
    <col width="13.5703125" bestFit="1" customWidth="1" style="2" min="32" max="32"/>
    <col width="5.85546875" bestFit="1" customWidth="1" style="2" min="33" max="33"/>
    <col width="3.5703125" bestFit="1" customWidth="1" style="2" min="34" max="34"/>
    <col width="4.85546875" bestFit="1" customWidth="1" style="2" min="35" max="35"/>
    <col width="4.140625" bestFit="1" customWidth="1" style="2" min="36" max="36"/>
    <col width="9.140625" customWidth="1" style="1" min="37" max="16384"/>
  </cols>
  <sheetData>
    <row r="1" ht="19.5" customHeight="1" thickBot="1">
      <c r="A1" s="4" t="n"/>
      <c r="B1" s="15" t="inlineStr">
        <is>
          <t>Validation Lists Annex IV Template</t>
        </is>
      </c>
      <c r="C1" s="5" t="n"/>
      <c r="D1" s="5" t="n"/>
      <c r="E1" s="5" t="n"/>
      <c r="F1" s="5" t="n"/>
      <c r="G1" s="5" t="n"/>
      <c r="H1" s="5" t="n"/>
      <c r="I1" s="5" t="n"/>
      <c r="J1" s="16"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row>
    <row r="2" ht="12" customFormat="1" customHeight="1" s="7" thickBot="1">
      <c r="A2" s="7" t="inlineStr">
        <is>
          <t>#</t>
        </is>
      </c>
      <c r="B2" s="10" t="inlineStr">
        <is>
          <t>MATTERHORN</t>
        </is>
      </c>
      <c r="C2" s="300" t="inlineStr">
        <is>
          <t>Both AIFM &amp; AIF</t>
        </is>
      </c>
      <c r="D2" s="301" t="n"/>
      <c r="E2" s="301" t="n"/>
      <c r="F2" s="301" t="n"/>
      <c r="G2" s="301" t="n"/>
      <c r="H2" s="301" t="n"/>
      <c r="I2" s="301" t="n"/>
      <c r="J2" s="302" t="n"/>
      <c r="K2" s="300" t="inlineStr">
        <is>
          <t>MANAGER (AIFM)</t>
        </is>
      </c>
      <c r="L2" s="301" t="n"/>
      <c r="M2" s="302" t="n"/>
      <c r="N2" s="300" t="inlineStr">
        <is>
          <t>FUND (AIF)</t>
        </is>
      </c>
      <c r="O2" s="301" t="n"/>
      <c r="P2" s="301" t="n"/>
      <c r="Q2" s="301" t="n"/>
      <c r="R2" s="301" t="n"/>
      <c r="S2" s="301" t="n"/>
      <c r="T2" s="301" t="n"/>
      <c r="U2" s="301" t="n"/>
      <c r="V2" s="301" t="n"/>
      <c r="W2" s="301" t="n"/>
      <c r="X2" s="301" t="n"/>
      <c r="Y2" s="301" t="n"/>
      <c r="Z2" s="301" t="n"/>
      <c r="AA2" s="301" t="n"/>
      <c r="AB2" s="301" t="n"/>
      <c r="AC2" s="301" t="n"/>
      <c r="AD2" s="301" t="n"/>
      <c r="AE2" s="301" t="n"/>
      <c r="AF2" s="301" t="n"/>
      <c r="AG2" s="301" t="n"/>
      <c r="AH2" s="301" t="n"/>
      <c r="AI2" s="301" t="n"/>
      <c r="AJ2" s="302" t="n"/>
    </row>
    <row r="3" ht="12"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2"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2" customFormat="1" customHeight="1" s="13" thickBot="1">
      <c r="A5" s="11" t="inlineStr">
        <is>
          <t>#</t>
        </is>
      </c>
      <c r="B5" s="227" t="n"/>
      <c r="C5" s="228" t="n"/>
      <c r="D5" s="228" t="n"/>
      <c r="E5" s="228" t="n"/>
      <c r="F5" s="228" t="n"/>
      <c r="G5" s="229" t="n"/>
      <c r="H5" s="229" t="n"/>
      <c r="I5" s="228" t="n"/>
      <c r="J5" s="228" t="n"/>
      <c r="K5" s="228" t="n"/>
      <c r="L5" s="229" t="n"/>
      <c r="M5" s="228" t="n"/>
      <c r="N5" s="229" t="n"/>
      <c r="O5" s="229" t="n"/>
      <c r="P5" s="229" t="n"/>
      <c r="Q5" s="229" t="n"/>
      <c r="R5" s="229" t="n"/>
      <c r="S5" s="229" t="n"/>
      <c r="T5" s="229" t="n"/>
      <c r="U5" s="229" t="n"/>
      <c r="V5" s="229" t="n"/>
      <c r="W5" s="229" t="n"/>
      <c r="X5" s="229" t="n"/>
      <c r="Y5" s="229" t="n"/>
      <c r="Z5" s="229" t="n"/>
      <c r="AA5" s="229" t="n"/>
      <c r="AB5" s="229" t="n"/>
      <c r="AC5" s="229" t="n"/>
      <c r="AD5" s="229" t="n"/>
      <c r="AE5" s="229" t="n"/>
      <c r="AF5" s="229" t="n"/>
      <c r="AG5" s="229" t="n"/>
      <c r="AH5" s="229" t="n"/>
      <c r="AI5" s="229" t="n"/>
      <c r="AJ5" s="229" t="n"/>
    </row>
    <row r="6" customFormat="1" s="13">
      <c r="A6" s="11" t="inlineStr">
        <is>
          <t>#</t>
        </is>
      </c>
      <c r="B6" s="227" t="inlineStr">
        <is>
          <t>AIF</t>
        </is>
      </c>
      <c r="C6" s="228" t="inlineStr">
        <is>
          <t>AT</t>
        </is>
      </c>
      <c r="D6" s="228" t="inlineStr">
        <is>
          <t>AMND</t>
        </is>
      </c>
      <c r="E6" s="228" t="inlineStr">
        <is>
          <t>Q1</t>
        </is>
      </c>
      <c r="F6" s="228" t="n">
        <v>2018</v>
      </c>
      <c r="G6" s="229" t="inlineStr">
        <is>
          <t>YH</t>
        </is>
      </c>
      <c r="H6" s="229" t="inlineStr">
        <is>
          <t>Q1</t>
        </is>
      </c>
      <c r="I6" s="228" t="inlineStr">
        <is>
          <t>yes</t>
        </is>
      </c>
      <c r="J6" s="228" t="inlineStr">
        <is>
          <t>BE</t>
        </is>
      </c>
      <c r="K6" s="228" t="n">
        <v>1</v>
      </c>
      <c r="L6" s="229" t="n">
        <v>1</v>
      </c>
      <c r="M6" s="228" t="n">
        <v>1</v>
      </c>
      <c r="N6" s="229" t="n">
        <v>1</v>
      </c>
      <c r="O6" s="229" t="n">
        <v>1</v>
      </c>
      <c r="P6" s="229" t="n">
        <v>1</v>
      </c>
      <c r="Q6" s="229" t="inlineStr">
        <is>
          <t>NONE</t>
        </is>
      </c>
      <c r="R6" s="229" t="inlineStr">
        <is>
          <t>CHF</t>
        </is>
      </c>
      <c r="S6" s="229" t="inlineStr">
        <is>
          <t>ECB</t>
        </is>
      </c>
      <c r="T6" s="229" t="inlineStr">
        <is>
          <t>EQTY_LGBS</t>
        </is>
      </c>
      <c r="U6" s="229" t="inlineStr">
        <is>
          <t>CIU_NAM_AETF</t>
        </is>
      </c>
      <c r="V6" s="229" t="n"/>
      <c r="W6" s="229" t="inlineStr">
        <is>
          <t>O</t>
        </is>
      </c>
      <c r="X6" s="229" t="inlineStr">
        <is>
          <t>P</t>
        </is>
      </c>
      <c r="Y6" s="229" t="n"/>
      <c r="Z6" s="229" t="inlineStr">
        <is>
          <t>AFRICA</t>
        </is>
      </c>
      <c r="AA6" s="229" t="inlineStr">
        <is>
          <t>CP</t>
        </is>
      </c>
      <c r="AB6" s="229" t="inlineStr">
        <is>
          <t>V_SMALL</t>
        </is>
      </c>
      <c r="AC6" s="229" t="inlineStr">
        <is>
          <t>MIC</t>
        </is>
      </c>
      <c r="AD6" s="229" t="inlineStr">
        <is>
          <t>CIU_CIU_CIU</t>
        </is>
      </c>
      <c r="AE6" s="229" t="inlineStr">
        <is>
          <t>ACAP</t>
        </is>
      </c>
      <c r="AF6" s="229" t="inlineStr">
        <is>
          <t>NET_EQTY_DELTA</t>
        </is>
      </c>
      <c r="AG6" s="229" t="inlineStr">
        <is>
          <t>HISTO</t>
        </is>
      </c>
      <c r="AH6" s="229" t="inlineStr">
        <is>
          <t>D</t>
        </is>
      </c>
      <c r="AI6" s="229" t="inlineStr">
        <is>
          <t>NFCO</t>
        </is>
      </c>
      <c r="AJ6" s="229" t="n">
        <v>1</v>
      </c>
    </row>
    <row r="7" customFormat="1" s="13">
      <c r="A7" s="11" t="inlineStr">
        <is>
          <t>#</t>
        </is>
      </c>
      <c r="B7" s="230" t="inlineStr">
        <is>
          <t>AIF_ASSUMPTION</t>
        </is>
      </c>
      <c r="C7" s="229" t="inlineStr">
        <is>
          <t>BE</t>
        </is>
      </c>
      <c r="D7" s="229" t="inlineStr">
        <is>
          <t>CANCEL</t>
        </is>
      </c>
      <c r="E7" s="229" t="inlineStr">
        <is>
          <t>Q2</t>
        </is>
      </c>
      <c r="F7" s="229" t="n">
        <v>2019</v>
      </c>
      <c r="G7" s="229" t="inlineStr">
        <is>
          <t>YQ</t>
        </is>
      </c>
      <c r="H7" s="229" t="inlineStr">
        <is>
          <t>Q2</t>
        </is>
      </c>
      <c r="I7" s="229" t="inlineStr">
        <is>
          <t>no</t>
        </is>
      </c>
      <c r="J7" s="229" t="inlineStr">
        <is>
          <t>DE</t>
        </is>
      </c>
      <c r="K7" s="229" t="n">
        <v>2</v>
      </c>
      <c r="L7" s="229" t="n">
        <v>2</v>
      </c>
      <c r="M7" s="229" t="n">
        <v>2</v>
      </c>
      <c r="N7" s="229" t="n">
        <v>2</v>
      </c>
      <c r="O7" s="229" t="n">
        <v>2</v>
      </c>
      <c r="P7" s="229" t="n">
        <v>2</v>
      </c>
      <c r="Q7" s="229" t="inlineStr">
        <is>
          <t>MASTER</t>
        </is>
      </c>
      <c r="R7" s="229" t="inlineStr">
        <is>
          <t>DKK</t>
        </is>
      </c>
      <c r="S7" s="229" t="inlineStr">
        <is>
          <t>OTH</t>
        </is>
      </c>
      <c r="T7" s="229" t="inlineStr">
        <is>
          <t>EQTY_LGST</t>
        </is>
      </c>
      <c r="U7" s="229" t="inlineStr">
        <is>
          <t>CIU_NAM_MMFC</t>
        </is>
      </c>
      <c r="V7" s="229" t="n"/>
      <c r="W7" s="229" t="inlineStr">
        <is>
          <t>F</t>
        </is>
      </c>
      <c r="X7" s="229" t="inlineStr">
        <is>
          <t>C</t>
        </is>
      </c>
      <c r="Y7" s="229" t="inlineStr">
        <is>
          <t>L</t>
        </is>
      </c>
      <c r="Z7" s="229" t="inlineStr">
        <is>
          <t>ASIAPACIFIC</t>
        </is>
      </c>
      <c r="AA7" s="229" t="inlineStr">
        <is>
          <t>CCP</t>
        </is>
      </c>
      <c r="AB7" s="229" t="inlineStr">
        <is>
          <t>SMALL</t>
        </is>
      </c>
      <c r="AC7" s="229" t="inlineStr">
        <is>
          <t>OTC</t>
        </is>
      </c>
      <c r="AD7" s="229" t="inlineStr">
        <is>
          <t>DER_CDS_CDS</t>
        </is>
      </c>
      <c r="AE7" s="229" t="inlineStr">
        <is>
          <t>BOUT</t>
        </is>
      </c>
      <c r="AF7" s="229" t="inlineStr">
        <is>
          <t>NET_DV01</t>
        </is>
      </c>
      <c r="AG7" s="229" t="inlineStr">
        <is>
          <t>CARLO</t>
        </is>
      </c>
      <c r="AH7" s="229" t="inlineStr">
        <is>
          <t>W</t>
        </is>
      </c>
      <c r="AI7" s="229" t="inlineStr">
        <is>
          <t>BANK</t>
        </is>
      </c>
      <c r="AJ7" s="229" t="n">
        <v>2</v>
      </c>
    </row>
    <row r="8" customFormat="1" s="13">
      <c r="A8" s="11" t="inlineStr">
        <is>
          <t>#</t>
        </is>
      </c>
      <c r="B8" s="230" t="inlineStr">
        <is>
          <t>AIF_EXTERNAL</t>
        </is>
      </c>
      <c r="C8" s="229" t="inlineStr">
        <is>
          <t>BG</t>
        </is>
      </c>
      <c r="D8" s="229" t="inlineStr">
        <is>
          <t>INIT</t>
        </is>
      </c>
      <c r="E8" s="229" t="inlineStr">
        <is>
          <t>Q3</t>
        </is>
      </c>
      <c r="F8" s="229" t="n">
        <v>2020</v>
      </c>
      <c r="G8" s="229" t="inlineStr">
        <is>
          <t>HY</t>
        </is>
      </c>
      <c r="H8" s="229" t="inlineStr">
        <is>
          <t>Q3</t>
        </is>
      </c>
      <c r="I8" s="229" t="n"/>
      <c r="J8" s="229" t="inlineStr">
        <is>
          <t>GB</t>
        </is>
      </c>
      <c r="K8" s="229" t="n">
        <v>3</v>
      </c>
      <c r="L8" s="229" t="n">
        <v>3</v>
      </c>
      <c r="M8" s="229" t="n">
        <v>3</v>
      </c>
      <c r="N8" s="229" t="n">
        <v>3</v>
      </c>
      <c r="O8" s="229" t="n">
        <v>3</v>
      </c>
      <c r="P8" s="229" t="n">
        <v>3</v>
      </c>
      <c r="Q8" s="229" t="inlineStr">
        <is>
          <t>FEEDER</t>
        </is>
      </c>
      <c r="R8" s="229" t="inlineStr">
        <is>
          <t>EUR</t>
        </is>
      </c>
      <c r="S8" s="229" t="n"/>
      <c r="T8" s="229" t="inlineStr">
        <is>
          <t>EQTY_MTNL</t>
        </is>
      </c>
      <c r="U8" s="229" t="inlineStr">
        <is>
          <t>CIU_NAM_OTHR</t>
        </is>
      </c>
      <c r="V8" s="229" t="n"/>
      <c r="W8" s="229" t="n"/>
      <c r="X8" s="229" t="inlineStr">
        <is>
          <t>F</t>
        </is>
      </c>
      <c r="Y8" s="229" t="inlineStr">
        <is>
          <t>S</t>
        </is>
      </c>
      <c r="Z8" s="229" t="inlineStr">
        <is>
          <t>EUROPENONEEA</t>
        </is>
      </c>
      <c r="AA8" s="229" t="n"/>
      <c r="AB8" s="229" t="inlineStr">
        <is>
          <t>LOW_MID_MKT</t>
        </is>
      </c>
      <c r="AC8" s="229" t="inlineStr">
        <is>
          <t>XXX</t>
        </is>
      </c>
      <c r="AD8" s="229" t="inlineStr">
        <is>
          <t>DER_CTY_CTY</t>
        </is>
      </c>
      <c r="AE8" s="229" t="inlineStr">
        <is>
          <t>CONS</t>
        </is>
      </c>
      <c r="AF8" s="229" t="inlineStr">
        <is>
          <t>NET_CS01</t>
        </is>
      </c>
      <c r="AG8" s="229" t="inlineStr">
        <is>
          <t>PARAM</t>
        </is>
      </c>
      <c r="AH8" s="229" t="inlineStr">
        <is>
          <t>F</t>
        </is>
      </c>
      <c r="AI8" s="229" t="inlineStr">
        <is>
          <t>INSC</t>
        </is>
      </c>
      <c r="AJ8" s="229" t="n">
        <v>3</v>
      </c>
    </row>
    <row r="9" customFormat="1" s="13">
      <c r="A9" s="11" t="inlineStr">
        <is>
          <t>#</t>
        </is>
      </c>
      <c r="B9" s="230" t="inlineStr">
        <is>
          <t>AIFM</t>
        </is>
      </c>
      <c r="C9" s="229" t="inlineStr">
        <is>
          <t>CY</t>
        </is>
      </c>
      <c r="D9" s="229" t="n"/>
      <c r="E9" s="229" t="inlineStr">
        <is>
          <t>Q4</t>
        </is>
      </c>
      <c r="F9" s="229" t="n">
        <v>2021</v>
      </c>
      <c r="G9" s="229" t="inlineStr">
        <is>
          <t>HQ</t>
        </is>
      </c>
      <c r="H9" s="229" t="inlineStr">
        <is>
          <t>Q4</t>
        </is>
      </c>
      <c r="I9" s="229" t="n"/>
      <c r="J9" s="229" t="inlineStr">
        <is>
          <t>IE</t>
        </is>
      </c>
      <c r="K9" s="229" t="n"/>
      <c r="L9" s="229" t="n">
        <v>4</v>
      </c>
      <c r="M9" s="229" t="n">
        <v>4</v>
      </c>
      <c r="N9" s="229" t="n">
        <v>4</v>
      </c>
      <c r="O9" s="229" t="n">
        <v>4</v>
      </c>
      <c r="P9" s="229" t="n">
        <v>4</v>
      </c>
      <c r="Q9" s="229" t="n"/>
      <c r="R9" s="229" t="inlineStr">
        <is>
          <t>GBP</t>
        </is>
      </c>
      <c r="S9" s="229" t="n"/>
      <c r="T9" s="229" t="inlineStr">
        <is>
          <t>EQTY_STBS</t>
        </is>
      </c>
      <c r="U9" s="229" t="inlineStr">
        <is>
          <t>CIU_OAM_AETF</t>
        </is>
      </c>
      <c r="V9" s="229" t="n"/>
      <c r="W9" s="229" t="n"/>
      <c r="X9" s="229" t="n"/>
      <c r="Y9" s="229" t="n"/>
      <c r="Z9" s="229" t="inlineStr">
        <is>
          <t>EUROPEEEA</t>
        </is>
      </c>
      <c r="AA9" s="229" t="n"/>
      <c r="AB9" s="229" t="inlineStr">
        <is>
          <t>UP_MID_MKT</t>
        </is>
      </c>
      <c r="AC9" s="229" t="n"/>
      <c r="AD9" s="229" t="inlineStr">
        <is>
          <t>DER_EQD_EQD</t>
        </is>
      </c>
      <c r="AE9" s="229" t="inlineStr">
        <is>
          <t>CDIV</t>
        </is>
      </c>
      <c r="AF9" s="229" t="inlineStr">
        <is>
          <t>VEGA_EXPO</t>
        </is>
      </c>
      <c r="AG9" s="11" t="n"/>
      <c r="AH9" s="229" t="inlineStr">
        <is>
          <t>M</t>
        </is>
      </c>
      <c r="AI9" s="229" t="inlineStr">
        <is>
          <t>OFIN</t>
        </is>
      </c>
      <c r="AJ9" s="229" t="n">
        <v>4</v>
      </c>
    </row>
    <row r="10" customFormat="1" s="13">
      <c r="A10" s="11" t="inlineStr">
        <is>
          <t>#</t>
        </is>
      </c>
      <c r="B10" s="230" t="inlineStr">
        <is>
          <t>AIFM_ASSUMPTION</t>
        </is>
      </c>
      <c r="C10" s="229" t="inlineStr">
        <is>
          <t>CZ</t>
        </is>
      </c>
      <c r="D10" s="229" t="n"/>
      <c r="E10" s="229" t="inlineStr">
        <is>
          <t>H1</t>
        </is>
      </c>
      <c r="F10" s="229" t="n">
        <v>2022</v>
      </c>
      <c r="G10" s="229" t="inlineStr">
        <is>
          <t>QY</t>
        </is>
      </c>
      <c r="H10" s="229" t="n"/>
      <c r="I10" s="229" t="n"/>
      <c r="J10" s="229" t="inlineStr">
        <is>
          <t>LU</t>
        </is>
      </c>
      <c r="K10" s="229" t="n"/>
      <c r="L10" s="229" t="n">
        <v>5</v>
      </c>
      <c r="M10" s="229" t="n">
        <v>5</v>
      </c>
      <c r="N10" s="229" t="n">
        <v>5</v>
      </c>
      <c r="O10" s="229" t="n">
        <v>5</v>
      </c>
      <c r="P10" s="229" t="n">
        <v>5</v>
      </c>
      <c r="Q10" s="229" t="n"/>
      <c r="R10" s="229" t="inlineStr">
        <is>
          <t>ISK</t>
        </is>
      </c>
      <c r="S10" s="231" t="n"/>
      <c r="T10" s="229" t="inlineStr">
        <is>
          <t>RELV_FXIA</t>
        </is>
      </c>
      <c r="U10" s="229" t="inlineStr">
        <is>
          <t>CIU_OAM_MMFC</t>
        </is>
      </c>
      <c r="V10" s="229" t="n"/>
      <c r="W10" s="229" t="n"/>
      <c r="X10" s="229" t="n"/>
      <c r="Y10" s="229" t="n"/>
      <c r="Z10" s="229" t="inlineStr">
        <is>
          <t>MIDDLEEAST</t>
        </is>
      </c>
      <c r="AA10" s="229" t="n"/>
      <c r="AB10" s="229" t="inlineStr">
        <is>
          <t>L_CAP</t>
        </is>
      </c>
      <c r="AC10" s="229" t="n"/>
      <c r="AD10" s="229" t="inlineStr">
        <is>
          <t>DER_FEX_HED</t>
        </is>
      </c>
      <c r="AE10" s="229" t="inlineStr">
        <is>
          <t>ESOP</t>
        </is>
      </c>
      <c r="AF10" s="229" t="inlineStr">
        <is>
          <t>VAR</t>
        </is>
      </c>
      <c r="AG10" s="229" t="n"/>
      <c r="AH10" s="229" t="inlineStr">
        <is>
          <t>Q</t>
        </is>
      </c>
      <c r="AI10" s="229" t="inlineStr">
        <is>
          <t>PFND</t>
        </is>
      </c>
      <c r="AJ10" s="229" t="n">
        <v>5</v>
      </c>
    </row>
    <row r="11" customFormat="1" s="13">
      <c r="A11" s="11" t="inlineStr">
        <is>
          <t>#</t>
        </is>
      </c>
      <c r="B11" s="230" t="inlineStr">
        <is>
          <t>BORROW_SOURCE</t>
        </is>
      </c>
      <c r="C11" s="229" t="inlineStr">
        <is>
          <t>DE</t>
        </is>
      </c>
      <c r="D11" s="229" t="n"/>
      <c r="E11" s="229" t="inlineStr">
        <is>
          <t>H2</t>
        </is>
      </c>
      <c r="F11" s="229" t="n">
        <v>2023</v>
      </c>
      <c r="G11" s="229" t="inlineStr">
        <is>
          <t>QH</t>
        </is>
      </c>
      <c r="H11" s="229" t="n"/>
      <c r="I11" s="229" t="n"/>
      <c r="J11" s="229" t="inlineStr">
        <is>
          <t>NL</t>
        </is>
      </c>
      <c r="K11" s="229" t="n"/>
      <c r="L11" s="229" t="n">
        <v>6</v>
      </c>
      <c r="M11" s="229" t="n">
        <v>6</v>
      </c>
      <c r="N11" s="229" t="n"/>
      <c r="O11" s="229" t="n">
        <v>6</v>
      </c>
      <c r="P11" s="229" t="n">
        <v>6</v>
      </c>
      <c r="Q11" s="229" t="n"/>
      <c r="R11" s="229" t="inlineStr">
        <is>
          <t>NOK</t>
        </is>
      </c>
      <c r="S11" s="229" t="n"/>
      <c r="T11" s="231" t="inlineStr">
        <is>
          <t>RELV_CBAR</t>
        </is>
      </c>
      <c r="U11" s="229" t="inlineStr">
        <is>
          <t>CIU_OAM_OTHR</t>
        </is>
      </c>
      <c r="V11" s="229" t="n"/>
      <c r="W11" s="229" t="n"/>
      <c r="X11" s="229" t="n"/>
      <c r="Y11" s="229" t="n"/>
      <c r="Z11" s="229" t="inlineStr">
        <is>
          <t>NORTHAMERICA</t>
        </is>
      </c>
      <c r="AA11" s="231" t="n"/>
      <c r="AB11" s="231" t="inlineStr">
        <is>
          <t>M_CAP</t>
        </is>
      </c>
      <c r="AC11" s="229" t="n"/>
      <c r="AD11" s="229" t="inlineStr">
        <is>
          <t>DER_FEX_INV</t>
        </is>
      </c>
      <c r="AE11" s="231" t="inlineStr">
        <is>
          <t>GCAP</t>
        </is>
      </c>
      <c r="AF11" s="231" t="inlineStr">
        <is>
          <t>NET_FX_DELTA</t>
        </is>
      </c>
      <c r="AG11" s="229" t="n"/>
      <c r="AH11" s="231" t="inlineStr">
        <is>
          <t>H</t>
        </is>
      </c>
      <c r="AI11" s="231" t="inlineStr">
        <is>
          <t>GENG</t>
        </is>
      </c>
      <c r="AJ11" s="231" t="n">
        <v>6</v>
      </c>
    </row>
    <row r="12" customFormat="1" s="13">
      <c r="A12" s="11" t="inlineStr">
        <is>
          <t>#</t>
        </is>
      </c>
      <c r="B12" s="230" t="inlineStr">
        <is>
          <t>CONTROLLED_STRUCTURE</t>
        </is>
      </c>
      <c r="C12" s="229" t="inlineStr">
        <is>
          <t>DK</t>
        </is>
      </c>
      <c r="D12" s="229" t="n"/>
      <c r="E12" s="229" t="inlineStr">
        <is>
          <t>Y1</t>
        </is>
      </c>
      <c r="F12" s="229" t="n">
        <v>2024</v>
      </c>
      <c r="G12" s="229" t="inlineStr">
        <is>
          <t>NQ</t>
        </is>
      </c>
      <c r="H12" s="229" t="n"/>
      <c r="I12" s="229" t="n"/>
      <c r="J12" s="229" t="inlineStr">
        <is>
          <t>US</t>
        </is>
      </c>
      <c r="K12" s="229" t="n"/>
      <c r="L12" s="229" t="n"/>
      <c r="M12" s="229" t="n">
        <v>7</v>
      </c>
      <c r="N12" s="229" t="n"/>
      <c r="O12" s="229" t="n">
        <v>7</v>
      </c>
      <c r="P12" s="229" t="n">
        <v>7</v>
      </c>
      <c r="Q12" s="231" t="n"/>
      <c r="R12" s="229" t="inlineStr">
        <is>
          <t>USD</t>
        </is>
      </c>
      <c r="S12" s="231" t="n"/>
      <c r="T12" s="229" t="inlineStr">
        <is>
          <t>RELV_VLAR</t>
        </is>
      </c>
      <c r="U12" s="229" t="inlineStr">
        <is>
          <t>DER_CDS_EXOT</t>
        </is>
      </c>
      <c r="V12" s="229" t="n"/>
      <c r="W12" s="231" t="n"/>
      <c r="X12" s="231" t="n"/>
      <c r="Y12" s="231" t="n"/>
      <c r="Z12" s="231" t="inlineStr">
        <is>
          <t>SOUTHAMERICA</t>
        </is>
      </c>
      <c r="AA12" s="229" t="n"/>
      <c r="AB12" s="229" t="n"/>
      <c r="AC12" s="231" t="n"/>
      <c r="AD12" s="229" t="inlineStr">
        <is>
          <t>DER_FID_FID</t>
        </is>
      </c>
      <c r="AE12" s="229" t="inlineStr">
        <is>
          <t>RCAP</t>
        </is>
      </c>
      <c r="AF12" s="229" t="inlineStr">
        <is>
          <t>NET_CTY_DELTA</t>
        </is>
      </c>
      <c r="AG12" s="231" t="n"/>
      <c r="AH12" s="229" t="inlineStr">
        <is>
          <t>Y</t>
        </is>
      </c>
      <c r="AI12" s="229" t="inlineStr">
        <is>
          <t>OCIU</t>
        </is>
      </c>
      <c r="AJ12" s="229" t="n">
        <v>7</v>
      </c>
    </row>
    <row r="13" customFormat="1" s="13">
      <c r="A13" s="11" t="inlineStr">
        <is>
          <t>#</t>
        </is>
      </c>
      <c r="B13" s="230" t="inlineStr">
        <is>
          <t>COUNTERPARTY_RISK_PROFILE</t>
        </is>
      </c>
      <c r="C13" s="229" t="inlineStr">
        <is>
          <t>EE</t>
        </is>
      </c>
      <c r="D13" s="229" t="n"/>
      <c r="E13" s="229" t="inlineStr">
        <is>
          <t>X1</t>
        </is>
      </c>
      <c r="F13" s="229" t="n">
        <v>2025</v>
      </c>
      <c r="G13" s="229" t="inlineStr">
        <is>
          <t>NH</t>
        </is>
      </c>
      <c r="H13" s="229" t="n"/>
      <c r="I13" s="229" t="n"/>
      <c r="J13" s="231" t="n"/>
      <c r="K13" s="229" t="n"/>
      <c r="L13" s="229" t="n"/>
      <c r="M13" s="229" t="n">
        <v>8</v>
      </c>
      <c r="N13" s="229" t="n"/>
      <c r="O13" s="229" t="n">
        <v>8</v>
      </c>
      <c r="P13" s="229" t="n">
        <v>8</v>
      </c>
      <c r="Q13" s="229" t="n"/>
      <c r="R13" s="229" t="n"/>
      <c r="S13" s="229" t="n"/>
      <c r="T13" s="229" t="inlineStr">
        <is>
          <t>EVDR_DSRS</t>
        </is>
      </c>
      <c r="U13" s="229" t="inlineStr">
        <is>
          <t>DER_CDS_INDX</t>
        </is>
      </c>
      <c r="V13" s="229" t="n"/>
      <c r="W13" s="229" t="n"/>
      <c r="X13" s="229" t="n"/>
      <c r="Y13" s="229" t="n"/>
      <c r="Z13" s="229" t="inlineStr">
        <is>
          <t>SUPRANATIONAL</t>
        </is>
      </c>
      <c r="AA13" s="229" t="n"/>
      <c r="AB13" s="229" t="n"/>
      <c r="AC13" s="229" t="n"/>
      <c r="AD13" s="229" t="inlineStr">
        <is>
          <t>DER_IRD_IRD</t>
        </is>
      </c>
      <c r="AE13" s="229" t="inlineStr">
        <is>
          <t>SLIQ</t>
        </is>
      </c>
      <c r="AF13" s="11" t="n"/>
      <c r="AG13" s="229" t="n"/>
      <c r="AH13" s="229" t="inlineStr">
        <is>
          <t>O</t>
        </is>
      </c>
      <c r="AI13" s="229" t="inlineStr">
        <is>
          <t>HHLD</t>
        </is>
      </c>
      <c r="AJ13" s="229" t="n">
        <v>8</v>
      </c>
    </row>
    <row r="14" customFormat="1" s="13">
      <c r="A14" s="11" t="inlineStr">
        <is>
          <t>#</t>
        </is>
      </c>
      <c r="B14" s="230" t="inlineStr">
        <is>
          <t>CUSTOM_FX_RATE</t>
        </is>
      </c>
      <c r="C14" s="229" t="inlineStr">
        <is>
          <t>ES</t>
        </is>
      </c>
      <c r="D14" s="229" t="n"/>
      <c r="E14" s="229" t="inlineStr">
        <is>
          <t>X2</t>
        </is>
      </c>
      <c r="F14" s="229" t="n">
        <v>2026</v>
      </c>
      <c r="G14" s="229" t="inlineStr">
        <is>
          <t>NY</t>
        </is>
      </c>
      <c r="H14" s="11" t="n"/>
      <c r="I14" s="229" t="n"/>
      <c r="J14" s="229" t="inlineStr">
        <is>
          <t>AD</t>
        </is>
      </c>
      <c r="K14" s="229" t="n"/>
      <c r="L14" s="229" t="n"/>
      <c r="M14" s="229" t="n">
        <v>9</v>
      </c>
      <c r="N14" s="229" t="n"/>
      <c r="O14" s="229" t="n">
        <v>9</v>
      </c>
      <c r="P14" s="229" t="n">
        <v>9</v>
      </c>
      <c r="Q14" s="229" t="n"/>
      <c r="R14" s="229" t="inlineStr">
        <is>
          <t>AED</t>
        </is>
      </c>
      <c r="S14" s="229" t="n"/>
      <c r="T14" s="229" t="inlineStr">
        <is>
          <t>EVDR_RAMA</t>
        </is>
      </c>
      <c r="U14" s="229" t="inlineStr">
        <is>
          <t>DER_CDS_OTHR</t>
        </is>
      </c>
      <c r="V14" s="229" t="n"/>
      <c r="W14" s="229" t="n"/>
      <c r="X14" s="229" t="n"/>
      <c r="Y14" s="229" t="n"/>
      <c r="Z14" s="229" t="n"/>
      <c r="AA14" s="229" t="n"/>
      <c r="AB14" s="229" t="n"/>
      <c r="AC14" s="229" t="n"/>
      <c r="AD14" s="229" t="inlineStr">
        <is>
          <t>DER_OTH_OTH</t>
        </is>
      </c>
      <c r="AE14" s="229" t="inlineStr">
        <is>
          <t>TURN</t>
        </is>
      </c>
      <c r="AF14" s="229" t="n"/>
      <c r="AG14" s="229" t="n"/>
      <c r="AH14" s="229" t="inlineStr">
        <is>
          <t>N</t>
        </is>
      </c>
      <c r="AI14" s="229" t="inlineStr">
        <is>
          <t>UNKN</t>
        </is>
      </c>
      <c r="AJ14" s="229" t="n">
        <v>9</v>
      </c>
    </row>
    <row r="15" customFormat="1" s="13">
      <c r="A15" s="11" t="inlineStr">
        <is>
          <t>#</t>
        </is>
      </c>
      <c r="B15" s="230" t="inlineStr">
        <is>
          <t>DOMINANT_INFLUENCE</t>
        </is>
      </c>
      <c r="C15" s="229" t="inlineStr">
        <is>
          <t>FI</t>
        </is>
      </c>
      <c r="D15" s="229" t="n"/>
      <c r="E15" s="229" t="n"/>
      <c r="F15" s="229" t="n">
        <v>2027</v>
      </c>
      <c r="G15" s="229" t="n"/>
      <c r="H15" s="229" t="n"/>
      <c r="I15" s="229" t="n"/>
      <c r="J15" s="229" t="inlineStr">
        <is>
          <t>AE</t>
        </is>
      </c>
      <c r="K15" s="229" t="n"/>
      <c r="L15" s="229" t="n"/>
      <c r="M15" s="229" t="n"/>
      <c r="N15" s="229" t="n"/>
      <c r="O15" s="229" t="n">
        <v>10</v>
      </c>
      <c r="P15" s="229" t="n">
        <v>10</v>
      </c>
      <c r="Q15" s="229" t="n"/>
      <c r="R15" s="231" t="inlineStr">
        <is>
          <t>AFN</t>
        </is>
      </c>
      <c r="S15" s="229" t="n"/>
      <c r="T15" s="229" t="inlineStr">
        <is>
          <t>EVDR_EYSS</t>
        </is>
      </c>
      <c r="U15" s="229" t="inlineStr">
        <is>
          <t>DER_CDS_SNFI</t>
        </is>
      </c>
      <c r="V15" s="229" t="n"/>
      <c r="W15" s="229" t="n"/>
      <c r="X15" s="229" t="n"/>
      <c r="Y15" s="229" t="n"/>
      <c r="Z15" s="229" t="n"/>
      <c r="AA15" s="229" t="n"/>
      <c r="AB15" s="229" t="n"/>
      <c r="AC15" s="229" t="n"/>
      <c r="AD15" s="229" t="inlineStr">
        <is>
          <t>OTH_OTH_OTH</t>
        </is>
      </c>
      <c r="AE15" s="229" t="inlineStr">
        <is>
          <t>OTHR</t>
        </is>
      </c>
      <c r="AF15" s="229" t="n"/>
      <c r="AG15" s="229" t="n"/>
      <c r="AH15" s="11" t="n"/>
      <c r="AI15" s="229" t="inlineStr">
        <is>
          <t>NONE</t>
        </is>
      </c>
      <c r="AJ15" s="229" t="n">
        <v>10</v>
      </c>
    </row>
    <row r="16" customFormat="1" s="13">
      <c r="A16" s="11" t="inlineStr">
        <is>
          <t>#</t>
        </is>
      </c>
      <c r="B16" s="230" t="inlineStr">
        <is>
          <t>FINANCE</t>
        </is>
      </c>
      <c r="C16" s="229" t="inlineStr">
        <is>
          <t>FR</t>
        </is>
      </c>
      <c r="D16" s="229" t="n"/>
      <c r="E16" s="229" t="n"/>
      <c r="F16" s="229" t="n">
        <v>2028</v>
      </c>
      <c r="G16" s="229" t="n"/>
      <c r="H16" s="229" t="n"/>
      <c r="I16" s="229" t="n"/>
      <c r="J16" s="229" t="inlineStr">
        <is>
          <t>AF</t>
        </is>
      </c>
      <c r="K16" s="229" t="n"/>
      <c r="L16" s="229" t="n"/>
      <c r="M16" s="229" t="n"/>
      <c r="N16" s="229" t="n"/>
      <c r="O16" s="229" t="n">
        <v>11</v>
      </c>
      <c r="P16" s="229" t="n">
        <v>11</v>
      </c>
      <c r="Q16" s="229" t="n"/>
      <c r="R16" s="229" t="inlineStr">
        <is>
          <t>ALL</t>
        </is>
      </c>
      <c r="S16" s="229" t="n"/>
      <c r="T16" s="229" t="inlineStr">
        <is>
          <t>CRED_LGST</t>
        </is>
      </c>
      <c r="U16" s="229" t="inlineStr">
        <is>
          <t>DER_CDS_SNOT</t>
        </is>
      </c>
      <c r="V16" s="229" t="n"/>
      <c r="W16" s="229" t="n"/>
      <c r="X16" s="229" t="n"/>
      <c r="Y16" s="229" t="n"/>
      <c r="Z16" s="229" t="n"/>
      <c r="AA16" s="229" t="n"/>
      <c r="AB16" s="229" t="n"/>
      <c r="AC16" s="229" t="n"/>
      <c r="AD16" s="229" t="inlineStr">
        <is>
          <t>PHY_ART_ART</t>
        </is>
      </c>
      <c r="AE16" s="11" t="n"/>
      <c r="AF16" s="229" t="n"/>
      <c r="AG16" s="229" t="n"/>
      <c r="AH16" s="229" t="n"/>
      <c r="AI16" s="229" t="n"/>
      <c r="AJ16" s="229" t="n">
        <v>11</v>
      </c>
    </row>
    <row r="17" customFormat="1" s="13">
      <c r="A17" s="11" t="inlineStr">
        <is>
          <t>#</t>
        </is>
      </c>
      <c r="B17" s="230" t="inlineStr">
        <is>
          <t>FINANCING_LIQUIDITY</t>
        </is>
      </c>
      <c r="C17" s="229" t="inlineStr">
        <is>
          <t>GB</t>
        </is>
      </c>
      <c r="D17" s="229" t="n"/>
      <c r="E17" s="229" t="n"/>
      <c r="F17" s="229" t="n">
        <v>2029</v>
      </c>
      <c r="G17" s="229" t="n"/>
      <c r="H17" s="229" t="n"/>
      <c r="I17" s="229" t="n"/>
      <c r="J17" s="229" t="inlineStr">
        <is>
          <t>AG</t>
        </is>
      </c>
      <c r="K17" s="229" t="n"/>
      <c r="L17" s="229" t="n"/>
      <c r="M17" s="229" t="n"/>
      <c r="N17" s="229" t="n"/>
      <c r="O17" s="229" t="n">
        <v>12</v>
      </c>
      <c r="P17" s="229" t="n">
        <v>12</v>
      </c>
      <c r="Q17" s="229" t="n"/>
      <c r="R17" s="229" t="inlineStr">
        <is>
          <t>AMD</t>
        </is>
      </c>
      <c r="S17" s="229" t="n"/>
      <c r="T17" s="229" t="inlineStr">
        <is>
          <t>CRED_ABLG</t>
        </is>
      </c>
      <c r="U17" s="229" t="inlineStr">
        <is>
          <t>DER_CDS_SNSO</t>
        </is>
      </c>
      <c r="V17" s="229" t="n"/>
      <c r="W17" s="229" t="n"/>
      <c r="X17" s="229" t="n"/>
      <c r="Y17" s="229" t="n"/>
      <c r="Z17" s="229" t="n"/>
      <c r="AA17" s="229" t="n"/>
      <c r="AB17" s="229" t="n"/>
      <c r="AC17" s="229" t="n"/>
      <c r="AD17" s="229" t="inlineStr">
        <is>
          <t>PHY_CTY_CTY</t>
        </is>
      </c>
      <c r="AE17" s="229" t="n"/>
      <c r="AF17" s="229" t="n"/>
      <c r="AG17" s="229" t="n"/>
      <c r="AH17" s="229" t="n"/>
      <c r="AI17" s="229" t="n"/>
      <c r="AJ17" s="229" t="n">
        <v>12</v>
      </c>
    </row>
    <row r="18" customFormat="1" s="13">
      <c r="A18" s="11" t="inlineStr">
        <is>
          <t>#</t>
        </is>
      </c>
      <c r="B18" s="230" t="inlineStr">
        <is>
          <t>HISTORICAL_RISK_PROFILE</t>
        </is>
      </c>
      <c r="C18" s="229" t="inlineStr">
        <is>
          <t>GG</t>
        </is>
      </c>
      <c r="D18" s="229" t="n"/>
      <c r="E18" s="229" t="n"/>
      <c r="F18" s="229" t="n">
        <v>2030</v>
      </c>
      <c r="G18" s="229" t="n"/>
      <c r="H18" s="229" t="n"/>
      <c r="I18" s="229" t="n"/>
      <c r="J18" s="229" t="inlineStr">
        <is>
          <t>AI</t>
        </is>
      </c>
      <c r="K18" s="229" t="n"/>
      <c r="L18" s="229" t="n"/>
      <c r="M18" s="229" t="n"/>
      <c r="N18" s="229" t="n"/>
      <c r="O18" s="229" t="n">
        <v>13</v>
      </c>
      <c r="P18" s="229" t="n">
        <v>13</v>
      </c>
      <c r="Q18" s="229" t="n"/>
      <c r="R18" s="229" t="inlineStr">
        <is>
          <t>ANG</t>
        </is>
      </c>
      <c r="S18" s="229" t="n"/>
      <c r="T18" s="229" t="inlineStr">
        <is>
          <t>MACR_MACR</t>
        </is>
      </c>
      <c r="U18" s="229" t="inlineStr">
        <is>
          <t>DER_CTY_ECOL</t>
        </is>
      </c>
      <c r="V18" s="229" t="n"/>
      <c r="W18" s="229" t="n"/>
      <c r="X18" s="229" t="n"/>
      <c r="Y18" s="229" t="n"/>
      <c r="Z18" s="229" t="n"/>
      <c r="AA18" s="229" t="n"/>
      <c r="AB18" s="229" t="n"/>
      <c r="AC18" s="229" t="n"/>
      <c r="AD18" s="229" t="inlineStr">
        <is>
          <t>PHY_OTH_OTH</t>
        </is>
      </c>
      <c r="AE18" s="229" t="n"/>
      <c r="AF18" s="229" t="n"/>
      <c r="AG18" s="229" t="n"/>
      <c r="AH18" s="229" t="n"/>
      <c r="AI18" s="229" t="n"/>
      <c r="AJ18" s="229" t="n"/>
    </row>
    <row r="19" customFormat="1" s="13">
      <c r="A19" s="11" t="inlineStr">
        <is>
          <t>#</t>
        </is>
      </c>
      <c r="B19" s="230" t="inlineStr">
        <is>
          <t>INVESTOR</t>
        </is>
      </c>
      <c r="C19" s="229" t="inlineStr">
        <is>
          <t>GR</t>
        </is>
      </c>
      <c r="D19" s="229" t="n"/>
      <c r="E19" s="229" t="n"/>
      <c r="F19" s="229" t="n"/>
      <c r="G19" s="229" t="n"/>
      <c r="H19" s="229" t="n"/>
      <c r="I19" s="229" t="n"/>
      <c r="J19" s="229" t="inlineStr">
        <is>
          <t>AL</t>
        </is>
      </c>
      <c r="K19" s="229" t="n"/>
      <c r="L19" s="229" t="n"/>
      <c r="M19" s="229" t="n"/>
      <c r="N19" s="229" t="n"/>
      <c r="O19" s="229" t="n">
        <v>14</v>
      </c>
      <c r="P19" s="229" t="n">
        <v>14</v>
      </c>
      <c r="Q19" s="229" t="n"/>
      <c r="R19" s="229" t="inlineStr">
        <is>
          <t>AOA</t>
        </is>
      </c>
      <c r="S19" s="229" t="n"/>
      <c r="T19" s="229" t="inlineStr">
        <is>
          <t>MANF_CTAF</t>
        </is>
      </c>
      <c r="U19" s="229" t="inlineStr">
        <is>
          <t>DER_CTY_ENNG</t>
        </is>
      </c>
      <c r="V19" s="229" t="n"/>
      <c r="W19" s="229" t="n"/>
      <c r="X19" s="229" t="n"/>
      <c r="Y19" s="229" t="n"/>
      <c r="Z19" s="229" t="n"/>
      <c r="AA19" s="229" t="n"/>
      <c r="AB19" s="229" t="n"/>
      <c r="AC19" s="229" t="n"/>
      <c r="AD19" s="229" t="inlineStr">
        <is>
          <t>PHY_RES_RES</t>
        </is>
      </c>
      <c r="AE19" s="229" t="n"/>
      <c r="AF19" s="229" t="n"/>
      <c r="AG19" s="229" t="n"/>
      <c r="AH19" s="229" t="n"/>
      <c r="AI19" s="229" t="n"/>
      <c r="AJ19" s="229" t="n"/>
    </row>
    <row r="20" customFormat="1" s="13">
      <c r="A20" s="11" t="inlineStr">
        <is>
          <t>#</t>
        </is>
      </c>
      <c r="B20" s="230" t="inlineStr">
        <is>
          <t>INVESTOR_LIQUIDITY_PROFILE</t>
        </is>
      </c>
      <c r="C20" s="229" t="inlineStr">
        <is>
          <t>HR</t>
        </is>
      </c>
      <c r="D20" s="229" t="n"/>
      <c r="E20" s="229" t="n"/>
      <c r="F20" s="229" t="n"/>
      <c r="G20" s="229" t="n"/>
      <c r="H20" s="229" t="n"/>
      <c r="I20" s="229" t="n"/>
      <c r="J20" s="229" t="inlineStr">
        <is>
          <t>AM</t>
        </is>
      </c>
      <c r="K20" s="229" t="n"/>
      <c r="L20" s="229" t="n"/>
      <c r="M20" s="229" t="n"/>
      <c r="N20" s="229" t="n"/>
      <c r="O20" s="229" t="n">
        <v>15</v>
      </c>
      <c r="P20" s="229" t="n">
        <v>15</v>
      </c>
      <c r="Q20" s="229" t="n"/>
      <c r="R20" s="229" t="inlineStr">
        <is>
          <t>ARS</t>
        </is>
      </c>
      <c r="S20" s="229" t="n"/>
      <c r="T20" s="229" t="inlineStr">
        <is>
          <t>MANF_CTAQ</t>
        </is>
      </c>
      <c r="U20" s="229" t="inlineStr">
        <is>
          <t>DER_CTY_ENOT</t>
        </is>
      </c>
      <c r="V20" s="229" t="n"/>
      <c r="W20" s="229" t="n"/>
      <c r="X20" s="229" t="n"/>
      <c r="Y20" s="229" t="n"/>
      <c r="Z20" s="229" t="n"/>
      <c r="AA20" s="229" t="n"/>
      <c r="AB20" s="229" t="n"/>
      <c r="AC20" s="229" t="n"/>
      <c r="AD20" s="229" t="inlineStr">
        <is>
          <t>PHY_TIM_TIM</t>
        </is>
      </c>
      <c r="AE20" s="229" t="n"/>
      <c r="AF20" s="229" t="n"/>
      <c r="AG20" s="229" t="n"/>
      <c r="AH20" s="229" t="n"/>
      <c r="AI20" s="229" t="n"/>
      <c r="AJ20" s="229" t="n"/>
    </row>
    <row r="21" customFormat="1" s="13">
      <c r="A21" s="11" t="inlineStr">
        <is>
          <t>#</t>
        </is>
      </c>
      <c r="B21" s="230" t="inlineStr">
        <is>
          <t>INVESTOR_REDEMPTION</t>
        </is>
      </c>
      <c r="C21" s="229" t="inlineStr">
        <is>
          <t>HU</t>
        </is>
      </c>
      <c r="D21" s="229" t="n"/>
      <c r="E21" s="229" t="n"/>
      <c r="F21" s="229" t="n"/>
      <c r="G21" s="229" t="n"/>
      <c r="H21" s="229" t="n"/>
      <c r="I21" s="229" t="n"/>
      <c r="J21" s="229" t="inlineStr">
        <is>
          <t>AN</t>
        </is>
      </c>
      <c r="K21" s="229" t="n"/>
      <c r="L21" s="229" t="n"/>
      <c r="M21" s="229" t="n"/>
      <c r="N21" s="229" t="n"/>
      <c r="O21" s="229" t="n">
        <v>16</v>
      </c>
      <c r="P21" s="229" t="n">
        <v>16</v>
      </c>
      <c r="Q21" s="229" t="n"/>
      <c r="R21" s="229" t="inlineStr">
        <is>
          <t>AUD</t>
        </is>
      </c>
      <c r="S21" s="229" t="n"/>
      <c r="T21" s="229" t="inlineStr">
        <is>
          <t>OTHR_HFND</t>
        </is>
      </c>
      <c r="U21" s="229" t="inlineStr">
        <is>
          <t>DER_CTY_ENPW</t>
        </is>
      </c>
      <c r="V21" s="229" t="n"/>
      <c r="W21" s="229" t="n"/>
      <c r="X21" s="229" t="n"/>
      <c r="Y21" s="229" t="n"/>
      <c r="Z21" s="229" t="n"/>
      <c r="AA21" s="229" t="n"/>
      <c r="AB21" s="229" t="n"/>
      <c r="AC21" s="229" t="n"/>
      <c r="AD21" s="229" t="inlineStr">
        <is>
          <t>PHY_TPT_TPT</t>
        </is>
      </c>
      <c r="AE21" s="229" t="n"/>
      <c r="AF21" s="229" t="n"/>
      <c r="AG21" s="229" t="n"/>
      <c r="AH21" s="229" t="n"/>
      <c r="AI21" s="229" t="n"/>
      <c r="AJ21" s="229" t="n"/>
    </row>
    <row r="22" customFormat="1" s="13">
      <c r="A22" s="11" t="inlineStr">
        <is>
          <t>#</t>
        </is>
      </c>
      <c r="B22" s="230" t="inlineStr">
        <is>
          <t>MASTER_FEEDER</t>
        </is>
      </c>
      <c r="C22" s="229" t="inlineStr">
        <is>
          <t>IE</t>
        </is>
      </c>
      <c r="D22" s="229" t="n"/>
      <c r="E22" s="229" t="n"/>
      <c r="F22" s="229" t="n"/>
      <c r="G22" s="229" t="n"/>
      <c r="H22" s="229" t="n"/>
      <c r="I22" s="229" t="n"/>
      <c r="J22" s="229" t="inlineStr">
        <is>
          <t>AO</t>
        </is>
      </c>
      <c r="K22" s="229" t="n"/>
      <c r="L22" s="229" t="n"/>
      <c r="M22" s="229" t="n"/>
      <c r="N22" s="229" t="n"/>
      <c r="O22" s="229" t="n">
        <v>17</v>
      </c>
      <c r="P22" s="229" t="n">
        <v>17</v>
      </c>
      <c r="Q22" s="229" t="n"/>
      <c r="R22" s="229" t="inlineStr">
        <is>
          <t>AWG</t>
        </is>
      </c>
      <c r="S22" s="229" t="n"/>
      <c r="T22" s="229" t="inlineStr">
        <is>
          <t>VENT_CAPL</t>
        </is>
      </c>
      <c r="U22" s="229" t="inlineStr">
        <is>
          <t>DER_CTY_OTAP</t>
        </is>
      </c>
      <c r="V22" s="229" t="n"/>
      <c r="W22" s="229" t="n"/>
      <c r="X22" s="229" t="n"/>
      <c r="Y22" s="229" t="n"/>
      <c r="Z22" s="229" t="n"/>
      <c r="AA22" s="229" t="n"/>
      <c r="AB22" s="229" t="n"/>
      <c r="AC22" s="229" t="n"/>
      <c r="AD22" s="229" t="inlineStr">
        <is>
          <t>SEC_CBD_CBD</t>
        </is>
      </c>
      <c r="AE22" s="229" t="n"/>
      <c r="AF22" s="229" t="n"/>
      <c r="AG22" s="229" t="n"/>
      <c r="AH22" s="229" t="n"/>
      <c r="AI22" s="229" t="n"/>
      <c r="AJ22" s="229" t="n"/>
    </row>
    <row r="23" customFormat="1" s="13">
      <c r="A23" s="11" t="inlineStr">
        <is>
          <t>#</t>
        </is>
      </c>
      <c r="B23" s="230" t="inlineStr">
        <is>
          <t>PORTFOLIO_LIQUIDITY_PROFILE</t>
        </is>
      </c>
      <c r="C23" s="229" t="inlineStr">
        <is>
          <t>IS</t>
        </is>
      </c>
      <c r="D23" s="229" t="n"/>
      <c r="E23" s="229" t="n"/>
      <c r="F23" s="229" t="n"/>
      <c r="G23" s="229" t="n"/>
      <c r="H23" s="229" t="n"/>
      <c r="I23" s="229" t="n"/>
      <c r="J23" s="229" t="inlineStr">
        <is>
          <t>AQ</t>
        </is>
      </c>
      <c r="K23" s="229" t="n"/>
      <c r="L23" s="229" t="n"/>
      <c r="M23" s="229" t="n"/>
      <c r="N23" s="229" t="n"/>
      <c r="O23" s="229" t="n">
        <v>18</v>
      </c>
      <c r="P23" s="229" t="n">
        <v>18</v>
      </c>
      <c r="Q23" s="229" t="n"/>
      <c r="R23" s="229" t="inlineStr">
        <is>
          <t>AZN</t>
        </is>
      </c>
      <c r="S23" s="229" t="n"/>
      <c r="T23" s="229" t="inlineStr">
        <is>
          <t>GRTH_CAPL</t>
        </is>
      </c>
      <c r="U23" s="229" t="inlineStr">
        <is>
          <t>DER_CTY_OTHR</t>
        </is>
      </c>
      <c r="V23" s="229" t="n"/>
      <c r="W23" s="229" t="n"/>
      <c r="X23" s="229" t="n"/>
      <c r="Y23" s="229" t="n"/>
      <c r="Z23" s="229" t="n"/>
      <c r="AA23" s="229" t="n"/>
      <c r="AB23" s="229" t="n"/>
      <c r="AC23" s="229" t="n"/>
      <c r="AD23" s="229" t="inlineStr">
        <is>
          <t>SEC_CPI_CPI</t>
        </is>
      </c>
      <c r="AE23" s="229" t="n"/>
      <c r="AF23" s="229" t="n"/>
      <c r="AG23" s="229" t="n"/>
      <c r="AH23" s="229" t="n"/>
      <c r="AI23" s="229" t="n"/>
      <c r="AJ23" s="229" t="n"/>
    </row>
    <row r="24" customFormat="1" s="13">
      <c r="A24" s="11" t="inlineStr">
        <is>
          <t>#</t>
        </is>
      </c>
      <c r="B24" s="230" t="inlineStr">
        <is>
          <t>POSITION</t>
        </is>
      </c>
      <c r="C24" s="229" t="inlineStr">
        <is>
          <t>IT</t>
        </is>
      </c>
      <c r="D24" s="229" t="n"/>
      <c r="E24" s="229" t="n"/>
      <c r="F24" s="229" t="n"/>
      <c r="G24" s="229" t="n"/>
      <c r="H24" s="229" t="n"/>
      <c r="I24" s="229" t="n"/>
      <c r="J24" s="229" t="inlineStr">
        <is>
          <t>AR</t>
        </is>
      </c>
      <c r="K24" s="229" t="n"/>
      <c r="L24" s="229" t="n"/>
      <c r="M24" s="229" t="n"/>
      <c r="N24" s="229" t="n"/>
      <c r="O24" s="229" t="n">
        <v>19</v>
      </c>
      <c r="P24" s="229" t="n">
        <v>19</v>
      </c>
      <c r="Q24" s="229" t="n"/>
      <c r="R24" s="229" t="inlineStr">
        <is>
          <t>BAM</t>
        </is>
      </c>
      <c r="S24" s="229" t="n"/>
      <c r="T24" s="229" t="inlineStr">
        <is>
          <t>MZNE_CAPL</t>
        </is>
      </c>
      <c r="U24" s="229" t="inlineStr">
        <is>
          <t>DER_CTY_OTIM</t>
        </is>
      </c>
      <c r="V24" s="229" t="n"/>
      <c r="W24" s="229" t="n"/>
      <c r="X24" s="229" t="n"/>
      <c r="Y24" s="229" t="n"/>
      <c r="Z24" s="229" t="n"/>
      <c r="AA24" s="229" t="n"/>
      <c r="AB24" s="229" t="n"/>
      <c r="AC24" s="229" t="n"/>
      <c r="AD24" s="229" t="inlineStr">
        <is>
          <t>SEC_CPN_IVG</t>
        </is>
      </c>
      <c r="AE24" s="229" t="n"/>
      <c r="AF24" s="229" t="n"/>
      <c r="AG24" s="229" t="n"/>
      <c r="AH24" s="229" t="n"/>
      <c r="AI24" s="229" t="n"/>
      <c r="AJ24" s="229" t="n"/>
    </row>
    <row r="25" customFormat="1" s="13">
      <c r="A25" s="11" t="inlineStr">
        <is>
          <t>#</t>
        </is>
      </c>
      <c r="B25" s="230" t="inlineStr">
        <is>
          <t>POSITION_EXTERNAL</t>
        </is>
      </c>
      <c r="C25" s="229" t="inlineStr">
        <is>
          <t>JE</t>
        </is>
      </c>
      <c r="D25" s="229" t="n"/>
      <c r="E25" s="229" t="n"/>
      <c r="F25" s="229" t="n"/>
      <c r="G25" s="229" t="n"/>
      <c r="H25" s="229" t="n"/>
      <c r="I25" s="229" t="n"/>
      <c r="J25" s="229" t="inlineStr">
        <is>
          <t>AS</t>
        </is>
      </c>
      <c r="K25" s="229" t="n"/>
      <c r="L25" s="229" t="n"/>
      <c r="M25" s="229" t="n"/>
      <c r="N25" s="229" t="n"/>
      <c r="O25" s="229" t="n">
        <v>20</v>
      </c>
      <c r="P25" s="229" t="n">
        <v>20</v>
      </c>
      <c r="Q25" s="229" t="n"/>
      <c r="R25" s="229" t="inlineStr">
        <is>
          <t>BBD</t>
        </is>
      </c>
      <c r="S25" s="229" t="n"/>
      <c r="T25" s="229" t="inlineStr">
        <is>
          <t>OTHR_PEQF</t>
        </is>
      </c>
      <c r="U25" s="229" t="inlineStr">
        <is>
          <t>DER_CTY_OTLS</t>
        </is>
      </c>
      <c r="V25" s="229" t="n"/>
      <c r="W25" s="229" t="n"/>
      <c r="X25" s="229" t="n"/>
      <c r="Y25" s="229" t="n"/>
      <c r="Z25" s="229" t="n"/>
      <c r="AA25" s="229" t="n"/>
      <c r="AB25" s="229" t="n"/>
      <c r="AC25" s="229" t="n"/>
      <c r="AD25" s="229" t="inlineStr">
        <is>
          <t>SEC_CPN_NIG</t>
        </is>
      </c>
      <c r="AE25" s="229" t="n"/>
      <c r="AF25" s="229" t="n"/>
      <c r="AG25" s="229" t="n"/>
      <c r="AH25" s="229" t="n"/>
      <c r="AI25" s="229" t="n"/>
      <c r="AJ25" s="229" t="n"/>
    </row>
    <row r="26" customFormat="1" s="13">
      <c r="A26" s="11" t="inlineStr">
        <is>
          <t>#</t>
        </is>
      </c>
      <c r="B26" s="230" t="inlineStr">
        <is>
          <t>PRIME_BROKER</t>
        </is>
      </c>
      <c r="C26" s="229" t="inlineStr">
        <is>
          <t>LI</t>
        </is>
      </c>
      <c r="D26" s="229" t="n"/>
      <c r="E26" s="229" t="n"/>
      <c r="F26" s="229" t="n"/>
      <c r="G26" s="229" t="n"/>
      <c r="H26" s="229" t="n"/>
      <c r="I26" s="229" t="n"/>
      <c r="J26" s="229" t="inlineStr">
        <is>
          <t>AT</t>
        </is>
      </c>
      <c r="K26" s="229" t="n"/>
      <c r="L26" s="229" t="n"/>
      <c r="M26" s="229" t="n"/>
      <c r="N26" s="229" t="n"/>
      <c r="O26" s="229" t="n">
        <v>21</v>
      </c>
      <c r="P26" s="229" t="n">
        <v>21</v>
      </c>
      <c r="Q26" s="229" t="n"/>
      <c r="R26" s="229" t="inlineStr">
        <is>
          <t>BDT</t>
        </is>
      </c>
      <c r="S26" s="229" t="n"/>
      <c r="T26" s="229" t="inlineStr">
        <is>
          <t>RESL_REST</t>
        </is>
      </c>
      <c r="U26" s="229" t="inlineStr">
        <is>
          <t>DER_CTY_PMGD</t>
        </is>
      </c>
      <c r="V26" s="229" t="n"/>
      <c r="W26" s="229" t="n"/>
      <c r="X26" s="229" t="n"/>
      <c r="Y26" s="229" t="n"/>
      <c r="Z26" s="229" t="n"/>
      <c r="AA26" s="229" t="n"/>
      <c r="AB26" s="229" t="n"/>
      <c r="AC26" s="229" t="n"/>
      <c r="AD26" s="229" t="inlineStr">
        <is>
          <t>SEC_CSH_CSH</t>
        </is>
      </c>
      <c r="AE26" s="229" t="n"/>
      <c r="AF26" s="229" t="n"/>
      <c r="AG26" s="229" t="n"/>
      <c r="AH26" s="229" t="n"/>
      <c r="AI26" s="229" t="n"/>
      <c r="AJ26" s="229" t="n"/>
    </row>
    <row r="27" customFormat="1" s="13">
      <c r="A27" s="11" t="inlineStr">
        <is>
          <t>#</t>
        </is>
      </c>
      <c r="B27" s="230" t="inlineStr">
        <is>
          <t>RISK</t>
        </is>
      </c>
      <c r="C27" s="229" t="inlineStr">
        <is>
          <t>LT</t>
        </is>
      </c>
      <c r="D27" s="229" t="n"/>
      <c r="E27" s="229" t="n"/>
      <c r="F27" s="229" t="n"/>
      <c r="G27" s="229" t="n"/>
      <c r="H27" s="229" t="n"/>
      <c r="I27" s="229" t="n"/>
      <c r="J27" s="229" t="inlineStr">
        <is>
          <t>AU</t>
        </is>
      </c>
      <c r="K27" s="229" t="n"/>
      <c r="L27" s="229" t="n"/>
      <c r="M27" s="229" t="n"/>
      <c r="N27" s="229" t="n"/>
      <c r="O27" s="229" t="n">
        <v>22</v>
      </c>
      <c r="P27" s="229" t="n">
        <v>22</v>
      </c>
      <c r="Q27" s="229" t="n"/>
      <c r="R27" s="229" t="inlineStr">
        <is>
          <t>BGN</t>
        </is>
      </c>
      <c r="S27" s="229" t="n"/>
      <c r="T27" s="229" t="inlineStr">
        <is>
          <t>COML_REST</t>
        </is>
      </c>
      <c r="U27" s="229" t="inlineStr">
        <is>
          <t>DER_CTY_PMOT</t>
        </is>
      </c>
      <c r="V27" s="229" t="n"/>
      <c r="W27" s="229" t="n"/>
      <c r="X27" s="229" t="n"/>
      <c r="Y27" s="229" t="n"/>
      <c r="Z27" s="229" t="n"/>
      <c r="AA27" s="229" t="n"/>
      <c r="AB27" s="229" t="n"/>
      <c r="AC27" s="229" t="n"/>
      <c r="AD27" s="229" t="inlineStr">
        <is>
          <t>SEC_LEQ_LEQ</t>
        </is>
      </c>
      <c r="AE27" s="229" t="n"/>
      <c r="AF27" s="229" t="n"/>
      <c r="AG27" s="229" t="n"/>
      <c r="AH27" s="229" t="n"/>
      <c r="AI27" s="229" t="n"/>
      <c r="AJ27" s="229" t="n"/>
    </row>
    <row r="28" customFormat="1" s="13">
      <c r="A28" s="11" t="inlineStr">
        <is>
          <t>#</t>
        </is>
      </c>
      <c r="B28" s="230" t="inlineStr">
        <is>
          <t>SHARE_CLASS</t>
        </is>
      </c>
      <c r="C28" s="229" t="inlineStr">
        <is>
          <t>LU</t>
        </is>
      </c>
      <c r="D28" s="229" t="n"/>
      <c r="E28" s="229" t="n"/>
      <c r="F28" s="229" t="n"/>
      <c r="G28" s="229" t="n"/>
      <c r="H28" s="229" t="n"/>
      <c r="I28" s="229" t="n"/>
      <c r="J28" s="229" t="inlineStr">
        <is>
          <t>AW</t>
        </is>
      </c>
      <c r="K28" s="229" t="n"/>
      <c r="L28" s="229" t="n"/>
      <c r="M28" s="229" t="n"/>
      <c r="N28" s="229" t="n"/>
      <c r="O28" s="229" t="n">
        <v>23</v>
      </c>
      <c r="P28" s="229" t="n">
        <v>23</v>
      </c>
      <c r="Q28" s="229" t="n"/>
      <c r="R28" s="229" t="inlineStr">
        <is>
          <t>BHD</t>
        </is>
      </c>
      <c r="S28" s="229" t="n"/>
      <c r="T28" s="229" t="inlineStr">
        <is>
          <t>INDL_REST</t>
        </is>
      </c>
      <c r="U28" s="229" t="inlineStr">
        <is>
          <t>DER_EQD_FINI</t>
        </is>
      </c>
      <c r="V28" s="229" t="n"/>
      <c r="W28" s="229" t="n"/>
      <c r="X28" s="229" t="n"/>
      <c r="Y28" s="229" t="n"/>
      <c r="Z28" s="229" t="n"/>
      <c r="AA28" s="229" t="n"/>
      <c r="AB28" s="229" t="n"/>
      <c r="AC28" s="229" t="n"/>
      <c r="AD28" s="229" t="inlineStr">
        <is>
          <t>SEC_LON_LON</t>
        </is>
      </c>
      <c r="AE28" s="229" t="n"/>
      <c r="AF28" s="229" t="n"/>
      <c r="AG28" s="229" t="n"/>
      <c r="AH28" s="229" t="n"/>
      <c r="AI28" s="229" t="n"/>
      <c r="AJ28" s="229" t="n"/>
    </row>
    <row r="29" customFormat="1" s="13">
      <c r="A29" s="11" t="inlineStr">
        <is>
          <t>#</t>
        </is>
      </c>
      <c r="B29" s="230" t="inlineStr">
        <is>
          <t>SPECIAL_ARRANGEMENT</t>
        </is>
      </c>
      <c r="C29" s="229" t="inlineStr">
        <is>
          <t>LV</t>
        </is>
      </c>
      <c r="D29" s="229" t="n"/>
      <c r="E29" s="229" t="n"/>
      <c r="F29" s="229" t="n"/>
      <c r="G29" s="229" t="n"/>
      <c r="H29" s="229" t="n"/>
      <c r="I29" s="229" t="n"/>
      <c r="J29" s="229" t="inlineStr">
        <is>
          <t>AX</t>
        </is>
      </c>
      <c r="K29" s="229" t="n"/>
      <c r="L29" s="229" t="n"/>
      <c r="M29" s="229" t="n"/>
      <c r="N29" s="229" t="n"/>
      <c r="O29" s="229" t="n">
        <v>24</v>
      </c>
      <c r="P29" s="229" t="n">
        <v>24</v>
      </c>
      <c r="Q29" s="229" t="n"/>
      <c r="R29" s="229" t="inlineStr">
        <is>
          <t>BIF</t>
        </is>
      </c>
      <c r="S29" s="229" t="n"/>
      <c r="T29" s="229" t="inlineStr">
        <is>
          <t>OTHR_REST</t>
        </is>
      </c>
      <c r="U29" s="229" t="inlineStr">
        <is>
          <t>DER_EQD_OTHD</t>
        </is>
      </c>
      <c r="V29" s="229" t="n"/>
      <c r="W29" s="229" t="n"/>
      <c r="X29" s="229" t="n"/>
      <c r="Y29" s="229" t="n"/>
      <c r="Z29" s="229" t="n"/>
      <c r="AA29" s="229" t="n"/>
      <c r="AB29" s="229" t="n"/>
      <c r="AC29" s="229" t="n"/>
      <c r="AD29" s="229" t="inlineStr">
        <is>
          <t>SEC_MUN_MUN</t>
        </is>
      </c>
      <c r="AE29" s="229" t="n"/>
      <c r="AF29" s="229" t="n"/>
      <c r="AG29" s="229" t="n"/>
      <c r="AH29" s="229" t="n"/>
      <c r="AI29" s="229" t="n"/>
      <c r="AJ29" s="229" t="n"/>
    </row>
    <row r="30" customFormat="1" s="13">
      <c r="A30" s="11" t="inlineStr">
        <is>
          <t>#</t>
        </is>
      </c>
      <c r="B30" s="230" t="inlineStr">
        <is>
          <t>STRATEGY</t>
        </is>
      </c>
      <c r="C30" s="229" t="inlineStr">
        <is>
          <t>MT</t>
        </is>
      </c>
      <c r="D30" s="229" t="n"/>
      <c r="E30" s="229" t="n"/>
      <c r="F30" s="229" t="n"/>
      <c r="G30" s="229" t="n"/>
      <c r="H30" s="229" t="n"/>
      <c r="I30" s="229" t="n"/>
      <c r="J30" s="229" t="inlineStr">
        <is>
          <t>AZ</t>
        </is>
      </c>
      <c r="K30" s="229" t="n"/>
      <c r="L30" s="229" t="n"/>
      <c r="M30" s="229" t="n"/>
      <c r="N30" s="229" t="n"/>
      <c r="O30" s="229" t="n">
        <v>25</v>
      </c>
      <c r="P30" s="229" t="n">
        <v>25</v>
      </c>
      <c r="Q30" s="229" t="n"/>
      <c r="R30" s="229" t="inlineStr">
        <is>
          <t>BMD</t>
        </is>
      </c>
      <c r="S30" s="229" t="n"/>
      <c r="T30" s="229" t="inlineStr">
        <is>
          <t>FOFS_FHFS</t>
        </is>
      </c>
      <c r="U30" s="229" t="inlineStr">
        <is>
          <t>DER_FEX_HEDG</t>
        </is>
      </c>
      <c r="V30" s="229" t="n"/>
      <c r="W30" s="229" t="n"/>
      <c r="X30" s="229" t="n"/>
      <c r="Y30" s="229" t="n"/>
      <c r="Z30" s="229" t="n"/>
      <c r="AA30" s="229" t="n"/>
      <c r="AB30" s="229" t="n"/>
      <c r="AC30" s="229" t="n"/>
      <c r="AD30" s="231" t="inlineStr">
        <is>
          <t>SEC_SBD_EUB</t>
        </is>
      </c>
      <c r="AE30" s="229" t="n"/>
      <c r="AF30" s="229" t="n"/>
      <c r="AG30" s="229" t="n"/>
      <c r="AH30" s="229" t="n"/>
      <c r="AI30" s="229" t="n"/>
      <c r="AJ30" s="229" t="n"/>
    </row>
    <row r="31" customFormat="1" s="13">
      <c r="A31" s="11" t="inlineStr">
        <is>
          <t>#</t>
        </is>
      </c>
      <c r="B31" s="230" t="inlineStr">
        <is>
          <t>STRESS_TEST</t>
        </is>
      </c>
      <c r="C31" s="229" t="inlineStr">
        <is>
          <t>NL</t>
        </is>
      </c>
      <c r="D31" s="229" t="n"/>
      <c r="E31" s="229" t="n"/>
      <c r="F31" s="229" t="n"/>
      <c r="G31" s="229" t="n"/>
      <c r="H31" s="229" t="n"/>
      <c r="I31" s="229" t="n"/>
      <c r="J31" s="229" t="inlineStr">
        <is>
          <t>BA</t>
        </is>
      </c>
      <c r="K31" s="229" t="n"/>
      <c r="L31" s="229" t="n"/>
      <c r="M31" s="229" t="n"/>
      <c r="N31" s="229" t="n"/>
      <c r="O31" s="229" t="n"/>
      <c r="P31" s="229" t="n">
        <v>26</v>
      </c>
      <c r="Q31" s="229" t="n"/>
      <c r="R31" s="229" t="inlineStr">
        <is>
          <t>BND</t>
        </is>
      </c>
      <c r="S31" s="229" t="n"/>
      <c r="T31" s="229" t="inlineStr">
        <is>
          <t>FOFS_PRIV</t>
        </is>
      </c>
      <c r="U31" s="229" t="inlineStr">
        <is>
          <t>DER_FEX_INVT</t>
        </is>
      </c>
      <c r="V31" s="229" t="n"/>
      <c r="W31" s="229" t="n"/>
      <c r="X31" s="229" t="n"/>
      <c r="Y31" s="229" t="n"/>
      <c r="Z31" s="229" t="n"/>
      <c r="AA31" s="229" t="n"/>
      <c r="AB31" s="229" t="n"/>
      <c r="AC31" s="229" t="n"/>
      <c r="AD31" s="229" t="inlineStr">
        <is>
          <t>SEC_SBD_NEU</t>
        </is>
      </c>
      <c r="AE31" s="229" t="n"/>
      <c r="AF31" s="229" t="n"/>
      <c r="AG31" s="229" t="n"/>
      <c r="AH31" s="229" t="n"/>
      <c r="AI31" s="229" t="n"/>
      <c r="AJ31" s="229" t="n"/>
    </row>
    <row r="32" customFormat="1" s="13">
      <c r="A32" s="11" t="inlineStr">
        <is>
          <t>#</t>
        </is>
      </c>
      <c r="B32" s="230" t="inlineStr">
        <is>
          <t>TURNOVER</t>
        </is>
      </c>
      <c r="C32" s="229" t="inlineStr">
        <is>
          <t>NO</t>
        </is>
      </c>
      <c r="D32" s="229" t="n"/>
      <c r="E32" s="229" t="n"/>
      <c r="F32" s="229" t="n"/>
      <c r="G32" s="229" t="n"/>
      <c r="H32" s="229" t="n"/>
      <c r="I32" s="229" t="n"/>
      <c r="J32" s="229" t="inlineStr">
        <is>
          <t>BB</t>
        </is>
      </c>
      <c r="K32" s="229" t="n"/>
      <c r="L32" s="229" t="n"/>
      <c r="M32" s="229" t="n"/>
      <c r="N32" s="229" t="n"/>
      <c r="O32" s="229" t="n"/>
      <c r="P32" s="229" t="n">
        <v>27</v>
      </c>
      <c r="Q32" s="229" t="n"/>
      <c r="R32" s="229" t="inlineStr">
        <is>
          <t>BOB</t>
        </is>
      </c>
      <c r="S32" s="229" t="n"/>
      <c r="T32" s="229" t="inlineStr">
        <is>
          <t>OTHR_FOFS</t>
        </is>
      </c>
      <c r="U32" s="229" t="inlineStr">
        <is>
          <t>DER_FID_FIXI</t>
        </is>
      </c>
      <c r="V32" s="229" t="n"/>
      <c r="W32" s="229" t="n"/>
      <c r="X32" s="229" t="n"/>
      <c r="Y32" s="229" t="n"/>
      <c r="Z32" s="229" t="n"/>
      <c r="AA32" s="229" t="n"/>
      <c r="AB32" s="229" t="n"/>
      <c r="AC32" s="229" t="n"/>
      <c r="AD32" s="229" t="inlineStr">
        <is>
          <t>SEC_SSP_SSP</t>
        </is>
      </c>
      <c r="AE32" s="229" t="n"/>
      <c r="AF32" s="229" t="n"/>
      <c r="AG32" s="229" t="n"/>
      <c r="AH32" s="229" t="n"/>
      <c r="AI32" s="229" t="n"/>
      <c r="AJ32" s="229" t="n"/>
    </row>
    <row r="33" customFormat="1" s="13">
      <c r="A33" s="11" t="inlineStr">
        <is>
          <t>#</t>
        </is>
      </c>
      <c r="B33" s="230" t="n"/>
      <c r="C33" s="229" t="inlineStr">
        <is>
          <t>PO</t>
        </is>
      </c>
      <c r="D33" s="229" t="n"/>
      <c r="E33" s="229" t="n"/>
      <c r="F33" s="229" t="n"/>
      <c r="G33" s="229" t="n"/>
      <c r="H33" s="229" t="n"/>
      <c r="I33" s="229" t="n"/>
      <c r="J33" s="229" t="inlineStr">
        <is>
          <t>BD</t>
        </is>
      </c>
      <c r="K33" s="229" t="n"/>
      <c r="L33" s="229" t="n"/>
      <c r="M33" s="229" t="n"/>
      <c r="N33" s="229" t="n"/>
      <c r="O33" s="229" t="n"/>
      <c r="P33" s="229" t="n">
        <v>28</v>
      </c>
      <c r="Q33" s="229" t="n"/>
      <c r="R33" s="229" t="inlineStr">
        <is>
          <t>BOV</t>
        </is>
      </c>
      <c r="S33" s="229" t="n"/>
      <c r="T33" s="229" t="inlineStr">
        <is>
          <t>OTHR_COMF</t>
        </is>
      </c>
      <c r="U33" s="229" t="inlineStr">
        <is>
          <t>DER_IRD_INTR</t>
        </is>
      </c>
      <c r="V33" s="229" t="n"/>
      <c r="W33" s="229" t="n"/>
      <c r="X33" s="229" t="n"/>
      <c r="Y33" s="229" t="n"/>
      <c r="Z33" s="229" t="n"/>
      <c r="AA33" s="229" t="n"/>
      <c r="AB33" s="229" t="n"/>
      <c r="AC33" s="229" t="n"/>
      <c r="AD33" s="229" t="inlineStr">
        <is>
          <t>SEC_UEQ_UEQ</t>
        </is>
      </c>
      <c r="AE33" s="229" t="n"/>
      <c r="AF33" s="229" t="n"/>
      <c r="AG33" s="229" t="n"/>
      <c r="AH33" s="229" t="n"/>
      <c r="AI33" s="229" t="n"/>
      <c r="AJ33" s="229" t="n"/>
    </row>
    <row r="34" customFormat="1" s="13">
      <c r="A34" s="11" t="inlineStr">
        <is>
          <t>#</t>
        </is>
      </c>
      <c r="B34" s="230" t="n"/>
      <c r="C34" s="229" t="inlineStr">
        <is>
          <t>PT</t>
        </is>
      </c>
      <c r="D34" s="229" t="n"/>
      <c r="E34" s="229" t="n"/>
      <c r="F34" s="229" t="n"/>
      <c r="G34" s="229" t="n"/>
      <c r="H34" s="229" t="n"/>
      <c r="I34" s="229" t="n"/>
      <c r="J34" s="229" t="inlineStr">
        <is>
          <t>BE</t>
        </is>
      </c>
      <c r="K34" s="229" t="n"/>
      <c r="L34" s="229" t="n"/>
      <c r="M34" s="229" t="n"/>
      <c r="N34" s="229" t="n"/>
      <c r="O34" s="229" t="n"/>
      <c r="P34" s="229" t="n">
        <v>29</v>
      </c>
      <c r="Q34" s="229" t="n"/>
      <c r="R34" s="229" t="inlineStr">
        <is>
          <t>BRL</t>
        </is>
      </c>
      <c r="S34" s="229" t="n"/>
      <c r="T34" s="229" t="inlineStr">
        <is>
          <t>OTHR_EQYF</t>
        </is>
      </c>
      <c r="U34" s="229" t="inlineStr">
        <is>
          <t>DER_OTH_OTHR</t>
        </is>
      </c>
      <c r="V34" s="229" t="n"/>
      <c r="W34" s="229" t="n"/>
      <c r="X34" s="229" t="n"/>
      <c r="Y34" s="229" t="n"/>
      <c r="Z34" s="229" t="n"/>
      <c r="AA34" s="229" t="n"/>
      <c r="AB34" s="229" t="n"/>
      <c r="AC34" s="229" t="n"/>
      <c r="AD34" s="229" t="n"/>
      <c r="AE34" s="229" t="n"/>
      <c r="AF34" s="229" t="n"/>
      <c r="AG34" s="229" t="n"/>
      <c r="AH34" s="229" t="n"/>
      <c r="AI34" s="229" t="n"/>
      <c r="AJ34" s="229" t="n"/>
    </row>
    <row r="35" customFormat="1" s="13">
      <c r="A35" s="11" t="inlineStr">
        <is>
          <t>#</t>
        </is>
      </c>
      <c r="B35" s="230" t="n"/>
      <c r="C35" s="229" t="inlineStr">
        <is>
          <t>RO</t>
        </is>
      </c>
      <c r="D35" s="229" t="n"/>
      <c r="E35" s="229" t="n"/>
      <c r="F35" s="229" t="n"/>
      <c r="G35" s="229" t="n"/>
      <c r="H35" s="229" t="n"/>
      <c r="I35" s="229" t="n"/>
      <c r="J35" s="229" t="inlineStr">
        <is>
          <t>BF</t>
        </is>
      </c>
      <c r="K35" s="229" t="n"/>
      <c r="L35" s="229" t="n"/>
      <c r="M35" s="229" t="n"/>
      <c r="N35" s="229" t="n"/>
      <c r="O35" s="229" t="n"/>
      <c r="P35" s="229" t="n">
        <v>30</v>
      </c>
      <c r="Q35" s="229" t="n"/>
      <c r="R35" s="229" t="inlineStr">
        <is>
          <t>BSD</t>
        </is>
      </c>
      <c r="S35" s="229" t="n"/>
      <c r="T35" s="229" t="inlineStr">
        <is>
          <t>OTHR_FXIF</t>
        </is>
      </c>
      <c r="U35" s="229" t="inlineStr">
        <is>
          <t>OTH_OTH_OTHR</t>
        </is>
      </c>
      <c r="V35" s="229" t="n"/>
      <c r="W35" s="229" t="n"/>
      <c r="X35" s="229" t="n"/>
      <c r="Y35" s="229" t="n"/>
      <c r="Z35" s="229" t="n"/>
      <c r="AA35" s="229" t="n"/>
      <c r="AB35" s="229" t="n"/>
      <c r="AC35" s="229" t="n"/>
      <c r="AD35" s="229" t="n"/>
      <c r="AE35" s="229" t="n"/>
      <c r="AF35" s="229" t="n"/>
      <c r="AG35" s="229" t="n"/>
      <c r="AH35" s="229" t="n"/>
      <c r="AI35" s="229" t="n"/>
      <c r="AJ35" s="229" t="n"/>
    </row>
    <row r="36" customFormat="1" s="13">
      <c r="A36" s="11" t="inlineStr">
        <is>
          <t>#</t>
        </is>
      </c>
      <c r="B36" s="230" t="n"/>
      <c r="C36" s="229" t="inlineStr">
        <is>
          <t>SE</t>
        </is>
      </c>
      <c r="D36" s="229" t="n"/>
      <c r="E36" s="229" t="n"/>
      <c r="F36" s="229" t="n"/>
      <c r="G36" s="229" t="n"/>
      <c r="H36" s="229" t="n"/>
      <c r="I36" s="229" t="n"/>
      <c r="J36" s="229" t="inlineStr">
        <is>
          <t>BG</t>
        </is>
      </c>
      <c r="K36" s="229" t="n"/>
      <c r="L36" s="229" t="n"/>
      <c r="M36" s="229" t="n"/>
      <c r="N36" s="229" t="n"/>
      <c r="O36" s="229" t="n"/>
      <c r="P36" s="229" t="n">
        <v>31</v>
      </c>
      <c r="Q36" s="229" t="n"/>
      <c r="R36" s="229" t="inlineStr">
        <is>
          <t>BTN</t>
        </is>
      </c>
      <c r="S36" s="229" t="n"/>
      <c r="T36" s="229" t="inlineStr">
        <is>
          <t>OTHR_INFF</t>
        </is>
      </c>
      <c r="U36" s="229" t="inlineStr">
        <is>
          <t>PHY_ART_PART</t>
        </is>
      </c>
      <c r="V36" s="229" t="n"/>
      <c r="W36" s="229" t="n"/>
      <c r="X36" s="229" t="n"/>
      <c r="Y36" s="229" t="n"/>
      <c r="Z36" s="229" t="n"/>
      <c r="AA36" s="229" t="n"/>
      <c r="AB36" s="229" t="n"/>
      <c r="AC36" s="229" t="n"/>
      <c r="AD36" s="229" t="n"/>
      <c r="AE36" s="229" t="n"/>
      <c r="AF36" s="229" t="n"/>
      <c r="AG36" s="229" t="n"/>
      <c r="AH36" s="229" t="n"/>
      <c r="AI36" s="229" t="n"/>
      <c r="AJ36" s="229" t="n"/>
    </row>
    <row r="37" customFormat="1" s="13">
      <c r="A37" s="11" t="inlineStr">
        <is>
          <t>#</t>
        </is>
      </c>
      <c r="B37" s="230" t="n"/>
      <c r="C37" s="229" t="inlineStr">
        <is>
          <t>SI</t>
        </is>
      </c>
      <c r="D37" s="229" t="n"/>
      <c r="E37" s="229" t="n"/>
      <c r="F37" s="229" t="n"/>
      <c r="G37" s="229" t="n"/>
      <c r="H37" s="229" t="n"/>
      <c r="I37" s="229" t="n"/>
      <c r="J37" s="229" t="inlineStr">
        <is>
          <t>BH</t>
        </is>
      </c>
      <c r="K37" s="229" t="n"/>
      <c r="L37" s="229" t="n"/>
      <c r="M37" s="229" t="n"/>
      <c r="N37" s="229" t="n"/>
      <c r="O37" s="229" t="n"/>
      <c r="P37" s="229" t="n">
        <v>32</v>
      </c>
      <c r="Q37" s="229" t="n"/>
      <c r="R37" s="229" t="inlineStr">
        <is>
          <t>BWP</t>
        </is>
      </c>
      <c r="S37" s="229" t="n"/>
      <c r="T37" s="229" t="inlineStr">
        <is>
          <t>OTHR_OTHF</t>
        </is>
      </c>
      <c r="U37" s="229" t="inlineStr">
        <is>
          <t>PHY_CTY_PCTY</t>
        </is>
      </c>
      <c r="V37" s="229" t="n"/>
      <c r="W37" s="229" t="n"/>
      <c r="X37" s="229" t="n"/>
      <c r="Y37" s="229" t="n"/>
      <c r="Z37" s="229" t="n"/>
      <c r="AA37" s="229" t="n"/>
      <c r="AB37" s="229" t="n"/>
      <c r="AC37" s="229" t="n"/>
      <c r="AD37" s="229" t="n"/>
      <c r="AE37" s="229" t="n"/>
      <c r="AF37" s="229" t="n"/>
      <c r="AG37" s="229" t="n"/>
      <c r="AH37" s="229" t="n"/>
      <c r="AI37" s="229" t="n"/>
      <c r="AJ37" s="229" t="n"/>
    </row>
    <row r="38" customFormat="1" s="13">
      <c r="A38" s="11" t="inlineStr">
        <is>
          <t>#</t>
        </is>
      </c>
      <c r="B38" s="230" t="n"/>
      <c r="C38" s="229" t="inlineStr">
        <is>
          <t>SK</t>
        </is>
      </c>
      <c r="D38" s="229" t="n"/>
      <c r="E38" s="229" t="n"/>
      <c r="F38" s="229" t="n"/>
      <c r="G38" s="229" t="n"/>
      <c r="H38" s="229" t="n"/>
      <c r="I38" s="229" t="n"/>
      <c r="J38" s="229" t="inlineStr">
        <is>
          <t>BI</t>
        </is>
      </c>
      <c r="K38" s="229" t="n"/>
      <c r="L38" s="229" t="n"/>
      <c r="M38" s="229" t="n"/>
      <c r="N38" s="229" t="n"/>
      <c r="O38" s="229" t="n"/>
      <c r="P38" s="229" t="n">
        <v>33</v>
      </c>
      <c r="Q38" s="229" t="n"/>
      <c r="R38" s="229" t="inlineStr">
        <is>
          <t>BYN</t>
        </is>
      </c>
      <c r="S38" s="229" t="n"/>
      <c r="T38" s="11" t="n"/>
      <c r="U38" s="229" t="inlineStr">
        <is>
          <t>PHY_OTH_OTHR</t>
        </is>
      </c>
      <c r="V38" s="229" t="n"/>
      <c r="W38" s="229" t="n"/>
      <c r="X38" s="229" t="n"/>
      <c r="Y38" s="229" t="n"/>
      <c r="Z38" s="229" t="n"/>
      <c r="AA38" s="229" t="n"/>
      <c r="AB38" s="229" t="n"/>
      <c r="AC38" s="229" t="n"/>
      <c r="AD38" s="229" t="n"/>
      <c r="AE38" s="229" t="n"/>
      <c r="AF38" s="229" t="n"/>
      <c r="AG38" s="229" t="n"/>
      <c r="AH38" s="229" t="n"/>
      <c r="AI38" s="229" t="n"/>
      <c r="AJ38" s="229" t="n"/>
    </row>
    <row r="39" customFormat="1" s="13">
      <c r="A39" s="11" t="inlineStr">
        <is>
          <t>#</t>
        </is>
      </c>
      <c r="B39" s="230" t="n"/>
      <c r="C39" s="229" t="inlineStr">
        <is>
          <t>XS</t>
        </is>
      </c>
      <c r="D39" s="229" t="n"/>
      <c r="E39" s="229" t="n"/>
      <c r="F39" s="229" t="n"/>
      <c r="G39" s="229" t="n"/>
      <c r="H39" s="229" t="n"/>
      <c r="I39" s="229" t="n"/>
      <c r="J39" s="229" t="inlineStr">
        <is>
          <t>BJ</t>
        </is>
      </c>
      <c r="K39" s="229" t="n"/>
      <c r="L39" s="229" t="n"/>
      <c r="M39" s="229" t="n"/>
      <c r="N39" s="229" t="n"/>
      <c r="O39" s="229" t="n"/>
      <c r="P39" s="229" t="n">
        <v>34</v>
      </c>
      <c r="Q39" s="229" t="n"/>
      <c r="R39" s="229" t="inlineStr">
        <is>
          <t>BZD</t>
        </is>
      </c>
      <c r="S39" s="229" t="n"/>
      <c r="T39" s="11" t="n"/>
      <c r="U39" s="229" t="inlineStr">
        <is>
          <t>PHY_RES_COML</t>
        </is>
      </c>
      <c r="V39" s="229" t="n"/>
      <c r="W39" s="229" t="n"/>
      <c r="X39" s="229" t="n"/>
      <c r="Y39" s="229" t="n"/>
      <c r="Z39" s="229" t="n"/>
      <c r="AA39" s="229" t="n"/>
      <c r="AB39" s="229" t="n"/>
      <c r="AC39" s="229" t="n"/>
      <c r="AD39" s="229" t="n"/>
      <c r="AE39" s="229" t="n"/>
      <c r="AF39" s="229" t="n"/>
      <c r="AG39" s="229" t="n"/>
      <c r="AH39" s="229" t="n"/>
      <c r="AI39" s="229" t="n"/>
      <c r="AJ39" s="229" t="n"/>
    </row>
    <row r="40" customFormat="1" s="13">
      <c r="A40" s="11" t="inlineStr">
        <is>
          <t>#</t>
        </is>
      </c>
      <c r="B40" s="230" t="n"/>
      <c r="C40" s="229" t="n"/>
      <c r="D40" s="229" t="n"/>
      <c r="E40" s="229" t="n"/>
      <c r="F40" s="229" t="n"/>
      <c r="G40" s="229" t="n"/>
      <c r="H40" s="229" t="n"/>
      <c r="I40" s="229" t="n"/>
      <c r="J40" s="229" t="inlineStr">
        <is>
          <t>BL</t>
        </is>
      </c>
      <c r="K40" s="229" t="n"/>
      <c r="L40" s="229" t="n"/>
      <c r="M40" s="229" t="n"/>
      <c r="N40" s="229" t="n"/>
      <c r="O40" s="229" t="n"/>
      <c r="P40" s="229" t="n">
        <v>35</v>
      </c>
      <c r="Q40" s="229" t="n"/>
      <c r="R40" s="229" t="inlineStr">
        <is>
          <t>CAD</t>
        </is>
      </c>
      <c r="S40" s="229" t="n"/>
      <c r="T40" s="11" t="n"/>
      <c r="U40" s="229" t="inlineStr">
        <is>
          <t>PHY_RES_OTHR</t>
        </is>
      </c>
      <c r="V40" s="229" t="n"/>
      <c r="W40" s="229" t="n"/>
      <c r="X40" s="229" t="n"/>
      <c r="Y40" s="229" t="n"/>
      <c r="Z40" s="229" t="n"/>
      <c r="AA40" s="229" t="n"/>
      <c r="AB40" s="229" t="n"/>
      <c r="AC40" s="229" t="n"/>
      <c r="AD40" s="229" t="n"/>
      <c r="AE40" s="229" t="n"/>
      <c r="AF40" s="229" t="n"/>
      <c r="AG40" s="229" t="n"/>
      <c r="AH40" s="229" t="n"/>
      <c r="AI40" s="229" t="n"/>
      <c r="AJ40" s="229" t="n"/>
    </row>
    <row r="41" customFormat="1" s="13">
      <c r="A41" s="11" t="inlineStr">
        <is>
          <t>#</t>
        </is>
      </c>
      <c r="B41" s="230" t="n"/>
      <c r="C41" s="229" t="n"/>
      <c r="D41" s="229" t="n"/>
      <c r="E41" s="229" t="n"/>
      <c r="F41" s="229" t="n"/>
      <c r="G41" s="229" t="n"/>
      <c r="H41" s="229" t="n"/>
      <c r="I41" s="229" t="n"/>
      <c r="J41" s="229" t="inlineStr">
        <is>
          <t>BM</t>
        </is>
      </c>
      <c r="K41" s="229" t="n"/>
      <c r="L41" s="229" t="n"/>
      <c r="M41" s="229" t="n"/>
      <c r="N41" s="229" t="n"/>
      <c r="O41" s="229" t="n"/>
      <c r="P41" s="229" t="n">
        <v>36</v>
      </c>
      <c r="Q41" s="229" t="n"/>
      <c r="R41" s="229" t="inlineStr">
        <is>
          <t>CDF</t>
        </is>
      </c>
      <c r="S41" s="229" t="n"/>
      <c r="T41" s="11" t="n"/>
      <c r="U41" s="229" t="inlineStr">
        <is>
          <t>PHY_RES_RESL</t>
        </is>
      </c>
      <c r="V41" s="229" t="n"/>
      <c r="W41" s="229" t="n"/>
      <c r="X41" s="229" t="n"/>
      <c r="Y41" s="229" t="n"/>
      <c r="Z41" s="229" t="n"/>
      <c r="AA41" s="229" t="n"/>
      <c r="AB41" s="229" t="n"/>
      <c r="AC41" s="229" t="n"/>
      <c r="AD41" s="229" t="n"/>
      <c r="AE41" s="229" t="n"/>
      <c r="AF41" s="229" t="n"/>
      <c r="AG41" s="229" t="n"/>
      <c r="AH41" s="229" t="n"/>
      <c r="AI41" s="229" t="n"/>
      <c r="AJ41" s="229" t="n"/>
    </row>
    <row r="42" customFormat="1" s="13">
      <c r="A42" s="11" t="inlineStr">
        <is>
          <t>#</t>
        </is>
      </c>
      <c r="B42" s="230" t="n"/>
      <c r="C42" s="229" t="n"/>
      <c r="D42" s="229" t="n"/>
      <c r="E42" s="229" t="n"/>
      <c r="F42" s="229" t="n"/>
      <c r="G42" s="229" t="n"/>
      <c r="H42" s="229" t="n"/>
      <c r="I42" s="229" t="n"/>
      <c r="J42" s="229" t="inlineStr">
        <is>
          <t>BN</t>
        </is>
      </c>
      <c r="K42" s="229" t="n"/>
      <c r="L42" s="229" t="n"/>
      <c r="M42" s="229" t="n"/>
      <c r="N42" s="229" t="n"/>
      <c r="O42" s="229" t="n"/>
      <c r="P42" s="229" t="n">
        <v>37</v>
      </c>
      <c r="Q42" s="229" t="n"/>
      <c r="R42" s="229" t="inlineStr">
        <is>
          <t>CHE</t>
        </is>
      </c>
      <c r="S42" s="229" t="n"/>
      <c r="T42" s="229" t="n"/>
      <c r="U42" s="229" t="inlineStr">
        <is>
          <t>PHY_TIM_PTIM</t>
        </is>
      </c>
      <c r="V42" s="229" t="n"/>
      <c r="W42" s="229" t="n"/>
      <c r="X42" s="229" t="n"/>
      <c r="Y42" s="229" t="n"/>
      <c r="Z42" s="229" t="n"/>
      <c r="AA42" s="229" t="n"/>
      <c r="AB42" s="229" t="n"/>
      <c r="AC42" s="229" t="n"/>
      <c r="AD42" s="229" t="n"/>
      <c r="AE42" s="229" t="n"/>
      <c r="AF42" s="229" t="n"/>
      <c r="AG42" s="229" t="n"/>
      <c r="AH42" s="229" t="n"/>
      <c r="AI42" s="229" t="n"/>
      <c r="AJ42" s="229" t="n"/>
    </row>
    <row r="43" customFormat="1" s="13">
      <c r="A43" s="11" t="inlineStr">
        <is>
          <t>#</t>
        </is>
      </c>
      <c r="B43" s="230" t="n"/>
      <c r="C43" s="229" t="n"/>
      <c r="D43" s="229" t="n"/>
      <c r="E43" s="229" t="n"/>
      <c r="F43" s="229" t="n"/>
      <c r="G43" s="229" t="n"/>
      <c r="H43" s="229" t="n"/>
      <c r="I43" s="229" t="n"/>
      <c r="J43" s="229" t="inlineStr">
        <is>
          <t>BO</t>
        </is>
      </c>
      <c r="K43" s="229" t="n"/>
      <c r="L43" s="229" t="n"/>
      <c r="M43" s="229" t="n"/>
      <c r="N43" s="229" t="n"/>
      <c r="O43" s="229" t="n"/>
      <c r="P43" s="229" t="n">
        <v>38</v>
      </c>
      <c r="Q43" s="229" t="n"/>
      <c r="R43" s="229" t="inlineStr">
        <is>
          <t>CHF</t>
        </is>
      </c>
      <c r="S43" s="229" t="n"/>
      <c r="T43" s="229" t="n"/>
      <c r="U43" s="229" t="inlineStr">
        <is>
          <t>PHY_TPT_PTPT</t>
        </is>
      </c>
      <c r="V43" s="229" t="n"/>
      <c r="W43" s="229" t="n"/>
      <c r="X43" s="229" t="n"/>
      <c r="Y43" s="229" t="n"/>
      <c r="Z43" s="229" t="n"/>
      <c r="AA43" s="229" t="n"/>
      <c r="AB43" s="229" t="n"/>
      <c r="AC43" s="229" t="n"/>
      <c r="AD43" s="229" t="n"/>
      <c r="AE43" s="229" t="n"/>
      <c r="AF43" s="229" t="n"/>
      <c r="AG43" s="229" t="n"/>
      <c r="AH43" s="229" t="n"/>
      <c r="AI43" s="229" t="n"/>
      <c r="AJ43" s="229" t="n"/>
    </row>
    <row r="44" customFormat="1" s="13">
      <c r="A44" s="11" t="inlineStr">
        <is>
          <t>#</t>
        </is>
      </c>
      <c r="B44" s="230" t="n"/>
      <c r="C44" s="229" t="n"/>
      <c r="D44" s="229" t="n"/>
      <c r="E44" s="229" t="n"/>
      <c r="F44" s="229" t="n"/>
      <c r="G44" s="229" t="n"/>
      <c r="H44" s="229" t="n"/>
      <c r="I44" s="229" t="n"/>
      <c r="J44" s="229" t="inlineStr">
        <is>
          <t>BR</t>
        </is>
      </c>
      <c r="K44" s="229" t="n"/>
      <c r="L44" s="229" t="n"/>
      <c r="M44" s="229" t="n"/>
      <c r="N44" s="229" t="n"/>
      <c r="O44" s="229" t="n"/>
      <c r="P44" s="229" t="n">
        <v>39</v>
      </c>
      <c r="Q44" s="229" t="n"/>
      <c r="R44" s="229" t="inlineStr">
        <is>
          <t>CHW</t>
        </is>
      </c>
      <c r="S44" s="229" t="n"/>
      <c r="T44" s="229" t="n"/>
      <c r="U44" s="229" t="inlineStr">
        <is>
          <t>SEC_CBI_INVG</t>
        </is>
      </c>
      <c r="V44" s="229" t="n"/>
      <c r="W44" s="229" t="n"/>
      <c r="X44" s="229" t="n"/>
      <c r="Y44" s="229" t="n"/>
      <c r="Z44" s="229" t="n"/>
      <c r="AA44" s="229" t="n"/>
      <c r="AB44" s="229" t="n"/>
      <c r="AC44" s="229" t="n"/>
      <c r="AD44" s="229" t="n"/>
      <c r="AE44" s="229" t="n"/>
      <c r="AF44" s="229" t="n"/>
      <c r="AG44" s="229" t="n"/>
      <c r="AH44" s="229" t="n"/>
      <c r="AI44" s="229" t="n"/>
      <c r="AJ44" s="229" t="n"/>
    </row>
    <row r="45" customFormat="1" s="13">
      <c r="A45" s="11" t="inlineStr">
        <is>
          <t>#</t>
        </is>
      </c>
      <c r="B45" s="230" t="n"/>
      <c r="C45" s="229" t="n"/>
      <c r="D45" s="229" t="n"/>
      <c r="E45" s="229" t="n"/>
      <c r="F45" s="229" t="n"/>
      <c r="G45" s="229" t="n"/>
      <c r="H45" s="229" t="n"/>
      <c r="I45" s="229" t="n"/>
      <c r="J45" s="229" t="inlineStr">
        <is>
          <t>BS</t>
        </is>
      </c>
      <c r="K45" s="229" t="n"/>
      <c r="L45" s="229" t="n"/>
      <c r="M45" s="229" t="n"/>
      <c r="N45" s="229" t="n"/>
      <c r="O45" s="229" t="n"/>
      <c r="P45" s="229" t="n">
        <v>40</v>
      </c>
      <c r="Q45" s="229" t="n"/>
      <c r="R45" s="229" t="inlineStr">
        <is>
          <t>CLF</t>
        </is>
      </c>
      <c r="S45" s="229" t="n"/>
      <c r="T45" s="229" t="n"/>
      <c r="U45" s="229" t="inlineStr">
        <is>
          <t>SEC_CBI_NIVG</t>
        </is>
      </c>
      <c r="V45" s="229" t="n"/>
      <c r="W45" s="229" t="n"/>
      <c r="X45" s="229" t="n"/>
      <c r="Y45" s="229" t="n"/>
      <c r="Z45" s="229" t="n"/>
      <c r="AA45" s="229" t="n"/>
      <c r="AB45" s="229" t="n"/>
      <c r="AC45" s="229" t="n"/>
      <c r="AD45" s="229" t="n"/>
      <c r="AE45" s="229" t="n"/>
      <c r="AF45" s="229" t="n"/>
      <c r="AG45" s="229" t="n"/>
      <c r="AH45" s="229" t="n"/>
      <c r="AI45" s="229" t="n"/>
      <c r="AJ45" s="229" t="n"/>
    </row>
    <row r="46" customFormat="1" s="13">
      <c r="A46" s="11" t="inlineStr">
        <is>
          <t>#</t>
        </is>
      </c>
      <c r="B46" s="230" t="n"/>
      <c r="C46" s="229" t="n"/>
      <c r="D46" s="229" t="n"/>
      <c r="E46" s="229" t="n"/>
      <c r="F46" s="229" t="n"/>
      <c r="G46" s="229" t="n"/>
      <c r="H46" s="229" t="n"/>
      <c r="I46" s="229" t="n"/>
      <c r="J46" s="229" t="inlineStr">
        <is>
          <t>BT</t>
        </is>
      </c>
      <c r="K46" s="229" t="n"/>
      <c r="L46" s="229" t="n"/>
      <c r="M46" s="229" t="n"/>
      <c r="N46" s="229" t="n"/>
      <c r="O46" s="229" t="n"/>
      <c r="P46" s="229" t="n">
        <v>41</v>
      </c>
      <c r="Q46" s="229" t="n"/>
      <c r="R46" s="229" t="inlineStr">
        <is>
          <t>CLP</t>
        </is>
      </c>
      <c r="S46" s="229" t="n"/>
      <c r="T46" s="229" t="n"/>
      <c r="U46" s="229" t="inlineStr">
        <is>
          <t>SEC_CBN_INVG</t>
        </is>
      </c>
      <c r="V46" s="229" t="n"/>
      <c r="W46" s="229" t="n"/>
      <c r="X46" s="229" t="n"/>
      <c r="Y46" s="229" t="n"/>
      <c r="Z46" s="229" t="n"/>
      <c r="AA46" s="229" t="n"/>
      <c r="AB46" s="229" t="n"/>
      <c r="AC46" s="229" t="n"/>
      <c r="AD46" s="229" t="n"/>
      <c r="AE46" s="229" t="n"/>
      <c r="AF46" s="229" t="n"/>
      <c r="AG46" s="229" t="n"/>
      <c r="AH46" s="229" t="n"/>
      <c r="AI46" s="229" t="n"/>
      <c r="AJ46" s="229" t="n"/>
    </row>
    <row r="47" customFormat="1" s="13">
      <c r="A47" s="11" t="inlineStr">
        <is>
          <t>#</t>
        </is>
      </c>
      <c r="B47" s="230" t="n"/>
      <c r="C47" s="229" t="n"/>
      <c r="D47" s="229" t="n"/>
      <c r="E47" s="229" t="n"/>
      <c r="F47" s="229" t="n"/>
      <c r="G47" s="229" t="n"/>
      <c r="H47" s="229" t="n"/>
      <c r="I47" s="229" t="n"/>
      <c r="J47" s="229" t="inlineStr">
        <is>
          <t>BV</t>
        </is>
      </c>
      <c r="K47" s="229" t="n"/>
      <c r="L47" s="229" t="n"/>
      <c r="M47" s="229" t="n"/>
      <c r="N47" s="229" t="n"/>
      <c r="O47" s="229" t="n"/>
      <c r="P47" s="229" t="n">
        <v>42</v>
      </c>
      <c r="Q47" s="229" t="n"/>
      <c r="R47" s="229" t="inlineStr">
        <is>
          <t>CNY</t>
        </is>
      </c>
      <c r="S47" s="229" t="n"/>
      <c r="T47" s="11" t="n"/>
      <c r="U47" s="229" t="inlineStr">
        <is>
          <t>SEC_CBN_NIVG</t>
        </is>
      </c>
      <c r="V47" s="229" t="n"/>
      <c r="W47" s="229" t="n"/>
      <c r="X47" s="229" t="n"/>
      <c r="Y47" s="229" t="n"/>
      <c r="Z47" s="229" t="n"/>
      <c r="AA47" s="229" t="n"/>
      <c r="AB47" s="229" t="n"/>
      <c r="AC47" s="229" t="n"/>
      <c r="AD47" s="229" t="n"/>
      <c r="AE47" s="229" t="n"/>
      <c r="AF47" s="229" t="n"/>
      <c r="AG47" s="229" t="n"/>
      <c r="AH47" s="229" t="n"/>
      <c r="AI47" s="229" t="n"/>
      <c r="AJ47" s="229" t="n"/>
    </row>
    <row r="48" customFormat="1" s="13">
      <c r="A48" s="11" t="inlineStr">
        <is>
          <t>#</t>
        </is>
      </c>
      <c r="B48" s="230" t="n"/>
      <c r="C48" s="229" t="n"/>
      <c r="D48" s="229" t="n"/>
      <c r="E48" s="229" t="n"/>
      <c r="F48" s="229" t="n"/>
      <c r="G48" s="229" t="n"/>
      <c r="H48" s="229" t="n"/>
      <c r="I48" s="229" t="n"/>
      <c r="J48" s="229" t="inlineStr">
        <is>
          <t>BW</t>
        </is>
      </c>
      <c r="K48" s="229" t="n"/>
      <c r="L48" s="229" t="n"/>
      <c r="M48" s="229" t="n"/>
      <c r="N48" s="229" t="n"/>
      <c r="O48" s="229" t="n"/>
      <c r="P48" s="229" t="n">
        <v>43</v>
      </c>
      <c r="Q48" s="229" t="n"/>
      <c r="R48" s="229" t="inlineStr">
        <is>
          <t>COP</t>
        </is>
      </c>
      <c r="S48" s="229" t="n"/>
      <c r="T48" s="229" t="n"/>
      <c r="U48" s="229" t="inlineStr">
        <is>
          <t>SEC_CPI_INVG</t>
        </is>
      </c>
      <c r="V48" s="229" t="n"/>
      <c r="W48" s="229" t="n"/>
      <c r="X48" s="229" t="n"/>
      <c r="Y48" s="229" t="n"/>
      <c r="Z48" s="229" t="n"/>
      <c r="AA48" s="229" t="n"/>
      <c r="AB48" s="229" t="n"/>
      <c r="AC48" s="229" t="n"/>
      <c r="AD48" s="229" t="n"/>
      <c r="AE48" s="229" t="n"/>
      <c r="AF48" s="229" t="n"/>
      <c r="AG48" s="229" t="n"/>
      <c r="AH48" s="229" t="n"/>
      <c r="AI48" s="229" t="n"/>
      <c r="AJ48" s="229" t="n"/>
    </row>
    <row r="49" customFormat="1" s="13">
      <c r="A49" s="11" t="inlineStr">
        <is>
          <t>#</t>
        </is>
      </c>
      <c r="B49" s="230" t="n"/>
      <c r="C49" s="229" t="n"/>
      <c r="D49" s="229" t="n"/>
      <c r="E49" s="229" t="n"/>
      <c r="F49" s="229" t="n"/>
      <c r="G49" s="229" t="n"/>
      <c r="H49" s="229" t="n"/>
      <c r="I49" s="229" t="n"/>
      <c r="J49" s="229" t="inlineStr">
        <is>
          <t>BY</t>
        </is>
      </c>
      <c r="K49" s="229" t="n"/>
      <c r="L49" s="229" t="n"/>
      <c r="M49" s="229" t="n"/>
      <c r="N49" s="229" t="n"/>
      <c r="O49" s="229" t="n"/>
      <c r="P49" s="229" t="n">
        <v>44</v>
      </c>
      <c r="Q49" s="229" t="n"/>
      <c r="R49" s="229" t="inlineStr">
        <is>
          <t>COU</t>
        </is>
      </c>
      <c r="S49" s="229" t="n"/>
      <c r="T49" s="229" t="n"/>
      <c r="U49" s="229" t="inlineStr">
        <is>
          <t>SEC_CPI_NIVG</t>
        </is>
      </c>
      <c r="V49" s="229" t="n"/>
      <c r="W49" s="229" t="n"/>
      <c r="X49" s="229" t="n"/>
      <c r="Y49" s="229" t="n"/>
      <c r="Z49" s="229" t="n"/>
      <c r="AA49" s="229" t="n"/>
      <c r="AB49" s="229" t="n"/>
      <c r="AC49" s="229" t="n"/>
      <c r="AD49" s="229" t="n"/>
      <c r="AE49" s="229" t="n"/>
      <c r="AF49" s="229" t="n"/>
      <c r="AG49" s="229" t="n"/>
      <c r="AH49" s="229" t="n"/>
      <c r="AI49" s="229" t="n"/>
      <c r="AJ49" s="229" t="n"/>
    </row>
    <row r="50" customFormat="1" s="13">
      <c r="A50" s="11" t="inlineStr">
        <is>
          <t>#</t>
        </is>
      </c>
      <c r="B50" s="230" t="n"/>
      <c r="C50" s="229" t="n"/>
      <c r="D50" s="229" t="n"/>
      <c r="E50" s="229" t="n"/>
      <c r="F50" s="229" t="n"/>
      <c r="G50" s="229" t="n"/>
      <c r="H50" s="229" t="n"/>
      <c r="I50" s="229" t="n"/>
      <c r="J50" s="229" t="inlineStr">
        <is>
          <t>BZ</t>
        </is>
      </c>
      <c r="K50" s="229" t="n"/>
      <c r="L50" s="229" t="n"/>
      <c r="M50" s="229" t="n"/>
      <c r="N50" s="229" t="n"/>
      <c r="O50" s="229" t="n"/>
      <c r="P50" s="229" t="n">
        <v>45</v>
      </c>
      <c r="Q50" s="229" t="n"/>
      <c r="R50" s="229" t="inlineStr">
        <is>
          <t>CRC</t>
        </is>
      </c>
      <c r="S50" s="229" t="n"/>
      <c r="T50" s="229" t="n"/>
      <c r="U50" s="229" t="inlineStr">
        <is>
          <t>SEC_CPN_INVG</t>
        </is>
      </c>
      <c r="V50" s="229" t="n"/>
      <c r="W50" s="229" t="n"/>
      <c r="X50" s="229" t="n"/>
      <c r="Y50" s="229" t="n"/>
      <c r="Z50" s="229" t="n"/>
      <c r="AA50" s="229" t="n"/>
      <c r="AB50" s="229" t="n"/>
      <c r="AC50" s="229" t="n"/>
      <c r="AD50" s="229" t="n"/>
      <c r="AE50" s="229" t="n"/>
      <c r="AF50" s="229" t="n"/>
      <c r="AG50" s="229" t="n"/>
      <c r="AH50" s="229" t="n"/>
      <c r="AI50" s="229" t="n"/>
      <c r="AJ50" s="229" t="n"/>
    </row>
    <row r="51" customFormat="1" s="13">
      <c r="A51" s="11" t="inlineStr">
        <is>
          <t>#</t>
        </is>
      </c>
      <c r="B51" s="230" t="n"/>
      <c r="C51" s="229" t="n"/>
      <c r="D51" s="229" t="n"/>
      <c r="E51" s="229" t="n"/>
      <c r="F51" s="229" t="n"/>
      <c r="G51" s="229" t="n"/>
      <c r="H51" s="229" t="n"/>
      <c r="I51" s="229" t="n"/>
      <c r="J51" s="229" t="inlineStr">
        <is>
          <t>CA</t>
        </is>
      </c>
      <c r="K51" s="229" t="n"/>
      <c r="L51" s="229" t="n"/>
      <c r="M51" s="229" t="n"/>
      <c r="N51" s="229" t="n"/>
      <c r="O51" s="229" t="n"/>
      <c r="P51" s="229" t="n"/>
      <c r="Q51" s="229" t="n"/>
      <c r="R51" s="229" t="inlineStr">
        <is>
          <t>CUC</t>
        </is>
      </c>
      <c r="S51" s="229" t="n"/>
      <c r="T51" s="229" t="n"/>
      <c r="U51" s="229" t="inlineStr">
        <is>
          <t>SEC_CPN_NIVG</t>
        </is>
      </c>
      <c r="V51" s="229" t="n"/>
      <c r="W51" s="229" t="n"/>
      <c r="X51" s="229" t="n"/>
      <c r="Y51" s="229" t="n"/>
      <c r="Z51" s="229" t="n"/>
      <c r="AA51" s="229" t="n"/>
      <c r="AB51" s="229" t="n"/>
      <c r="AC51" s="229" t="n"/>
      <c r="AD51" s="229" t="n"/>
      <c r="AE51" s="229" t="n"/>
      <c r="AF51" s="229" t="n"/>
      <c r="AG51" s="229" t="n"/>
      <c r="AH51" s="229" t="n"/>
      <c r="AI51" s="229" t="n"/>
      <c r="AJ51" s="229" t="n"/>
    </row>
    <row r="52" customFormat="1" s="13">
      <c r="A52" s="11" t="inlineStr">
        <is>
          <t>#</t>
        </is>
      </c>
      <c r="B52" s="230" t="n"/>
      <c r="C52" s="229" t="n"/>
      <c r="D52" s="229" t="n"/>
      <c r="E52" s="229" t="n"/>
      <c r="F52" s="229" t="n"/>
      <c r="G52" s="229" t="n"/>
      <c r="H52" s="229" t="n"/>
      <c r="I52" s="229" t="n"/>
      <c r="J52" s="229" t="inlineStr">
        <is>
          <t>CC</t>
        </is>
      </c>
      <c r="K52" s="229" t="n"/>
      <c r="L52" s="229" t="n"/>
      <c r="M52" s="229" t="n"/>
      <c r="N52" s="229" t="n"/>
      <c r="O52" s="229" t="n"/>
      <c r="P52" s="229" t="n"/>
      <c r="Q52" s="229" t="n"/>
      <c r="R52" s="229" t="inlineStr">
        <is>
          <t>CUP</t>
        </is>
      </c>
      <c r="S52" s="229" t="n"/>
      <c r="T52" s="229" t="n"/>
      <c r="U52" s="229" t="inlineStr">
        <is>
          <t>SEC_CSH_CODP</t>
        </is>
      </c>
      <c r="V52" s="229" t="n"/>
      <c r="W52" s="229" t="n"/>
      <c r="X52" s="229" t="n"/>
      <c r="Y52" s="229" t="n"/>
      <c r="Z52" s="229" t="n"/>
      <c r="AA52" s="229" t="n"/>
      <c r="AB52" s="229" t="n"/>
      <c r="AC52" s="229" t="n"/>
      <c r="AD52" s="229" t="n"/>
      <c r="AE52" s="229" t="n"/>
      <c r="AF52" s="229" t="n"/>
      <c r="AG52" s="229" t="n"/>
      <c r="AH52" s="229" t="n"/>
      <c r="AI52" s="229" t="n"/>
      <c r="AJ52" s="229" t="n"/>
    </row>
    <row r="53" customFormat="1" s="13">
      <c r="A53" s="11" t="inlineStr">
        <is>
          <t>#</t>
        </is>
      </c>
      <c r="B53" s="230" t="n"/>
      <c r="C53" s="229" t="n"/>
      <c r="D53" s="229" t="n"/>
      <c r="E53" s="229" t="n"/>
      <c r="F53" s="229" t="n"/>
      <c r="G53" s="229" t="n"/>
      <c r="H53" s="229" t="n"/>
      <c r="I53" s="229" t="n"/>
      <c r="J53" s="229" t="inlineStr">
        <is>
          <t>CD</t>
        </is>
      </c>
      <c r="K53" s="229" t="n"/>
      <c r="L53" s="229" t="n"/>
      <c r="M53" s="229" t="n"/>
      <c r="N53" s="229" t="n"/>
      <c r="O53" s="229" t="n"/>
      <c r="P53" s="229" t="n"/>
      <c r="Q53" s="229" t="n"/>
      <c r="R53" s="229" t="inlineStr">
        <is>
          <t>CVE</t>
        </is>
      </c>
      <c r="S53" s="229" t="n"/>
      <c r="T53" s="229" t="n"/>
      <c r="U53" s="229" t="inlineStr">
        <is>
          <t>SEC_CSH_COMP</t>
        </is>
      </c>
      <c r="V53" s="229" t="n"/>
      <c r="W53" s="229" t="n"/>
      <c r="X53" s="229" t="n"/>
      <c r="Y53" s="229" t="n"/>
      <c r="Z53" s="229" t="n"/>
      <c r="AA53" s="229" t="n"/>
      <c r="AB53" s="229" t="n"/>
      <c r="AC53" s="229" t="n"/>
      <c r="AD53" s="229" t="n"/>
      <c r="AE53" s="229" t="n"/>
      <c r="AF53" s="229" t="n"/>
      <c r="AG53" s="229" t="n"/>
      <c r="AH53" s="229" t="n"/>
      <c r="AI53" s="229" t="n"/>
      <c r="AJ53" s="229" t="n"/>
    </row>
    <row r="54" customFormat="1" s="13">
      <c r="A54" s="11" t="inlineStr">
        <is>
          <t>#</t>
        </is>
      </c>
      <c r="B54" s="230" t="n"/>
      <c r="C54" s="229" t="n"/>
      <c r="D54" s="229" t="n"/>
      <c r="E54" s="229" t="n"/>
      <c r="F54" s="229" t="n"/>
      <c r="G54" s="229" t="n"/>
      <c r="H54" s="229" t="n"/>
      <c r="I54" s="229" t="n"/>
      <c r="J54" s="229" t="inlineStr">
        <is>
          <t>CF</t>
        </is>
      </c>
      <c r="K54" s="229" t="n"/>
      <c r="L54" s="229" t="n"/>
      <c r="M54" s="229" t="n"/>
      <c r="N54" s="229" t="n"/>
      <c r="O54" s="229" t="n"/>
      <c r="P54" s="229" t="n"/>
      <c r="Q54" s="229" t="n"/>
      <c r="R54" s="229" t="inlineStr">
        <is>
          <t>CZK</t>
        </is>
      </c>
      <c r="S54" s="229" t="n"/>
      <c r="T54" s="229" t="n"/>
      <c r="U54" s="229" t="inlineStr">
        <is>
          <t>SEC_CSH_OTHC</t>
        </is>
      </c>
      <c r="V54" s="229" t="n"/>
      <c r="W54" s="229" t="n"/>
      <c r="X54" s="229" t="n"/>
      <c r="Y54" s="229" t="n"/>
      <c r="Z54" s="229" t="n"/>
      <c r="AA54" s="229" t="n"/>
      <c r="AB54" s="229" t="n"/>
      <c r="AC54" s="229" t="n"/>
      <c r="AD54" s="229" t="n"/>
      <c r="AE54" s="229" t="n"/>
      <c r="AF54" s="229" t="n"/>
      <c r="AG54" s="229" t="n"/>
      <c r="AH54" s="229" t="n"/>
      <c r="AI54" s="229" t="n"/>
      <c r="AJ54" s="229" t="n"/>
    </row>
    <row r="55" customFormat="1" s="13">
      <c r="A55" s="11" t="inlineStr">
        <is>
          <t>#</t>
        </is>
      </c>
      <c r="B55" s="230" t="n"/>
      <c r="C55" s="229" t="n"/>
      <c r="D55" s="229" t="n"/>
      <c r="E55" s="229" t="n"/>
      <c r="F55" s="229" t="n"/>
      <c r="G55" s="229" t="n"/>
      <c r="H55" s="229" t="n"/>
      <c r="I55" s="229" t="n"/>
      <c r="J55" s="229" t="inlineStr">
        <is>
          <t>CG</t>
        </is>
      </c>
      <c r="K55" s="229" t="n"/>
      <c r="L55" s="229" t="n"/>
      <c r="M55" s="229" t="n"/>
      <c r="N55" s="229" t="n"/>
      <c r="O55" s="229" t="n"/>
      <c r="P55" s="229" t="n"/>
      <c r="Q55" s="229" t="n"/>
      <c r="R55" s="229" t="inlineStr">
        <is>
          <t>DJF</t>
        </is>
      </c>
      <c r="S55" s="229" t="n"/>
      <c r="T55" s="229" t="n"/>
      <c r="U55" s="229" t="inlineStr">
        <is>
          <t>SEC_CSH_OTHD</t>
        </is>
      </c>
      <c r="V55" s="229" t="n"/>
      <c r="W55" s="229" t="n"/>
      <c r="X55" s="229" t="n"/>
      <c r="Y55" s="229" t="n"/>
      <c r="Z55" s="229" t="n"/>
      <c r="AA55" s="229" t="n"/>
      <c r="AB55" s="229" t="n"/>
      <c r="AC55" s="229" t="n"/>
      <c r="AD55" s="229" t="n"/>
      <c r="AE55" s="229" t="n"/>
      <c r="AF55" s="229" t="n"/>
      <c r="AG55" s="229" t="n"/>
      <c r="AH55" s="229" t="n"/>
      <c r="AI55" s="229" t="n"/>
      <c r="AJ55" s="229" t="n"/>
    </row>
    <row r="56" customFormat="1" s="13">
      <c r="A56" s="11" t="inlineStr">
        <is>
          <t>#</t>
        </is>
      </c>
      <c r="B56" s="230" t="n"/>
      <c r="C56" s="229" t="n"/>
      <c r="D56" s="229" t="n"/>
      <c r="E56" s="229" t="n"/>
      <c r="F56" s="229" t="n"/>
      <c r="G56" s="229" t="n"/>
      <c r="H56" s="229" t="n"/>
      <c r="I56" s="229" t="n"/>
      <c r="J56" s="229" t="inlineStr">
        <is>
          <t>CH</t>
        </is>
      </c>
      <c r="K56" s="229" t="n"/>
      <c r="L56" s="229" t="n"/>
      <c r="M56" s="229" t="n"/>
      <c r="N56" s="229" t="n"/>
      <c r="O56" s="229" t="n"/>
      <c r="P56" s="229" t="n"/>
      <c r="Q56" s="229" t="n"/>
      <c r="R56" s="229" t="inlineStr">
        <is>
          <t>DKK</t>
        </is>
      </c>
      <c r="S56" s="229" t="n"/>
      <c r="T56" s="229" t="n"/>
      <c r="U56" s="229" t="inlineStr">
        <is>
          <t>SEC_LEQ_IFIN</t>
        </is>
      </c>
      <c r="V56" s="229" t="n"/>
      <c r="W56" s="229" t="n"/>
      <c r="X56" s="229" t="n"/>
      <c r="Y56" s="229" t="n"/>
      <c r="Z56" s="229" t="n"/>
      <c r="AA56" s="229" t="n"/>
      <c r="AB56" s="229" t="n"/>
      <c r="AC56" s="229" t="n"/>
      <c r="AD56" s="229" t="n"/>
      <c r="AE56" s="229" t="n"/>
      <c r="AF56" s="229" t="n"/>
      <c r="AG56" s="229" t="n"/>
      <c r="AH56" s="229" t="n"/>
      <c r="AI56" s="229" t="n"/>
      <c r="AJ56" s="229" t="n"/>
    </row>
    <row r="57" customFormat="1" s="13">
      <c r="A57" s="11" t="inlineStr">
        <is>
          <t>#</t>
        </is>
      </c>
      <c r="B57" s="230" t="n"/>
      <c r="C57" s="229" t="n"/>
      <c r="D57" s="229" t="n"/>
      <c r="E57" s="229" t="n"/>
      <c r="F57" s="229" t="n"/>
      <c r="G57" s="229" t="n"/>
      <c r="H57" s="229" t="n"/>
      <c r="I57" s="229" t="n"/>
      <c r="J57" s="229" t="inlineStr">
        <is>
          <t>CI</t>
        </is>
      </c>
      <c r="K57" s="229" t="n"/>
      <c r="L57" s="229" t="n"/>
      <c r="M57" s="229" t="n"/>
      <c r="N57" s="229" t="n"/>
      <c r="O57" s="229" t="n"/>
      <c r="P57" s="229" t="n"/>
      <c r="Q57" s="229" t="n"/>
      <c r="R57" s="229" t="inlineStr">
        <is>
          <t>DOP</t>
        </is>
      </c>
      <c r="S57" s="229" t="n"/>
      <c r="T57" s="229" t="n"/>
      <c r="U57" s="229" t="inlineStr">
        <is>
          <t>SEC_LEQ_OTHR</t>
        </is>
      </c>
      <c r="V57" s="229" t="n"/>
      <c r="W57" s="229" t="n"/>
      <c r="X57" s="229" t="n"/>
      <c r="Y57" s="229" t="n"/>
      <c r="Z57" s="229" t="n"/>
      <c r="AA57" s="229" t="n"/>
      <c r="AB57" s="229" t="n"/>
      <c r="AC57" s="229" t="n"/>
      <c r="AD57" s="229" t="n"/>
      <c r="AE57" s="229" t="n"/>
      <c r="AF57" s="229" t="n"/>
      <c r="AG57" s="229" t="n"/>
      <c r="AH57" s="229" t="n"/>
      <c r="AI57" s="229" t="n"/>
      <c r="AJ57" s="229" t="n"/>
    </row>
    <row r="58" customFormat="1" s="13">
      <c r="A58" s="11" t="inlineStr">
        <is>
          <t>#</t>
        </is>
      </c>
      <c r="B58" s="230" t="n"/>
      <c r="C58" s="229" t="n"/>
      <c r="D58" s="229" t="n"/>
      <c r="E58" s="229" t="n"/>
      <c r="F58" s="229" t="n"/>
      <c r="G58" s="229" t="n"/>
      <c r="H58" s="229" t="n"/>
      <c r="I58" s="229" t="n"/>
      <c r="J58" s="229" t="inlineStr">
        <is>
          <t>CK</t>
        </is>
      </c>
      <c r="K58" s="229" t="n"/>
      <c r="L58" s="229" t="n"/>
      <c r="M58" s="229" t="n"/>
      <c r="N58" s="229" t="n"/>
      <c r="O58" s="229" t="n"/>
      <c r="P58" s="229" t="n"/>
      <c r="Q58" s="229" t="n"/>
      <c r="R58" s="229" t="inlineStr">
        <is>
          <t>DZD</t>
        </is>
      </c>
      <c r="S58" s="229" t="n"/>
      <c r="T58" s="229" t="n"/>
      <c r="U58" s="229" t="inlineStr">
        <is>
          <t>SEC_LON_LEVL</t>
        </is>
      </c>
      <c r="V58" s="229" t="n"/>
      <c r="W58" s="229" t="n"/>
      <c r="X58" s="229" t="n"/>
      <c r="Y58" s="229" t="n"/>
      <c r="Z58" s="229" t="n"/>
      <c r="AA58" s="229" t="n"/>
      <c r="AB58" s="229" t="n"/>
      <c r="AC58" s="229" t="n"/>
      <c r="AD58" s="229" t="n"/>
      <c r="AE58" s="229" t="n"/>
      <c r="AF58" s="229" t="n"/>
      <c r="AG58" s="229" t="n"/>
      <c r="AH58" s="229" t="n"/>
      <c r="AI58" s="229" t="n"/>
      <c r="AJ58" s="229" t="n"/>
    </row>
    <row r="59" customFormat="1" s="13">
      <c r="A59" s="11" t="inlineStr">
        <is>
          <t>#</t>
        </is>
      </c>
      <c r="B59" s="230" t="n"/>
      <c r="C59" s="229" t="n"/>
      <c r="D59" s="229" t="n"/>
      <c r="E59" s="229" t="n"/>
      <c r="F59" s="229" t="n"/>
      <c r="G59" s="229" t="n"/>
      <c r="H59" s="229" t="n"/>
      <c r="I59" s="229" t="n"/>
      <c r="J59" s="229" t="inlineStr">
        <is>
          <t>CL</t>
        </is>
      </c>
      <c r="K59" s="229" t="n"/>
      <c r="L59" s="229" t="n"/>
      <c r="M59" s="229" t="n"/>
      <c r="N59" s="229" t="n"/>
      <c r="O59" s="229" t="n"/>
      <c r="P59" s="229" t="n"/>
      <c r="Q59" s="229" t="n"/>
      <c r="R59" s="229" t="inlineStr">
        <is>
          <t>EGP</t>
        </is>
      </c>
      <c r="S59" s="229" t="n"/>
      <c r="T59" s="229" t="n"/>
      <c r="U59" s="229" t="inlineStr">
        <is>
          <t>SEC_LON_OTHL</t>
        </is>
      </c>
      <c r="V59" s="229" t="n"/>
      <c r="W59" s="229" t="n"/>
      <c r="X59" s="229" t="n"/>
      <c r="Y59" s="229" t="n"/>
      <c r="Z59" s="229" t="n"/>
      <c r="AA59" s="229" t="n"/>
      <c r="AB59" s="229" t="n"/>
      <c r="AC59" s="229" t="n"/>
      <c r="AD59" s="229" t="n"/>
      <c r="AE59" s="229" t="n"/>
      <c r="AF59" s="229" t="n"/>
      <c r="AG59" s="229" t="n"/>
      <c r="AH59" s="229" t="n"/>
      <c r="AI59" s="229" t="n"/>
      <c r="AJ59" s="229" t="n"/>
    </row>
    <row r="60" customFormat="1" s="13">
      <c r="A60" s="11" t="inlineStr">
        <is>
          <t>#</t>
        </is>
      </c>
      <c r="B60" s="230" t="n"/>
      <c r="C60" s="229" t="n"/>
      <c r="D60" s="229" t="n"/>
      <c r="E60" s="229" t="n"/>
      <c r="F60" s="229" t="n"/>
      <c r="G60" s="229" t="n"/>
      <c r="H60" s="229" t="n"/>
      <c r="I60" s="229" t="n"/>
      <c r="J60" s="229" t="inlineStr">
        <is>
          <t>CM</t>
        </is>
      </c>
      <c r="K60" s="229" t="n"/>
      <c r="L60" s="229" t="n"/>
      <c r="M60" s="229" t="n"/>
      <c r="N60" s="229" t="n"/>
      <c r="O60" s="229" t="n"/>
      <c r="P60" s="229" t="n"/>
      <c r="Q60" s="229" t="n"/>
      <c r="R60" s="229" t="inlineStr">
        <is>
          <t>ERN</t>
        </is>
      </c>
      <c r="S60" s="229" t="n"/>
      <c r="T60" s="229" t="n"/>
      <c r="U60" s="229" t="inlineStr">
        <is>
          <t>SEC_MBN_MNPL</t>
        </is>
      </c>
      <c r="V60" s="229" t="n"/>
      <c r="W60" s="229" t="n"/>
      <c r="X60" s="229" t="n"/>
      <c r="Y60" s="229" t="n"/>
      <c r="Z60" s="229" t="n"/>
      <c r="AA60" s="229" t="n"/>
      <c r="AB60" s="229" t="n"/>
      <c r="AC60" s="229" t="n"/>
      <c r="AD60" s="229" t="n"/>
      <c r="AE60" s="229" t="n"/>
      <c r="AF60" s="229" t="n"/>
      <c r="AG60" s="229" t="n"/>
      <c r="AH60" s="229" t="n"/>
      <c r="AI60" s="229" t="n"/>
      <c r="AJ60" s="229" t="n"/>
    </row>
    <row r="61" customFormat="1" s="13">
      <c r="A61" s="11" t="inlineStr">
        <is>
          <t>#</t>
        </is>
      </c>
      <c r="B61" s="230" t="n"/>
      <c r="C61" s="229" t="n"/>
      <c r="D61" s="229" t="n"/>
      <c r="E61" s="229" t="n"/>
      <c r="F61" s="229" t="n"/>
      <c r="G61" s="229" t="n"/>
      <c r="H61" s="229" t="n"/>
      <c r="I61" s="229" t="n"/>
      <c r="J61" s="229" t="inlineStr">
        <is>
          <t>CN</t>
        </is>
      </c>
      <c r="K61" s="229" t="n"/>
      <c r="L61" s="229" t="n"/>
      <c r="M61" s="229" t="n"/>
      <c r="N61" s="229" t="n"/>
      <c r="O61" s="229" t="n"/>
      <c r="P61" s="229" t="n"/>
      <c r="Q61" s="229" t="n"/>
      <c r="R61" s="229" t="inlineStr">
        <is>
          <t>ETB</t>
        </is>
      </c>
      <c r="S61" s="229" t="n"/>
      <c r="T61" s="229" t="n"/>
      <c r="U61" s="229" t="inlineStr">
        <is>
          <t>SEC_SBD_EUBM</t>
        </is>
      </c>
      <c r="V61" s="229" t="n"/>
      <c r="W61" s="229" t="n"/>
      <c r="X61" s="229" t="n"/>
      <c r="Y61" s="229" t="n"/>
      <c r="Z61" s="229" t="n"/>
      <c r="AA61" s="229" t="n"/>
      <c r="AB61" s="229" t="n"/>
      <c r="AC61" s="229" t="n"/>
      <c r="AD61" s="229" t="n"/>
      <c r="AE61" s="229" t="n"/>
      <c r="AF61" s="229" t="n"/>
      <c r="AG61" s="229" t="n"/>
      <c r="AH61" s="229" t="n"/>
      <c r="AI61" s="229" t="n"/>
      <c r="AJ61" s="229" t="n"/>
    </row>
    <row r="62" customFormat="1" s="13">
      <c r="A62" s="11" t="inlineStr">
        <is>
          <t>#</t>
        </is>
      </c>
      <c r="B62" s="230" t="n"/>
      <c r="C62" s="229" t="n"/>
      <c r="D62" s="229" t="n"/>
      <c r="E62" s="229" t="n"/>
      <c r="F62" s="229" t="n"/>
      <c r="G62" s="229" t="n"/>
      <c r="H62" s="229" t="n"/>
      <c r="I62" s="229" t="n"/>
      <c r="J62" s="229" t="inlineStr">
        <is>
          <t>CO</t>
        </is>
      </c>
      <c r="K62" s="229" t="n"/>
      <c r="L62" s="229" t="n"/>
      <c r="M62" s="229" t="n"/>
      <c r="N62" s="229" t="n"/>
      <c r="O62" s="229" t="n"/>
      <c r="P62" s="229" t="n"/>
      <c r="Q62" s="229" t="n"/>
      <c r="R62" s="229" t="inlineStr">
        <is>
          <t>EUR</t>
        </is>
      </c>
      <c r="S62" s="229" t="n"/>
      <c r="T62" s="229" t="n"/>
      <c r="U62" s="229" t="inlineStr">
        <is>
          <t>SEC_SBD_EUBY</t>
        </is>
      </c>
      <c r="V62" s="229" t="n"/>
      <c r="W62" s="229" t="n"/>
      <c r="X62" s="229" t="n"/>
      <c r="Y62" s="229" t="n"/>
      <c r="Z62" s="229" t="n"/>
      <c r="AA62" s="229" t="n"/>
      <c r="AB62" s="229" t="n"/>
      <c r="AC62" s="229" t="n"/>
      <c r="AD62" s="229" t="n"/>
      <c r="AE62" s="229" t="n"/>
      <c r="AF62" s="229" t="n"/>
      <c r="AG62" s="229" t="n"/>
      <c r="AH62" s="229" t="n"/>
      <c r="AI62" s="229" t="n"/>
      <c r="AJ62" s="229" t="n"/>
    </row>
    <row r="63" customFormat="1" s="13">
      <c r="A63" s="11" t="inlineStr">
        <is>
          <t>#</t>
        </is>
      </c>
      <c r="B63" s="230" t="n"/>
      <c r="C63" s="229" t="n"/>
      <c r="D63" s="229" t="n"/>
      <c r="E63" s="229" t="n"/>
      <c r="F63" s="229" t="n"/>
      <c r="G63" s="229" t="n"/>
      <c r="H63" s="229" t="n"/>
      <c r="I63" s="229" t="n"/>
      <c r="J63" s="229" t="inlineStr">
        <is>
          <t>CR</t>
        </is>
      </c>
      <c r="K63" s="229" t="n"/>
      <c r="L63" s="229" t="n"/>
      <c r="M63" s="229" t="n"/>
      <c r="N63" s="229" t="n"/>
      <c r="O63" s="229" t="n"/>
      <c r="P63" s="229" t="n"/>
      <c r="Q63" s="229" t="n"/>
      <c r="R63" s="229" t="inlineStr">
        <is>
          <t>FJD</t>
        </is>
      </c>
      <c r="S63" s="229" t="n"/>
      <c r="T63" s="229" t="n"/>
      <c r="U63" s="229" t="inlineStr">
        <is>
          <t>SEC_SBD_EUGM</t>
        </is>
      </c>
      <c r="V63" s="229" t="n"/>
      <c r="W63" s="229" t="n"/>
      <c r="X63" s="229" t="n"/>
      <c r="Y63" s="229" t="n"/>
      <c r="Z63" s="229" t="n"/>
      <c r="AA63" s="229" t="n"/>
      <c r="AB63" s="229" t="n"/>
      <c r="AC63" s="229" t="n"/>
      <c r="AD63" s="229" t="n"/>
      <c r="AE63" s="229" t="n"/>
      <c r="AF63" s="229" t="n"/>
      <c r="AG63" s="229" t="n"/>
      <c r="AH63" s="229" t="n"/>
      <c r="AI63" s="229" t="n"/>
      <c r="AJ63" s="229" t="n"/>
    </row>
    <row r="64" customFormat="1" s="13">
      <c r="A64" s="11" t="inlineStr">
        <is>
          <t>#</t>
        </is>
      </c>
      <c r="B64" s="230" t="n"/>
      <c r="C64" s="229" t="n"/>
      <c r="D64" s="229" t="n"/>
      <c r="E64" s="229" t="n"/>
      <c r="F64" s="229" t="n"/>
      <c r="G64" s="229" t="n"/>
      <c r="H64" s="229" t="n"/>
      <c r="I64" s="229" t="n"/>
      <c r="J64" s="229" t="inlineStr">
        <is>
          <t>CU</t>
        </is>
      </c>
      <c r="K64" s="229" t="n"/>
      <c r="L64" s="229" t="n"/>
      <c r="M64" s="229" t="n"/>
      <c r="N64" s="229" t="n"/>
      <c r="O64" s="229" t="n"/>
      <c r="P64" s="229" t="n"/>
      <c r="Q64" s="229" t="n"/>
      <c r="R64" s="229" t="inlineStr">
        <is>
          <t>FKP</t>
        </is>
      </c>
      <c r="S64" s="229" t="n"/>
      <c r="T64" s="229" t="n"/>
      <c r="U64" s="229" t="inlineStr">
        <is>
          <t>SEC_SBD_EUGY</t>
        </is>
      </c>
      <c r="V64" s="229" t="n"/>
      <c r="W64" s="229" t="n"/>
      <c r="X64" s="229" t="n"/>
      <c r="Y64" s="229" t="n"/>
      <c r="Z64" s="229" t="n"/>
      <c r="AA64" s="229" t="n"/>
      <c r="AB64" s="229" t="n"/>
      <c r="AC64" s="229" t="n"/>
      <c r="AD64" s="229" t="n"/>
      <c r="AE64" s="229" t="n"/>
      <c r="AF64" s="229" t="n"/>
      <c r="AG64" s="229" t="n"/>
      <c r="AH64" s="229" t="n"/>
      <c r="AI64" s="229" t="n"/>
      <c r="AJ64" s="229" t="n"/>
    </row>
    <row r="65" customFormat="1" s="13">
      <c r="A65" s="11" t="inlineStr">
        <is>
          <t>#</t>
        </is>
      </c>
      <c r="B65" s="230" t="n"/>
      <c r="C65" s="229" t="n"/>
      <c r="D65" s="229" t="n"/>
      <c r="E65" s="229" t="n"/>
      <c r="F65" s="229" t="n"/>
      <c r="G65" s="229" t="n"/>
      <c r="H65" s="229" t="n"/>
      <c r="I65" s="229" t="n"/>
      <c r="J65" s="229" t="inlineStr">
        <is>
          <t>CV</t>
        </is>
      </c>
      <c r="K65" s="229" t="n"/>
      <c r="L65" s="229" t="n"/>
      <c r="M65" s="229" t="n"/>
      <c r="N65" s="229" t="n"/>
      <c r="O65" s="229" t="n"/>
      <c r="P65" s="229" t="n"/>
      <c r="Q65" s="229" t="n"/>
      <c r="R65" s="229" t="inlineStr">
        <is>
          <t>GBP</t>
        </is>
      </c>
      <c r="S65" s="229" t="n"/>
      <c r="T65" s="229" t="n"/>
      <c r="U65" s="229" t="inlineStr">
        <is>
          <t>SEC_SBD_NOGM</t>
        </is>
      </c>
      <c r="V65" s="229" t="n"/>
      <c r="W65" s="229" t="n"/>
      <c r="X65" s="229" t="n"/>
      <c r="Y65" s="229" t="n"/>
      <c r="Z65" s="229" t="n"/>
      <c r="AA65" s="229" t="n"/>
      <c r="AB65" s="229" t="n"/>
      <c r="AC65" s="229" t="n"/>
      <c r="AD65" s="229" t="n"/>
      <c r="AE65" s="229" t="n"/>
      <c r="AF65" s="229" t="n"/>
      <c r="AG65" s="229" t="n"/>
      <c r="AH65" s="229" t="n"/>
      <c r="AI65" s="229" t="n"/>
      <c r="AJ65" s="229" t="n"/>
    </row>
    <row r="66" customFormat="1" s="13">
      <c r="A66" s="11" t="inlineStr">
        <is>
          <t>#</t>
        </is>
      </c>
      <c r="B66" s="230" t="n"/>
      <c r="C66" s="229" t="n"/>
      <c r="D66" s="229" t="n"/>
      <c r="E66" s="229" t="n"/>
      <c r="F66" s="229" t="n"/>
      <c r="G66" s="229" t="n"/>
      <c r="H66" s="229" t="n"/>
      <c r="I66" s="229" t="n"/>
      <c r="J66" s="229" t="inlineStr">
        <is>
          <t>CX</t>
        </is>
      </c>
      <c r="K66" s="229" t="n"/>
      <c r="L66" s="229" t="n"/>
      <c r="M66" s="229" t="n"/>
      <c r="N66" s="229" t="n"/>
      <c r="O66" s="229" t="n"/>
      <c r="P66" s="229" t="n"/>
      <c r="Q66" s="229" t="n"/>
      <c r="R66" s="229" t="inlineStr">
        <is>
          <t>GEL</t>
        </is>
      </c>
      <c r="S66" s="229" t="n"/>
      <c r="T66" s="229" t="n"/>
      <c r="U66" s="229" t="inlineStr">
        <is>
          <t>SEC_SBD_NOGY</t>
        </is>
      </c>
      <c r="V66" s="229" t="n"/>
      <c r="W66" s="229" t="n"/>
      <c r="X66" s="229" t="n"/>
      <c r="Y66" s="229" t="n"/>
      <c r="Z66" s="229" t="n"/>
      <c r="AA66" s="229" t="n"/>
      <c r="AB66" s="229" t="n"/>
      <c r="AC66" s="229" t="n"/>
      <c r="AD66" s="229" t="n"/>
      <c r="AE66" s="229" t="n"/>
      <c r="AF66" s="229" t="n"/>
      <c r="AG66" s="229" t="n"/>
      <c r="AH66" s="229" t="n"/>
      <c r="AI66" s="229" t="n"/>
      <c r="AJ66" s="229" t="n"/>
    </row>
    <row r="67" customFormat="1" s="13">
      <c r="A67" s="11" t="inlineStr">
        <is>
          <t>#</t>
        </is>
      </c>
      <c r="B67" s="230" t="n"/>
      <c r="C67" s="229" t="n"/>
      <c r="D67" s="229" t="n"/>
      <c r="E67" s="229" t="n"/>
      <c r="F67" s="229" t="n"/>
      <c r="G67" s="229" t="n"/>
      <c r="H67" s="229" t="n"/>
      <c r="I67" s="229" t="n"/>
      <c r="J67" s="229" t="inlineStr">
        <is>
          <t>CY</t>
        </is>
      </c>
      <c r="K67" s="229" t="n"/>
      <c r="L67" s="229" t="n"/>
      <c r="M67" s="229" t="n"/>
      <c r="N67" s="229" t="n"/>
      <c r="O67" s="229" t="n"/>
      <c r="P67" s="229" t="n"/>
      <c r="Q67" s="229" t="n"/>
      <c r="R67" s="229" t="inlineStr">
        <is>
          <t>GHS</t>
        </is>
      </c>
      <c r="S67" s="229" t="n"/>
      <c r="T67" s="229" t="n"/>
      <c r="U67" s="229" t="inlineStr">
        <is>
          <t>SEC_SBD_UKBM</t>
        </is>
      </c>
      <c r="V67" s="229" t="n"/>
      <c r="W67" s="229" t="n"/>
      <c r="X67" s="229" t="n"/>
      <c r="Y67" s="229" t="n"/>
      <c r="Z67" s="229" t="n"/>
      <c r="AA67" s="229" t="n"/>
      <c r="AB67" s="229" t="n"/>
      <c r="AC67" s="229" t="n"/>
      <c r="AD67" s="229" t="n"/>
      <c r="AE67" s="229" t="n"/>
      <c r="AF67" s="229" t="n"/>
      <c r="AG67" s="229" t="n"/>
      <c r="AH67" s="229" t="n"/>
      <c r="AI67" s="229" t="n"/>
      <c r="AJ67" s="229" t="n"/>
    </row>
    <row r="68" customFormat="1" s="13">
      <c r="A68" s="11" t="inlineStr">
        <is>
          <t>#</t>
        </is>
      </c>
      <c r="B68" s="230" t="n"/>
      <c r="C68" s="229" t="n"/>
      <c r="D68" s="229" t="n"/>
      <c r="E68" s="229" t="n"/>
      <c r="F68" s="229" t="n"/>
      <c r="G68" s="229" t="n"/>
      <c r="H68" s="229" t="n"/>
      <c r="I68" s="229" t="n"/>
      <c r="J68" s="229" t="inlineStr">
        <is>
          <t>CZ</t>
        </is>
      </c>
      <c r="K68" s="229" t="n"/>
      <c r="L68" s="229" t="n"/>
      <c r="M68" s="229" t="n"/>
      <c r="N68" s="229" t="n"/>
      <c r="O68" s="229" t="n"/>
      <c r="P68" s="229" t="n"/>
      <c r="Q68" s="229" t="n"/>
      <c r="R68" s="229" t="inlineStr">
        <is>
          <t>GIP</t>
        </is>
      </c>
      <c r="S68" s="229" t="n"/>
      <c r="T68" s="229" t="n"/>
      <c r="U68" s="229" t="inlineStr">
        <is>
          <t>SEC_SBD_UKBY</t>
        </is>
      </c>
      <c r="V68" s="229" t="n"/>
      <c r="W68" s="229" t="n"/>
      <c r="X68" s="229" t="n"/>
      <c r="Y68" s="229" t="n"/>
      <c r="Z68" s="229" t="n"/>
      <c r="AA68" s="229" t="n"/>
      <c r="AB68" s="229" t="n"/>
      <c r="AC68" s="229" t="n"/>
      <c r="AD68" s="229" t="n"/>
      <c r="AE68" s="229" t="n"/>
      <c r="AF68" s="229" t="n"/>
      <c r="AG68" s="229" t="n"/>
      <c r="AH68" s="229" t="n"/>
      <c r="AI68" s="229" t="n"/>
      <c r="AJ68" s="229" t="n"/>
    </row>
    <row r="69" customFormat="1" s="13">
      <c r="A69" s="11" t="inlineStr">
        <is>
          <t>#</t>
        </is>
      </c>
      <c r="B69" s="230" t="n"/>
      <c r="C69" s="229" t="n"/>
      <c r="D69" s="229" t="n"/>
      <c r="E69" s="229" t="n"/>
      <c r="F69" s="229" t="n"/>
      <c r="G69" s="229" t="n"/>
      <c r="H69" s="229" t="n"/>
      <c r="I69" s="229" t="n"/>
      <c r="J69" s="229" t="inlineStr">
        <is>
          <t>DE</t>
        </is>
      </c>
      <c r="K69" s="229" t="n"/>
      <c r="L69" s="229" t="n"/>
      <c r="M69" s="229" t="n"/>
      <c r="N69" s="229" t="n"/>
      <c r="O69" s="229" t="n"/>
      <c r="P69" s="229" t="n"/>
      <c r="Q69" s="229" t="n"/>
      <c r="R69" s="229" t="inlineStr">
        <is>
          <t>GMD</t>
        </is>
      </c>
      <c r="S69" s="229" t="n"/>
      <c r="T69" s="229" t="n"/>
      <c r="U69" s="229" t="inlineStr">
        <is>
          <t>SEC_SSP_ABCP</t>
        </is>
      </c>
      <c r="V69" s="229" t="n"/>
      <c r="W69" s="229" t="n"/>
      <c r="X69" s="229" t="n"/>
      <c r="Y69" s="229" t="n"/>
      <c r="Z69" s="229" t="n"/>
      <c r="AA69" s="229" t="n"/>
      <c r="AB69" s="229" t="n"/>
      <c r="AC69" s="229" t="n"/>
      <c r="AD69" s="229" t="n"/>
      <c r="AE69" s="229" t="n"/>
      <c r="AF69" s="229" t="n"/>
      <c r="AG69" s="229" t="n"/>
      <c r="AH69" s="229" t="n"/>
      <c r="AI69" s="229" t="n"/>
      <c r="AJ69" s="229" t="n"/>
    </row>
    <row r="70" customFormat="1" s="13">
      <c r="A70" s="11" t="inlineStr">
        <is>
          <t>#</t>
        </is>
      </c>
      <c r="B70" s="230" t="n"/>
      <c r="C70" s="229" t="n"/>
      <c r="D70" s="229" t="n"/>
      <c r="E70" s="229" t="n"/>
      <c r="F70" s="229" t="n"/>
      <c r="G70" s="229" t="n"/>
      <c r="H70" s="229" t="n"/>
      <c r="I70" s="229" t="n"/>
      <c r="J70" s="229" t="inlineStr">
        <is>
          <t>DJ</t>
        </is>
      </c>
      <c r="K70" s="229" t="n"/>
      <c r="L70" s="229" t="n"/>
      <c r="M70" s="229" t="n"/>
      <c r="N70" s="229" t="n"/>
      <c r="O70" s="229" t="n"/>
      <c r="P70" s="229" t="n"/>
      <c r="Q70" s="229" t="n"/>
      <c r="R70" s="229" t="inlineStr">
        <is>
          <t>GNF</t>
        </is>
      </c>
      <c r="S70" s="229" t="n"/>
      <c r="T70" s="229" t="n"/>
      <c r="U70" s="229" t="inlineStr">
        <is>
          <t>SEC_SSP_AMBS</t>
        </is>
      </c>
      <c r="V70" s="229" t="n"/>
      <c r="W70" s="229" t="n"/>
      <c r="X70" s="229" t="n"/>
      <c r="Y70" s="229" t="n"/>
      <c r="Z70" s="229" t="n"/>
      <c r="AA70" s="229" t="n"/>
      <c r="AB70" s="229" t="n"/>
      <c r="AC70" s="229" t="n"/>
      <c r="AD70" s="229" t="n"/>
      <c r="AE70" s="229" t="n"/>
      <c r="AF70" s="229" t="n"/>
      <c r="AG70" s="229" t="n"/>
      <c r="AH70" s="229" t="n"/>
      <c r="AI70" s="229" t="n"/>
      <c r="AJ70" s="229" t="n"/>
    </row>
    <row r="71" customFormat="1" s="13">
      <c r="A71" s="11" t="inlineStr">
        <is>
          <t>#</t>
        </is>
      </c>
      <c r="B71" s="230" t="n"/>
      <c r="C71" s="229" t="n"/>
      <c r="D71" s="229" t="n"/>
      <c r="E71" s="229" t="n"/>
      <c r="F71" s="229" t="n"/>
      <c r="G71" s="229" t="n"/>
      <c r="H71" s="229" t="n"/>
      <c r="I71" s="229" t="n"/>
      <c r="J71" s="229" t="inlineStr">
        <is>
          <t>DK</t>
        </is>
      </c>
      <c r="K71" s="229" t="n"/>
      <c r="L71" s="229" t="n"/>
      <c r="M71" s="229" t="n"/>
      <c r="N71" s="229" t="n"/>
      <c r="O71" s="229" t="n"/>
      <c r="P71" s="229" t="n"/>
      <c r="Q71" s="229" t="n"/>
      <c r="R71" s="229" t="inlineStr">
        <is>
          <t>GTQ</t>
        </is>
      </c>
      <c r="S71" s="229" t="n"/>
      <c r="T71" s="229" t="n"/>
      <c r="U71" s="229" t="inlineStr">
        <is>
          <t>SEC_SSP_CDOC</t>
        </is>
      </c>
      <c r="V71" s="229" t="n"/>
      <c r="W71" s="229" t="n"/>
      <c r="X71" s="229" t="n"/>
      <c r="Y71" s="229" t="n"/>
      <c r="Z71" s="229" t="n"/>
      <c r="AA71" s="229" t="n"/>
      <c r="AB71" s="229" t="n"/>
      <c r="AC71" s="229" t="n"/>
      <c r="AD71" s="229" t="n"/>
      <c r="AE71" s="229" t="n"/>
      <c r="AF71" s="229" t="n"/>
      <c r="AG71" s="229" t="n"/>
      <c r="AH71" s="229" t="n"/>
      <c r="AI71" s="229" t="n"/>
      <c r="AJ71" s="229" t="n"/>
    </row>
    <row r="72" customFormat="1" s="13">
      <c r="A72" s="11" t="inlineStr">
        <is>
          <t>#</t>
        </is>
      </c>
      <c r="B72" s="230" t="n"/>
      <c r="C72" s="229" t="n"/>
      <c r="D72" s="229" t="n"/>
      <c r="E72" s="229" t="n"/>
      <c r="F72" s="229" t="n"/>
      <c r="G72" s="229" t="n"/>
      <c r="H72" s="229" t="n"/>
      <c r="I72" s="229" t="n"/>
      <c r="J72" s="229" t="inlineStr">
        <is>
          <t>DM</t>
        </is>
      </c>
      <c r="K72" s="229" t="n"/>
      <c r="L72" s="229" t="n"/>
      <c r="M72" s="229" t="n"/>
      <c r="N72" s="229" t="n"/>
      <c r="O72" s="229" t="n"/>
      <c r="P72" s="229" t="n"/>
      <c r="Q72" s="229" t="n"/>
      <c r="R72" s="229" t="inlineStr">
        <is>
          <t>GYD</t>
        </is>
      </c>
      <c r="S72" s="229" t="n"/>
      <c r="T72" s="229" t="n"/>
      <c r="U72" s="229" t="inlineStr">
        <is>
          <t>SEC_SSP_CMBS</t>
        </is>
      </c>
      <c r="V72" s="229" t="n"/>
      <c r="W72" s="229" t="n"/>
      <c r="X72" s="229" t="n"/>
      <c r="Y72" s="229" t="n"/>
      <c r="Z72" s="229" t="n"/>
      <c r="AA72" s="229" t="n"/>
      <c r="AB72" s="229" t="n"/>
      <c r="AC72" s="229" t="n"/>
      <c r="AD72" s="229" t="n"/>
      <c r="AE72" s="229" t="n"/>
      <c r="AF72" s="229" t="n"/>
      <c r="AG72" s="229" t="n"/>
      <c r="AH72" s="229" t="n"/>
      <c r="AI72" s="229" t="n"/>
      <c r="AJ72" s="229" t="n"/>
    </row>
    <row r="73" customFormat="1" s="13">
      <c r="A73" s="11" t="inlineStr">
        <is>
          <t>#</t>
        </is>
      </c>
      <c r="B73" s="230" t="n"/>
      <c r="C73" s="229" t="n"/>
      <c r="D73" s="229" t="n"/>
      <c r="E73" s="229" t="n"/>
      <c r="F73" s="229" t="n"/>
      <c r="G73" s="229" t="n"/>
      <c r="H73" s="229" t="n"/>
      <c r="I73" s="229" t="n"/>
      <c r="J73" s="229" t="inlineStr">
        <is>
          <t>DO</t>
        </is>
      </c>
      <c r="K73" s="229" t="n"/>
      <c r="L73" s="229" t="n"/>
      <c r="M73" s="229" t="n"/>
      <c r="N73" s="229" t="n"/>
      <c r="O73" s="229" t="n"/>
      <c r="P73" s="229" t="n"/>
      <c r="Q73" s="229" t="n"/>
      <c r="R73" s="229" t="inlineStr">
        <is>
          <t>HKD</t>
        </is>
      </c>
      <c r="S73" s="229" t="n"/>
      <c r="T73" s="229" t="n"/>
      <c r="U73" s="229" t="inlineStr">
        <is>
          <t>SEC_SSP_OTHS</t>
        </is>
      </c>
      <c r="V73" s="229" t="n"/>
      <c r="W73" s="229" t="n"/>
      <c r="X73" s="229" t="n"/>
      <c r="Y73" s="229" t="n"/>
      <c r="Z73" s="229" t="n"/>
      <c r="AA73" s="229" t="n"/>
      <c r="AB73" s="229" t="n"/>
      <c r="AC73" s="229" t="n"/>
      <c r="AD73" s="229" t="n"/>
      <c r="AE73" s="229" t="n"/>
      <c r="AF73" s="229" t="n"/>
      <c r="AG73" s="229" t="n"/>
      <c r="AH73" s="229" t="n"/>
      <c r="AI73" s="229" t="n"/>
      <c r="AJ73" s="229" t="n"/>
    </row>
    <row r="74" customFormat="1" s="13">
      <c r="A74" s="11" t="inlineStr">
        <is>
          <t>#</t>
        </is>
      </c>
      <c r="B74" s="230" t="n"/>
      <c r="C74" s="229" t="n"/>
      <c r="D74" s="229" t="n"/>
      <c r="E74" s="229" t="n"/>
      <c r="F74" s="229" t="n"/>
      <c r="G74" s="229" t="n"/>
      <c r="H74" s="229" t="n"/>
      <c r="I74" s="229" t="n"/>
      <c r="J74" s="229" t="inlineStr">
        <is>
          <t>DZ</t>
        </is>
      </c>
      <c r="K74" s="229" t="n"/>
      <c r="L74" s="229" t="n"/>
      <c r="M74" s="229" t="n"/>
      <c r="N74" s="229" t="n"/>
      <c r="O74" s="229" t="n"/>
      <c r="P74" s="229" t="n"/>
      <c r="Q74" s="229" t="n"/>
      <c r="R74" s="229" t="inlineStr">
        <is>
          <t>HNL</t>
        </is>
      </c>
      <c r="S74" s="229" t="n"/>
      <c r="T74" s="229" t="n"/>
      <c r="U74" s="229" t="inlineStr">
        <is>
          <t>SEC_SSP_RMBS</t>
        </is>
      </c>
      <c r="V74" s="229" t="n"/>
      <c r="W74" s="229" t="n"/>
      <c r="X74" s="229" t="n"/>
      <c r="Y74" s="229" t="n"/>
      <c r="Z74" s="229" t="n"/>
      <c r="AA74" s="229" t="n"/>
      <c r="AB74" s="229" t="n"/>
      <c r="AC74" s="229" t="n"/>
      <c r="AD74" s="229" t="n"/>
      <c r="AE74" s="229" t="n"/>
      <c r="AF74" s="229" t="n"/>
      <c r="AG74" s="229" t="n"/>
      <c r="AH74" s="229" t="n"/>
      <c r="AI74" s="229" t="n"/>
      <c r="AJ74" s="229" t="n"/>
    </row>
    <row r="75" customFormat="1" s="13">
      <c r="A75" s="11" t="inlineStr">
        <is>
          <t>#</t>
        </is>
      </c>
      <c r="B75" s="230" t="n"/>
      <c r="C75" s="229" t="n"/>
      <c r="D75" s="229" t="n"/>
      <c r="E75" s="229" t="n"/>
      <c r="F75" s="229" t="n"/>
      <c r="G75" s="229" t="n"/>
      <c r="H75" s="229" t="n"/>
      <c r="I75" s="229" t="n"/>
      <c r="J75" s="229" t="inlineStr">
        <is>
          <t>EC</t>
        </is>
      </c>
      <c r="K75" s="229" t="n"/>
      <c r="L75" s="229" t="n"/>
      <c r="M75" s="229" t="n"/>
      <c r="N75" s="229" t="n"/>
      <c r="O75" s="229" t="n"/>
      <c r="P75" s="229" t="n"/>
      <c r="Q75" s="229" t="n"/>
      <c r="R75" s="229" t="inlineStr">
        <is>
          <t>HRK</t>
        </is>
      </c>
      <c r="S75" s="229" t="n"/>
      <c r="T75" s="229" t="n"/>
      <c r="U75" s="229" t="inlineStr">
        <is>
          <t>SEC_SSP_SABS</t>
        </is>
      </c>
      <c r="V75" s="229" t="n"/>
      <c r="W75" s="229" t="n"/>
      <c r="X75" s="229" t="n"/>
      <c r="Y75" s="229" t="n"/>
      <c r="Z75" s="229" t="n"/>
      <c r="AA75" s="229" t="n"/>
      <c r="AB75" s="229" t="n"/>
      <c r="AC75" s="229" t="n"/>
      <c r="AD75" s="229" t="n"/>
      <c r="AE75" s="229" t="n"/>
      <c r="AF75" s="229" t="n"/>
      <c r="AG75" s="229" t="n"/>
      <c r="AH75" s="229" t="n"/>
      <c r="AI75" s="229" t="n"/>
      <c r="AJ75" s="229" t="n"/>
    </row>
    <row r="76" customFormat="1" s="13">
      <c r="A76" s="11" t="inlineStr">
        <is>
          <t>#</t>
        </is>
      </c>
      <c r="B76" s="230" t="n"/>
      <c r="C76" s="229" t="n"/>
      <c r="D76" s="229" t="n"/>
      <c r="E76" s="229" t="n"/>
      <c r="F76" s="229" t="n"/>
      <c r="G76" s="229" t="n"/>
      <c r="H76" s="229" t="n"/>
      <c r="I76" s="229" t="n"/>
      <c r="J76" s="229" t="inlineStr">
        <is>
          <t>EE</t>
        </is>
      </c>
      <c r="K76" s="229" t="n"/>
      <c r="L76" s="229" t="n"/>
      <c r="M76" s="229" t="n"/>
      <c r="N76" s="229" t="n"/>
      <c r="O76" s="229" t="n"/>
      <c r="P76" s="229" t="n"/>
      <c r="Q76" s="229" t="n"/>
      <c r="R76" s="229" t="inlineStr">
        <is>
          <t>HTG</t>
        </is>
      </c>
      <c r="S76" s="229" t="n"/>
      <c r="T76" s="229" t="n"/>
      <c r="U76" s="229" t="inlineStr">
        <is>
          <t>SEC_SSP_SETP</t>
        </is>
      </c>
      <c r="V76" s="229" t="n"/>
      <c r="W76" s="229" t="n"/>
      <c r="X76" s="229" t="n"/>
      <c r="Y76" s="229" t="n"/>
      <c r="Z76" s="229" t="n"/>
      <c r="AA76" s="229" t="n"/>
      <c r="AB76" s="229" t="n"/>
      <c r="AC76" s="229" t="n"/>
      <c r="AD76" s="229" t="n"/>
      <c r="AE76" s="229" t="n"/>
      <c r="AF76" s="229" t="n"/>
      <c r="AG76" s="229" t="n"/>
      <c r="AH76" s="229" t="n"/>
      <c r="AI76" s="229" t="n"/>
      <c r="AJ76" s="229" t="n"/>
    </row>
    <row r="77" customFormat="1" s="13">
      <c r="A77" s="11" t="inlineStr">
        <is>
          <t>#</t>
        </is>
      </c>
      <c r="B77" s="230" t="n"/>
      <c r="C77" s="229" t="n"/>
      <c r="D77" s="229" t="n"/>
      <c r="E77" s="229" t="n"/>
      <c r="F77" s="229" t="n"/>
      <c r="G77" s="229" t="n"/>
      <c r="H77" s="229" t="n"/>
      <c r="I77" s="229" t="n"/>
      <c r="J77" s="229" t="inlineStr">
        <is>
          <t>EG</t>
        </is>
      </c>
      <c r="K77" s="229" t="n"/>
      <c r="L77" s="229" t="n"/>
      <c r="M77" s="229" t="n"/>
      <c r="N77" s="229" t="n"/>
      <c r="O77" s="229" t="n"/>
      <c r="P77" s="229" t="n"/>
      <c r="Q77" s="229" t="n"/>
      <c r="R77" s="229" t="inlineStr">
        <is>
          <t>HUF</t>
        </is>
      </c>
      <c r="S77" s="229" t="n"/>
      <c r="T77" s="229" t="n"/>
      <c r="U77" s="229" t="inlineStr">
        <is>
          <t>SEC_SSP_STRC</t>
        </is>
      </c>
      <c r="V77" s="229" t="n"/>
      <c r="W77" s="229" t="n"/>
      <c r="X77" s="229" t="n"/>
      <c r="Y77" s="229" t="n"/>
      <c r="Z77" s="229" t="n"/>
      <c r="AA77" s="229" t="n"/>
      <c r="AB77" s="229" t="n"/>
      <c r="AC77" s="229" t="n"/>
      <c r="AD77" s="229" t="n"/>
      <c r="AE77" s="229" t="n"/>
      <c r="AF77" s="229" t="n"/>
      <c r="AG77" s="229" t="n"/>
      <c r="AH77" s="229" t="n"/>
      <c r="AI77" s="229" t="n"/>
      <c r="AJ77" s="229" t="n"/>
    </row>
    <row r="78" customFormat="1" s="13">
      <c r="A78" s="11" t="inlineStr">
        <is>
          <t>#</t>
        </is>
      </c>
      <c r="B78" s="230" t="n"/>
      <c r="C78" s="229" t="n"/>
      <c r="D78" s="229" t="n"/>
      <c r="E78" s="229" t="n"/>
      <c r="F78" s="229" t="n"/>
      <c r="G78" s="229" t="n"/>
      <c r="H78" s="229" t="n"/>
      <c r="I78" s="229" t="n"/>
      <c r="J78" s="229" t="inlineStr">
        <is>
          <t>EH</t>
        </is>
      </c>
      <c r="K78" s="229" t="n"/>
      <c r="L78" s="229" t="n"/>
      <c r="M78" s="229" t="n"/>
      <c r="N78" s="229" t="n"/>
      <c r="O78" s="229" t="n"/>
      <c r="P78" s="229" t="n"/>
      <c r="Q78" s="229" t="n"/>
      <c r="R78" s="229" t="inlineStr">
        <is>
          <t>IDR</t>
        </is>
      </c>
      <c r="S78" s="229" t="n"/>
      <c r="T78" s="229" t="n"/>
      <c r="U78" s="231" t="inlineStr">
        <is>
          <t>SEC_UEQ_UEQY</t>
        </is>
      </c>
      <c r="V78" s="231" t="n"/>
      <c r="W78" s="229" t="n"/>
      <c r="X78" s="229" t="n"/>
      <c r="Y78" s="229" t="n"/>
      <c r="Z78" s="229" t="n"/>
      <c r="AA78" s="229" t="n"/>
      <c r="AB78" s="229" t="n"/>
      <c r="AC78" s="229" t="n"/>
      <c r="AD78" s="229" t="n"/>
      <c r="AE78" s="229" t="n"/>
      <c r="AF78" s="229" t="n"/>
      <c r="AG78" s="229" t="n"/>
      <c r="AH78" s="229" t="n"/>
      <c r="AI78" s="229" t="n"/>
      <c r="AJ78" s="229" t="n"/>
    </row>
    <row r="79" customFormat="1" s="13">
      <c r="A79" s="11" t="inlineStr">
        <is>
          <t>#</t>
        </is>
      </c>
      <c r="B79" s="230" t="n"/>
      <c r="C79" s="229" t="n"/>
      <c r="D79" s="229" t="n"/>
      <c r="E79" s="229" t="n"/>
      <c r="F79" s="229" t="n"/>
      <c r="G79" s="229" t="n"/>
      <c r="H79" s="229" t="n"/>
      <c r="I79" s="229" t="n"/>
      <c r="J79" s="229" t="inlineStr">
        <is>
          <t>ER</t>
        </is>
      </c>
      <c r="K79" s="229" t="n"/>
      <c r="L79" s="229" t="n"/>
      <c r="M79" s="229" t="n"/>
      <c r="N79" s="229" t="n"/>
      <c r="O79" s="229" t="n"/>
      <c r="P79" s="229" t="n"/>
      <c r="Q79" s="229" t="n"/>
      <c r="R79" s="229" t="inlineStr">
        <is>
          <t>ILS</t>
        </is>
      </c>
      <c r="S79" s="229" t="n"/>
      <c r="T79" s="229" t="n"/>
      <c r="U79" s="11" t="n"/>
      <c r="V79" s="11" t="n"/>
      <c r="W79" s="229" t="n"/>
      <c r="X79" s="229" t="n"/>
      <c r="Y79" s="229" t="n"/>
      <c r="Z79" s="229" t="n"/>
      <c r="AA79" s="229" t="n"/>
      <c r="AB79" s="229" t="n"/>
      <c r="AC79" s="229" t="n"/>
      <c r="AD79" s="229" t="n"/>
      <c r="AE79" s="229" t="n"/>
      <c r="AF79" s="229" t="n"/>
      <c r="AG79" s="229" t="n"/>
      <c r="AH79" s="229" t="n"/>
      <c r="AI79" s="229" t="n"/>
      <c r="AJ79" s="229" t="n"/>
    </row>
    <row r="80" customFormat="1" s="13">
      <c r="A80" s="11" t="inlineStr">
        <is>
          <t>#</t>
        </is>
      </c>
      <c r="B80" s="230" t="n"/>
      <c r="C80" s="229" t="n"/>
      <c r="D80" s="229" t="n"/>
      <c r="E80" s="229" t="n"/>
      <c r="F80" s="229" t="n"/>
      <c r="G80" s="229" t="n"/>
      <c r="H80" s="229" t="n"/>
      <c r="I80" s="229" t="n"/>
      <c r="J80" s="229" t="inlineStr">
        <is>
          <t>ES</t>
        </is>
      </c>
      <c r="K80" s="229" t="n"/>
      <c r="L80" s="229" t="n"/>
      <c r="M80" s="229" t="n"/>
      <c r="N80" s="229" t="n"/>
      <c r="O80" s="229" t="n"/>
      <c r="P80" s="229" t="n"/>
      <c r="Q80" s="229" t="n"/>
      <c r="R80" s="229" t="inlineStr">
        <is>
          <t>INR</t>
        </is>
      </c>
      <c r="S80" s="229" t="n"/>
      <c r="T80" s="229" t="n"/>
      <c r="U80" s="229" t="n"/>
      <c r="V80" s="229" t="n"/>
      <c r="W80" s="229" t="n"/>
      <c r="X80" s="229" t="n"/>
      <c r="Y80" s="229" t="n"/>
      <c r="Z80" s="229" t="n"/>
      <c r="AA80" s="229" t="n"/>
      <c r="AB80" s="229" t="n"/>
      <c r="AC80" s="229" t="n"/>
      <c r="AD80" s="229" t="n"/>
      <c r="AE80" s="229" t="n"/>
      <c r="AF80" s="229" t="n"/>
      <c r="AG80" s="229" t="n"/>
      <c r="AH80" s="229" t="n"/>
      <c r="AI80" s="229" t="n"/>
      <c r="AJ80" s="229" t="n"/>
    </row>
    <row r="81" customFormat="1" s="13">
      <c r="A81" s="11" t="inlineStr">
        <is>
          <t>#</t>
        </is>
      </c>
      <c r="B81" s="230" t="n"/>
      <c r="C81" s="229" t="n"/>
      <c r="D81" s="229" t="n"/>
      <c r="E81" s="229" t="n"/>
      <c r="F81" s="229" t="n"/>
      <c r="G81" s="229" t="n"/>
      <c r="H81" s="229" t="n"/>
      <c r="I81" s="229" t="n"/>
      <c r="J81" s="229" t="inlineStr">
        <is>
          <t>ET</t>
        </is>
      </c>
      <c r="K81" s="229" t="n"/>
      <c r="L81" s="229" t="n"/>
      <c r="M81" s="229" t="n"/>
      <c r="N81" s="229" t="n"/>
      <c r="O81" s="229" t="n"/>
      <c r="P81" s="229" t="n"/>
      <c r="Q81" s="229" t="n"/>
      <c r="R81" s="229" t="inlineStr">
        <is>
          <t>IQD</t>
        </is>
      </c>
      <c r="S81" s="229" t="n"/>
      <c r="T81" s="229" t="n"/>
      <c r="U81" s="229" t="n"/>
      <c r="V81" s="229" t="n"/>
      <c r="W81" s="229" t="n"/>
      <c r="X81" s="229" t="n"/>
      <c r="Y81" s="229" t="n"/>
      <c r="Z81" s="229" t="n"/>
      <c r="AA81" s="229" t="n"/>
      <c r="AB81" s="229" t="n"/>
      <c r="AC81" s="229" t="n"/>
      <c r="AD81" s="229" t="n"/>
      <c r="AE81" s="229" t="n"/>
      <c r="AF81" s="229" t="n"/>
      <c r="AG81" s="229" t="n"/>
      <c r="AH81" s="229" t="n"/>
      <c r="AI81" s="229" t="n"/>
      <c r="AJ81" s="229" t="n"/>
    </row>
    <row r="82" customFormat="1" s="13">
      <c r="A82" s="11" t="inlineStr">
        <is>
          <t>#</t>
        </is>
      </c>
      <c r="B82" s="230" t="n"/>
      <c r="C82" s="229" t="n"/>
      <c r="D82" s="229" t="n"/>
      <c r="E82" s="229" t="n"/>
      <c r="F82" s="229" t="n"/>
      <c r="G82" s="229" t="n"/>
      <c r="H82" s="229" t="n"/>
      <c r="I82" s="229" t="n"/>
      <c r="J82" s="229" t="inlineStr">
        <is>
          <t>FI</t>
        </is>
      </c>
      <c r="K82" s="229" t="n"/>
      <c r="L82" s="229" t="n"/>
      <c r="M82" s="229" t="n"/>
      <c r="N82" s="229" t="n"/>
      <c r="O82" s="229" t="n"/>
      <c r="P82" s="229" t="n"/>
      <c r="Q82" s="229" t="n"/>
      <c r="R82" s="229" t="inlineStr">
        <is>
          <t>IRR</t>
        </is>
      </c>
      <c r="S82" s="229" t="n"/>
      <c r="T82" s="229" t="n"/>
      <c r="U82" s="229" t="n"/>
      <c r="V82" s="229" t="n"/>
      <c r="W82" s="229" t="n"/>
      <c r="X82" s="229" t="n"/>
      <c r="Y82" s="229" t="n"/>
      <c r="Z82" s="229" t="n"/>
      <c r="AA82" s="229" t="n"/>
      <c r="AB82" s="229" t="n"/>
      <c r="AC82" s="229" t="n"/>
      <c r="AD82" s="229" t="n"/>
      <c r="AE82" s="229" t="n"/>
      <c r="AF82" s="229" t="n"/>
      <c r="AG82" s="229" t="n"/>
      <c r="AH82" s="229" t="n"/>
      <c r="AI82" s="229" t="n"/>
      <c r="AJ82" s="229" t="n"/>
    </row>
    <row r="83" customFormat="1" s="13">
      <c r="A83" s="11" t="inlineStr">
        <is>
          <t>#</t>
        </is>
      </c>
      <c r="B83" s="230" t="n"/>
      <c r="C83" s="229" t="n"/>
      <c r="D83" s="229" t="n"/>
      <c r="E83" s="229" t="n"/>
      <c r="F83" s="229" t="n"/>
      <c r="G83" s="229" t="n"/>
      <c r="H83" s="229" t="n"/>
      <c r="I83" s="229" t="n"/>
      <c r="J83" s="229" t="inlineStr">
        <is>
          <t>FJ</t>
        </is>
      </c>
      <c r="K83" s="229" t="n"/>
      <c r="L83" s="229" t="n"/>
      <c r="M83" s="229" t="n"/>
      <c r="N83" s="229" t="n"/>
      <c r="O83" s="229" t="n"/>
      <c r="P83" s="229" t="n"/>
      <c r="Q83" s="229" t="n"/>
      <c r="R83" s="229" t="inlineStr">
        <is>
          <t>ISK</t>
        </is>
      </c>
      <c r="S83" s="229" t="n"/>
      <c r="T83" s="229" t="n"/>
      <c r="U83" s="229" t="n"/>
      <c r="V83" s="229" t="n"/>
      <c r="W83" s="229" t="n"/>
      <c r="X83" s="229" t="n"/>
      <c r="Y83" s="229" t="n"/>
      <c r="Z83" s="229" t="n"/>
      <c r="AA83" s="229" t="n"/>
      <c r="AB83" s="229" t="n"/>
      <c r="AC83" s="229" t="n"/>
      <c r="AD83" s="229" t="n"/>
      <c r="AE83" s="229" t="n"/>
      <c r="AF83" s="229" t="n"/>
      <c r="AG83" s="229" t="n"/>
      <c r="AH83" s="229" t="n"/>
      <c r="AI83" s="229" t="n"/>
      <c r="AJ83" s="229" t="n"/>
    </row>
    <row r="84" customFormat="1" s="13">
      <c r="A84" s="11" t="inlineStr">
        <is>
          <t>#</t>
        </is>
      </c>
      <c r="B84" s="230" t="n"/>
      <c r="C84" s="229" t="n"/>
      <c r="D84" s="229" t="n"/>
      <c r="E84" s="229" t="n"/>
      <c r="F84" s="229" t="n"/>
      <c r="G84" s="229" t="n"/>
      <c r="H84" s="229" t="n"/>
      <c r="I84" s="229" t="n"/>
      <c r="J84" s="229" t="inlineStr">
        <is>
          <t>FK</t>
        </is>
      </c>
      <c r="K84" s="229" t="n"/>
      <c r="L84" s="229" t="n"/>
      <c r="M84" s="229" t="n"/>
      <c r="N84" s="229" t="n"/>
      <c r="O84" s="229" t="n"/>
      <c r="P84" s="229" t="n"/>
      <c r="Q84" s="229" t="n"/>
      <c r="R84" s="229" t="inlineStr">
        <is>
          <t>JMD</t>
        </is>
      </c>
      <c r="S84" s="229" t="n"/>
      <c r="T84" s="229" t="n"/>
      <c r="U84" s="229" t="n"/>
      <c r="V84" s="229" t="n"/>
      <c r="W84" s="229" t="n"/>
      <c r="X84" s="229" t="n"/>
      <c r="Y84" s="229" t="n"/>
      <c r="Z84" s="229" t="n"/>
      <c r="AA84" s="229" t="n"/>
      <c r="AB84" s="229" t="n"/>
      <c r="AC84" s="229" t="n"/>
      <c r="AD84" s="229" t="n"/>
      <c r="AE84" s="229" t="n"/>
      <c r="AF84" s="229" t="n"/>
      <c r="AG84" s="229" t="n"/>
      <c r="AH84" s="229" t="n"/>
      <c r="AI84" s="229" t="n"/>
      <c r="AJ84" s="229" t="n"/>
    </row>
    <row r="85" customFormat="1" s="13">
      <c r="A85" s="11" t="inlineStr">
        <is>
          <t>#</t>
        </is>
      </c>
      <c r="B85" s="230" t="n"/>
      <c r="C85" s="229" t="n"/>
      <c r="D85" s="229" t="n"/>
      <c r="E85" s="229" t="n"/>
      <c r="F85" s="229" t="n"/>
      <c r="G85" s="229" t="n"/>
      <c r="H85" s="229" t="n"/>
      <c r="I85" s="229" t="n"/>
      <c r="J85" s="229" t="inlineStr">
        <is>
          <t>FM</t>
        </is>
      </c>
      <c r="K85" s="229" t="n"/>
      <c r="L85" s="229" t="n"/>
      <c r="M85" s="229" t="n"/>
      <c r="N85" s="229" t="n"/>
      <c r="O85" s="229" t="n"/>
      <c r="P85" s="229" t="n"/>
      <c r="Q85" s="229" t="n"/>
      <c r="R85" s="229" t="inlineStr">
        <is>
          <t>JOD</t>
        </is>
      </c>
      <c r="S85" s="229" t="n"/>
      <c r="T85" s="229" t="n"/>
      <c r="U85" s="229" t="n"/>
      <c r="V85" s="229" t="n"/>
      <c r="W85" s="229" t="n"/>
      <c r="X85" s="229" t="n"/>
      <c r="Y85" s="229" t="n"/>
      <c r="Z85" s="229" t="n"/>
      <c r="AA85" s="229" t="n"/>
      <c r="AB85" s="229" t="n"/>
      <c r="AC85" s="229" t="n"/>
      <c r="AD85" s="229" t="n"/>
      <c r="AE85" s="229" t="n"/>
      <c r="AF85" s="229" t="n"/>
      <c r="AG85" s="229" t="n"/>
      <c r="AH85" s="229" t="n"/>
      <c r="AI85" s="229" t="n"/>
      <c r="AJ85" s="229" t="n"/>
    </row>
    <row r="86" customFormat="1" s="13">
      <c r="A86" s="11" t="inlineStr">
        <is>
          <t>#</t>
        </is>
      </c>
      <c r="B86" s="230" t="n"/>
      <c r="C86" s="229" t="n"/>
      <c r="D86" s="229" t="n"/>
      <c r="E86" s="229" t="n"/>
      <c r="F86" s="229" t="n"/>
      <c r="G86" s="229" t="n"/>
      <c r="H86" s="229" t="n"/>
      <c r="I86" s="229" t="n"/>
      <c r="J86" s="229" t="inlineStr">
        <is>
          <t>FO</t>
        </is>
      </c>
      <c r="K86" s="229" t="n"/>
      <c r="L86" s="229" t="n"/>
      <c r="M86" s="229" t="n"/>
      <c r="N86" s="229" t="n"/>
      <c r="O86" s="229" t="n"/>
      <c r="P86" s="229" t="n"/>
      <c r="Q86" s="229" t="n"/>
      <c r="R86" s="229" t="inlineStr">
        <is>
          <t>JPY</t>
        </is>
      </c>
      <c r="S86" s="229" t="n"/>
      <c r="T86" s="229" t="n"/>
      <c r="U86" s="229" t="n"/>
      <c r="V86" s="229" t="n"/>
      <c r="W86" s="229" t="n"/>
      <c r="X86" s="229" t="n"/>
      <c r="Y86" s="229" t="n"/>
      <c r="Z86" s="229" t="n"/>
      <c r="AA86" s="229" t="n"/>
      <c r="AB86" s="229" t="n"/>
      <c r="AC86" s="229" t="n"/>
      <c r="AD86" s="229" t="n"/>
      <c r="AE86" s="229" t="n"/>
      <c r="AF86" s="229" t="n"/>
      <c r="AG86" s="229" t="n"/>
      <c r="AH86" s="229" t="n"/>
      <c r="AI86" s="229" t="n"/>
      <c r="AJ86" s="229" t="n"/>
    </row>
    <row r="87" customFormat="1" s="13">
      <c r="A87" s="11" t="inlineStr">
        <is>
          <t>#</t>
        </is>
      </c>
      <c r="B87" s="230" t="n"/>
      <c r="C87" s="229" t="n"/>
      <c r="D87" s="229" t="n"/>
      <c r="E87" s="229" t="n"/>
      <c r="F87" s="229" t="n"/>
      <c r="G87" s="229" t="n"/>
      <c r="H87" s="229" t="n"/>
      <c r="I87" s="229" t="n"/>
      <c r="J87" s="229" t="inlineStr">
        <is>
          <t>FR</t>
        </is>
      </c>
      <c r="K87" s="229" t="n"/>
      <c r="L87" s="229" t="n"/>
      <c r="M87" s="229" t="n"/>
      <c r="N87" s="229" t="n"/>
      <c r="O87" s="229" t="n"/>
      <c r="P87" s="229" t="n"/>
      <c r="Q87" s="229" t="n"/>
      <c r="R87" s="229" t="inlineStr">
        <is>
          <t>KES</t>
        </is>
      </c>
      <c r="S87" s="229" t="n"/>
      <c r="T87" s="229" t="n"/>
      <c r="U87" s="229" t="n"/>
      <c r="V87" s="229" t="n"/>
      <c r="W87" s="229" t="n"/>
      <c r="X87" s="229" t="n"/>
      <c r="Y87" s="229" t="n"/>
      <c r="Z87" s="229" t="n"/>
      <c r="AA87" s="229" t="n"/>
      <c r="AB87" s="229" t="n"/>
      <c r="AC87" s="229" t="n"/>
      <c r="AD87" s="229" t="n"/>
      <c r="AE87" s="229" t="n"/>
      <c r="AF87" s="229" t="n"/>
      <c r="AG87" s="229" t="n"/>
      <c r="AH87" s="229" t="n"/>
      <c r="AI87" s="229" t="n"/>
      <c r="AJ87" s="229" t="n"/>
    </row>
    <row r="88" customFormat="1" s="13">
      <c r="A88" s="11" t="inlineStr">
        <is>
          <t>#</t>
        </is>
      </c>
      <c r="B88" s="230" t="n"/>
      <c r="C88" s="229" t="n"/>
      <c r="D88" s="229" t="n"/>
      <c r="E88" s="229" t="n"/>
      <c r="F88" s="229" t="n"/>
      <c r="G88" s="229" t="n"/>
      <c r="H88" s="229" t="n"/>
      <c r="I88" s="229" t="n"/>
      <c r="J88" s="229" t="inlineStr">
        <is>
          <t>GA</t>
        </is>
      </c>
      <c r="K88" s="229" t="n"/>
      <c r="L88" s="229" t="n"/>
      <c r="M88" s="229" t="n"/>
      <c r="N88" s="229" t="n"/>
      <c r="O88" s="229" t="n"/>
      <c r="P88" s="229" t="n"/>
      <c r="Q88" s="229" t="n"/>
      <c r="R88" s="229" t="inlineStr">
        <is>
          <t>KGS</t>
        </is>
      </c>
      <c r="S88" s="229" t="n"/>
      <c r="T88" s="229" t="n"/>
      <c r="U88" s="229" t="n"/>
      <c r="V88" s="229" t="n"/>
      <c r="W88" s="229" t="n"/>
      <c r="X88" s="229" t="n"/>
      <c r="Y88" s="229" t="n"/>
      <c r="Z88" s="229" t="n"/>
      <c r="AA88" s="229" t="n"/>
      <c r="AB88" s="229" t="n"/>
      <c r="AC88" s="229" t="n"/>
      <c r="AD88" s="229" t="n"/>
      <c r="AE88" s="229" t="n"/>
      <c r="AF88" s="229" t="n"/>
      <c r="AG88" s="229" t="n"/>
      <c r="AH88" s="229" t="n"/>
      <c r="AI88" s="229" t="n"/>
      <c r="AJ88" s="229" t="n"/>
    </row>
    <row r="89" customFormat="1" s="13">
      <c r="A89" s="11" t="inlineStr">
        <is>
          <t>#</t>
        </is>
      </c>
      <c r="B89" s="230" t="n"/>
      <c r="C89" s="229" t="n"/>
      <c r="D89" s="229" t="n"/>
      <c r="E89" s="229" t="n"/>
      <c r="F89" s="229" t="n"/>
      <c r="G89" s="229" t="n"/>
      <c r="H89" s="229" t="n"/>
      <c r="I89" s="229" t="n"/>
      <c r="J89" s="229" t="inlineStr">
        <is>
          <t>GB</t>
        </is>
      </c>
      <c r="K89" s="229" t="n"/>
      <c r="L89" s="229" t="n"/>
      <c r="M89" s="229" t="n"/>
      <c r="N89" s="229" t="n"/>
      <c r="O89" s="229" t="n"/>
      <c r="P89" s="229" t="n"/>
      <c r="Q89" s="229" t="n"/>
      <c r="R89" s="229" t="inlineStr">
        <is>
          <t>KHR</t>
        </is>
      </c>
      <c r="S89" s="229" t="n"/>
      <c r="T89" s="229" t="n"/>
      <c r="U89" s="229" t="n"/>
      <c r="V89" s="229" t="n"/>
      <c r="W89" s="229" t="n"/>
      <c r="X89" s="229" t="n"/>
      <c r="Y89" s="229" t="n"/>
      <c r="Z89" s="229" t="n"/>
      <c r="AA89" s="229" t="n"/>
      <c r="AB89" s="229" t="n"/>
      <c r="AC89" s="229" t="n"/>
      <c r="AD89" s="229" t="n"/>
      <c r="AE89" s="229" t="n"/>
      <c r="AF89" s="229" t="n"/>
      <c r="AG89" s="229" t="n"/>
      <c r="AH89" s="229" t="n"/>
      <c r="AI89" s="229" t="n"/>
      <c r="AJ89" s="229" t="n"/>
    </row>
    <row r="90" customFormat="1" s="13">
      <c r="A90" s="11" t="inlineStr">
        <is>
          <t>#</t>
        </is>
      </c>
      <c r="B90" s="230" t="n"/>
      <c r="C90" s="229" t="n"/>
      <c r="D90" s="229" t="n"/>
      <c r="E90" s="229" t="n"/>
      <c r="F90" s="229" t="n"/>
      <c r="G90" s="229" t="n"/>
      <c r="H90" s="229" t="n"/>
      <c r="I90" s="229" t="n"/>
      <c r="J90" s="229" t="inlineStr">
        <is>
          <t>GD</t>
        </is>
      </c>
      <c r="K90" s="229" t="n"/>
      <c r="L90" s="229" t="n"/>
      <c r="M90" s="229" t="n"/>
      <c r="N90" s="229" t="n"/>
      <c r="O90" s="229" t="n"/>
      <c r="P90" s="229" t="n"/>
      <c r="Q90" s="229" t="n"/>
      <c r="R90" s="229" t="inlineStr">
        <is>
          <t>KMF</t>
        </is>
      </c>
      <c r="S90" s="229" t="n"/>
      <c r="T90" s="229" t="n"/>
      <c r="U90" s="229" t="n"/>
      <c r="V90" s="229" t="n"/>
      <c r="W90" s="229" t="n"/>
      <c r="X90" s="229" t="n"/>
      <c r="Y90" s="229" t="n"/>
      <c r="Z90" s="229" t="n"/>
      <c r="AA90" s="229" t="n"/>
      <c r="AB90" s="229" t="n"/>
      <c r="AC90" s="229" t="n"/>
      <c r="AD90" s="229" t="n"/>
      <c r="AE90" s="229" t="n"/>
      <c r="AF90" s="229" t="n"/>
      <c r="AG90" s="229" t="n"/>
      <c r="AH90" s="229" t="n"/>
      <c r="AI90" s="229" t="n"/>
      <c r="AJ90" s="229" t="n"/>
    </row>
    <row r="91" customFormat="1" s="13">
      <c r="A91" s="11" t="inlineStr">
        <is>
          <t>#</t>
        </is>
      </c>
      <c r="B91" s="230" t="n"/>
      <c r="C91" s="229" t="n"/>
      <c r="D91" s="229" t="n"/>
      <c r="E91" s="229" t="n"/>
      <c r="F91" s="229" t="n"/>
      <c r="G91" s="229" t="n"/>
      <c r="H91" s="229" t="n"/>
      <c r="I91" s="229" t="n"/>
      <c r="J91" s="229" t="inlineStr">
        <is>
          <t>GE</t>
        </is>
      </c>
      <c r="K91" s="229" t="n"/>
      <c r="L91" s="229" t="n"/>
      <c r="M91" s="229" t="n"/>
      <c r="N91" s="229" t="n"/>
      <c r="O91" s="229" t="n"/>
      <c r="P91" s="229" t="n"/>
      <c r="Q91" s="229" t="n"/>
      <c r="R91" s="229" t="inlineStr">
        <is>
          <t>KPW</t>
        </is>
      </c>
      <c r="S91" s="229" t="n"/>
      <c r="T91" s="229" t="n"/>
      <c r="U91" s="229" t="n"/>
      <c r="V91" s="229" t="n"/>
      <c r="W91" s="229" t="n"/>
      <c r="X91" s="229" t="n"/>
      <c r="Y91" s="229" t="n"/>
      <c r="Z91" s="229" t="n"/>
      <c r="AA91" s="229" t="n"/>
      <c r="AB91" s="229" t="n"/>
      <c r="AC91" s="229" t="n"/>
      <c r="AD91" s="229" t="n"/>
      <c r="AE91" s="229" t="n"/>
      <c r="AF91" s="229" t="n"/>
      <c r="AG91" s="229" t="n"/>
      <c r="AH91" s="229" t="n"/>
      <c r="AI91" s="229" t="n"/>
      <c r="AJ91" s="229" t="n"/>
    </row>
    <row r="92" customFormat="1" s="13">
      <c r="A92" s="11" t="inlineStr">
        <is>
          <t>#</t>
        </is>
      </c>
      <c r="B92" s="230" t="n"/>
      <c r="C92" s="229" t="n"/>
      <c r="D92" s="229" t="n"/>
      <c r="E92" s="229" t="n"/>
      <c r="F92" s="229" t="n"/>
      <c r="G92" s="229" t="n"/>
      <c r="H92" s="229" t="n"/>
      <c r="I92" s="229" t="n"/>
      <c r="J92" s="229" t="inlineStr">
        <is>
          <t>GF</t>
        </is>
      </c>
      <c r="K92" s="229" t="n"/>
      <c r="L92" s="229" t="n"/>
      <c r="M92" s="229" t="n"/>
      <c r="N92" s="229" t="n"/>
      <c r="O92" s="229" t="n"/>
      <c r="P92" s="229" t="n"/>
      <c r="Q92" s="229" t="n"/>
      <c r="R92" s="229" t="inlineStr">
        <is>
          <t>KRW</t>
        </is>
      </c>
      <c r="S92" s="229" t="n"/>
      <c r="T92" s="229" t="n"/>
      <c r="U92" s="229" t="n"/>
      <c r="V92" s="229" t="n"/>
      <c r="W92" s="229" t="n"/>
      <c r="X92" s="229" t="n"/>
      <c r="Y92" s="229" t="n"/>
      <c r="Z92" s="229" t="n"/>
      <c r="AA92" s="229" t="n"/>
      <c r="AB92" s="229" t="n"/>
      <c r="AC92" s="229" t="n"/>
      <c r="AD92" s="229" t="n"/>
      <c r="AE92" s="229" t="n"/>
      <c r="AF92" s="229" t="n"/>
      <c r="AG92" s="229" t="n"/>
      <c r="AH92" s="229" t="n"/>
      <c r="AI92" s="229" t="n"/>
      <c r="AJ92" s="229" t="n"/>
    </row>
    <row r="93" customFormat="1" s="13">
      <c r="A93" s="11" t="inlineStr">
        <is>
          <t>#</t>
        </is>
      </c>
      <c r="B93" s="230" t="n"/>
      <c r="C93" s="229" t="n"/>
      <c r="D93" s="229" t="n"/>
      <c r="E93" s="229" t="n"/>
      <c r="F93" s="229" t="n"/>
      <c r="G93" s="229" t="n"/>
      <c r="H93" s="229" t="n"/>
      <c r="I93" s="229" t="n"/>
      <c r="J93" s="229" t="inlineStr">
        <is>
          <t>GG</t>
        </is>
      </c>
      <c r="K93" s="229" t="n"/>
      <c r="L93" s="229" t="n"/>
      <c r="M93" s="229" t="n"/>
      <c r="N93" s="229" t="n"/>
      <c r="O93" s="229" t="n"/>
      <c r="P93" s="229" t="n"/>
      <c r="Q93" s="229" t="n"/>
      <c r="R93" s="229" t="inlineStr">
        <is>
          <t>KWD</t>
        </is>
      </c>
      <c r="S93" s="229" t="n"/>
      <c r="T93" s="229" t="n"/>
      <c r="U93" s="229" t="n"/>
      <c r="V93" s="229" t="n"/>
      <c r="W93" s="229" t="n"/>
      <c r="X93" s="229" t="n"/>
      <c r="Y93" s="229" t="n"/>
      <c r="Z93" s="229" t="n"/>
      <c r="AA93" s="229" t="n"/>
      <c r="AB93" s="229" t="n"/>
      <c r="AC93" s="229" t="n"/>
      <c r="AD93" s="229" t="n"/>
      <c r="AE93" s="229" t="n"/>
      <c r="AF93" s="229" t="n"/>
      <c r="AG93" s="229" t="n"/>
      <c r="AH93" s="229" t="n"/>
      <c r="AI93" s="229" t="n"/>
      <c r="AJ93" s="229" t="n"/>
    </row>
    <row r="94" customFormat="1" s="13">
      <c r="A94" s="11" t="inlineStr">
        <is>
          <t>#</t>
        </is>
      </c>
      <c r="B94" s="230" t="n"/>
      <c r="C94" s="229" t="n"/>
      <c r="D94" s="229" t="n"/>
      <c r="E94" s="229" t="n"/>
      <c r="F94" s="229" t="n"/>
      <c r="G94" s="229" t="n"/>
      <c r="H94" s="229" t="n"/>
      <c r="I94" s="229" t="n"/>
      <c r="J94" s="229" t="inlineStr">
        <is>
          <t>GH</t>
        </is>
      </c>
      <c r="K94" s="229" t="n"/>
      <c r="L94" s="229" t="n"/>
      <c r="M94" s="229" t="n"/>
      <c r="N94" s="229" t="n"/>
      <c r="O94" s="229" t="n"/>
      <c r="P94" s="229" t="n"/>
      <c r="Q94" s="229" t="n"/>
      <c r="R94" s="229" t="inlineStr">
        <is>
          <t>KYD</t>
        </is>
      </c>
      <c r="S94" s="229" t="n"/>
      <c r="T94" s="229" t="n"/>
      <c r="U94" s="229" t="n"/>
      <c r="V94" s="229" t="n"/>
      <c r="W94" s="229" t="n"/>
      <c r="X94" s="229" t="n"/>
      <c r="Y94" s="229" t="n"/>
      <c r="Z94" s="229" t="n"/>
      <c r="AA94" s="229" t="n"/>
      <c r="AB94" s="229" t="n"/>
      <c r="AC94" s="229" t="n"/>
      <c r="AD94" s="229" t="n"/>
      <c r="AE94" s="229" t="n"/>
      <c r="AF94" s="229" t="n"/>
      <c r="AG94" s="229" t="n"/>
      <c r="AH94" s="229" t="n"/>
      <c r="AI94" s="229" t="n"/>
      <c r="AJ94" s="229" t="n"/>
    </row>
    <row r="95" customFormat="1" s="13">
      <c r="A95" s="11" t="inlineStr">
        <is>
          <t>#</t>
        </is>
      </c>
      <c r="B95" s="230" t="n"/>
      <c r="C95" s="229" t="n"/>
      <c r="D95" s="229" t="n"/>
      <c r="E95" s="229" t="n"/>
      <c r="F95" s="229" t="n"/>
      <c r="G95" s="229" t="n"/>
      <c r="H95" s="229" t="n"/>
      <c r="I95" s="229" t="n"/>
      <c r="J95" s="229" t="inlineStr">
        <is>
          <t>GI</t>
        </is>
      </c>
      <c r="K95" s="229" t="n"/>
      <c r="L95" s="229" t="n"/>
      <c r="M95" s="229" t="n"/>
      <c r="N95" s="229" t="n"/>
      <c r="O95" s="229" t="n"/>
      <c r="P95" s="229" t="n"/>
      <c r="Q95" s="229" t="n"/>
      <c r="R95" s="229" t="inlineStr">
        <is>
          <t>KZT</t>
        </is>
      </c>
      <c r="S95" s="229" t="n"/>
      <c r="T95" s="229" t="n"/>
      <c r="U95" s="229" t="n"/>
      <c r="V95" s="229" t="n"/>
      <c r="W95" s="229" t="n"/>
      <c r="X95" s="229" t="n"/>
      <c r="Y95" s="229" t="n"/>
      <c r="Z95" s="229" t="n"/>
      <c r="AA95" s="229" t="n"/>
      <c r="AB95" s="229" t="n"/>
      <c r="AC95" s="229" t="n"/>
      <c r="AD95" s="229" t="n"/>
      <c r="AE95" s="229" t="n"/>
      <c r="AF95" s="229" t="n"/>
      <c r="AG95" s="229" t="n"/>
      <c r="AH95" s="229" t="n"/>
      <c r="AI95" s="229" t="n"/>
      <c r="AJ95" s="229" t="n"/>
    </row>
    <row r="96" customFormat="1" s="13">
      <c r="A96" s="11" t="inlineStr">
        <is>
          <t>#</t>
        </is>
      </c>
      <c r="B96" s="230" t="n"/>
      <c r="C96" s="229" t="n"/>
      <c r="D96" s="229" t="n"/>
      <c r="E96" s="229" t="n"/>
      <c r="F96" s="229" t="n"/>
      <c r="G96" s="229" t="n"/>
      <c r="H96" s="229" t="n"/>
      <c r="I96" s="229" t="n"/>
      <c r="J96" s="229" t="inlineStr">
        <is>
          <t>GL</t>
        </is>
      </c>
      <c r="K96" s="229" t="n"/>
      <c r="L96" s="229" t="n"/>
      <c r="M96" s="229" t="n"/>
      <c r="N96" s="229" t="n"/>
      <c r="O96" s="229" t="n"/>
      <c r="P96" s="229" t="n"/>
      <c r="Q96" s="229" t="n"/>
      <c r="R96" s="229" t="inlineStr">
        <is>
          <t>LAK</t>
        </is>
      </c>
      <c r="S96" s="229" t="n"/>
      <c r="T96" s="229" t="n"/>
      <c r="U96" s="229" t="n"/>
      <c r="V96" s="229" t="n"/>
      <c r="W96" s="229" t="n"/>
      <c r="X96" s="229" t="n"/>
      <c r="Y96" s="229" t="n"/>
      <c r="Z96" s="229" t="n"/>
      <c r="AA96" s="229" t="n"/>
      <c r="AB96" s="229" t="n"/>
      <c r="AC96" s="229" t="n"/>
      <c r="AD96" s="229" t="n"/>
      <c r="AE96" s="229" t="n"/>
      <c r="AF96" s="229" t="n"/>
      <c r="AG96" s="229" t="n"/>
      <c r="AH96" s="229" t="n"/>
      <c r="AI96" s="229" t="n"/>
      <c r="AJ96" s="229" t="n"/>
    </row>
    <row r="97" customFormat="1" s="13">
      <c r="A97" s="11" t="inlineStr">
        <is>
          <t>#</t>
        </is>
      </c>
      <c r="B97" s="230" t="n"/>
      <c r="C97" s="229" t="n"/>
      <c r="D97" s="229" t="n"/>
      <c r="E97" s="229" t="n"/>
      <c r="F97" s="229" t="n"/>
      <c r="G97" s="229" t="n"/>
      <c r="H97" s="229" t="n"/>
      <c r="I97" s="229" t="n"/>
      <c r="J97" s="229" t="inlineStr">
        <is>
          <t>GM</t>
        </is>
      </c>
      <c r="K97" s="229" t="n"/>
      <c r="L97" s="229" t="n"/>
      <c r="M97" s="229" t="n"/>
      <c r="N97" s="229" t="n"/>
      <c r="O97" s="229" t="n"/>
      <c r="P97" s="229" t="n"/>
      <c r="Q97" s="229" t="n"/>
      <c r="R97" s="229" t="inlineStr">
        <is>
          <t>LBP</t>
        </is>
      </c>
      <c r="S97" s="229" t="n"/>
      <c r="T97" s="229" t="n"/>
      <c r="U97" s="229" t="n"/>
      <c r="V97" s="229" t="n"/>
      <c r="W97" s="229" t="n"/>
      <c r="X97" s="229" t="n"/>
      <c r="Y97" s="229" t="n"/>
      <c r="Z97" s="229" t="n"/>
      <c r="AA97" s="229" t="n"/>
      <c r="AB97" s="229" t="n"/>
      <c r="AC97" s="229" t="n"/>
      <c r="AD97" s="229" t="n"/>
      <c r="AE97" s="229" t="n"/>
      <c r="AF97" s="229" t="n"/>
      <c r="AG97" s="229" t="n"/>
      <c r="AH97" s="229" t="n"/>
      <c r="AI97" s="229" t="n"/>
      <c r="AJ97" s="229" t="n"/>
    </row>
    <row r="98" customFormat="1" s="13">
      <c r="A98" s="11" t="inlineStr">
        <is>
          <t>#</t>
        </is>
      </c>
      <c r="B98" s="230" t="n"/>
      <c r="C98" s="229" t="n"/>
      <c r="D98" s="229" t="n"/>
      <c r="E98" s="229" t="n"/>
      <c r="F98" s="229" t="n"/>
      <c r="G98" s="229" t="n"/>
      <c r="H98" s="229" t="n"/>
      <c r="I98" s="229" t="n"/>
      <c r="J98" s="229" t="inlineStr">
        <is>
          <t>GN</t>
        </is>
      </c>
      <c r="K98" s="229" t="n"/>
      <c r="L98" s="229" t="n"/>
      <c r="M98" s="229" t="n"/>
      <c r="N98" s="229" t="n"/>
      <c r="O98" s="229" t="n"/>
      <c r="P98" s="229" t="n"/>
      <c r="Q98" s="229" t="n"/>
      <c r="R98" s="229" t="inlineStr">
        <is>
          <t>LKR</t>
        </is>
      </c>
      <c r="S98" s="229" t="n"/>
      <c r="T98" s="229" t="n"/>
      <c r="U98" s="229" t="n"/>
      <c r="V98" s="229" t="n"/>
      <c r="W98" s="229" t="n"/>
      <c r="X98" s="229" t="n"/>
      <c r="Y98" s="229" t="n"/>
      <c r="Z98" s="229" t="n"/>
      <c r="AA98" s="229" t="n"/>
      <c r="AB98" s="229" t="n"/>
      <c r="AC98" s="229" t="n"/>
      <c r="AD98" s="229" t="n"/>
      <c r="AE98" s="229" t="n"/>
      <c r="AF98" s="229" t="n"/>
      <c r="AG98" s="229" t="n"/>
      <c r="AH98" s="229" t="n"/>
      <c r="AI98" s="229" t="n"/>
      <c r="AJ98" s="229" t="n"/>
    </row>
    <row r="99" customFormat="1" s="13">
      <c r="A99" s="11" t="inlineStr">
        <is>
          <t>#</t>
        </is>
      </c>
      <c r="B99" s="230" t="n"/>
      <c r="C99" s="229" t="n"/>
      <c r="D99" s="229" t="n"/>
      <c r="E99" s="229" t="n"/>
      <c r="F99" s="229" t="n"/>
      <c r="G99" s="229" t="n"/>
      <c r="H99" s="229" t="n"/>
      <c r="I99" s="229" t="n"/>
      <c r="J99" s="229" t="inlineStr">
        <is>
          <t>GP</t>
        </is>
      </c>
      <c r="K99" s="229" t="n"/>
      <c r="L99" s="229" t="n"/>
      <c r="M99" s="229" t="n"/>
      <c r="N99" s="229" t="n"/>
      <c r="O99" s="229" t="n"/>
      <c r="P99" s="229" t="n"/>
      <c r="Q99" s="229" t="n"/>
      <c r="R99" s="229" t="inlineStr">
        <is>
          <t>LRD</t>
        </is>
      </c>
      <c r="S99" s="229" t="n"/>
      <c r="T99" s="229" t="n"/>
      <c r="U99" s="229" t="n"/>
      <c r="V99" s="229" t="n"/>
      <c r="W99" s="229" t="n"/>
      <c r="X99" s="229" t="n"/>
      <c r="Y99" s="229" t="n"/>
      <c r="Z99" s="229" t="n"/>
      <c r="AA99" s="229" t="n"/>
      <c r="AB99" s="229" t="n"/>
      <c r="AC99" s="229" t="n"/>
      <c r="AD99" s="229" t="n"/>
      <c r="AE99" s="229" t="n"/>
      <c r="AF99" s="229" t="n"/>
      <c r="AG99" s="229" t="n"/>
      <c r="AH99" s="229" t="n"/>
      <c r="AI99" s="229" t="n"/>
      <c r="AJ99" s="229" t="n"/>
    </row>
    <row r="100" customFormat="1" s="13">
      <c r="A100" s="11" t="inlineStr">
        <is>
          <t>#</t>
        </is>
      </c>
      <c r="B100" s="230" t="n"/>
      <c r="C100" s="229" t="n"/>
      <c r="D100" s="229" t="n"/>
      <c r="E100" s="229" t="n"/>
      <c r="F100" s="229" t="n"/>
      <c r="G100" s="229" t="n"/>
      <c r="H100" s="229" t="n"/>
      <c r="I100" s="229" t="n"/>
      <c r="J100" s="229" t="inlineStr">
        <is>
          <t>GQ</t>
        </is>
      </c>
      <c r="K100" s="229" t="n"/>
      <c r="L100" s="229" t="n"/>
      <c r="M100" s="229" t="n"/>
      <c r="N100" s="229" t="n"/>
      <c r="O100" s="229" t="n"/>
      <c r="P100" s="229" t="n"/>
      <c r="Q100" s="229" t="n"/>
      <c r="R100" s="229" t="inlineStr">
        <is>
          <t>LSL</t>
        </is>
      </c>
      <c r="S100" s="229" t="n"/>
      <c r="T100" s="229" t="n"/>
      <c r="U100" s="229" t="n"/>
      <c r="V100" s="229" t="n"/>
      <c r="W100" s="229" t="n"/>
      <c r="X100" s="229" t="n"/>
      <c r="Y100" s="229" t="n"/>
      <c r="Z100" s="229" t="n"/>
      <c r="AA100" s="229" t="n"/>
      <c r="AB100" s="229" t="n"/>
      <c r="AC100" s="229" t="n"/>
      <c r="AD100" s="229" t="n"/>
      <c r="AE100" s="229" t="n"/>
      <c r="AF100" s="229" t="n"/>
      <c r="AG100" s="229" t="n"/>
      <c r="AH100" s="229" t="n"/>
      <c r="AI100" s="229" t="n"/>
      <c r="AJ100" s="229" t="n"/>
    </row>
    <row r="101" customFormat="1" s="13">
      <c r="A101" s="11" t="inlineStr">
        <is>
          <t>#</t>
        </is>
      </c>
      <c r="B101" s="230" t="n"/>
      <c r="C101" s="229" t="n"/>
      <c r="D101" s="229" t="n"/>
      <c r="E101" s="229" t="n"/>
      <c r="F101" s="229" t="n"/>
      <c r="G101" s="229" t="n"/>
      <c r="H101" s="229" t="n"/>
      <c r="I101" s="229" t="n"/>
      <c r="J101" s="229" t="inlineStr">
        <is>
          <t>GR</t>
        </is>
      </c>
      <c r="K101" s="229" t="n"/>
      <c r="L101" s="229" t="n"/>
      <c r="M101" s="229" t="n"/>
      <c r="N101" s="229" t="n"/>
      <c r="O101" s="229" t="n"/>
      <c r="P101" s="229" t="n"/>
      <c r="Q101" s="229" t="n"/>
      <c r="R101" s="229" t="inlineStr">
        <is>
          <t>LYD</t>
        </is>
      </c>
      <c r="S101" s="229" t="n"/>
      <c r="T101" s="229" t="n"/>
      <c r="U101" s="229" t="n"/>
      <c r="V101" s="229" t="n"/>
      <c r="W101" s="229" t="n"/>
      <c r="X101" s="229" t="n"/>
      <c r="Y101" s="229" t="n"/>
      <c r="Z101" s="229" t="n"/>
      <c r="AA101" s="229" t="n"/>
      <c r="AB101" s="229" t="n"/>
      <c r="AC101" s="229" t="n"/>
      <c r="AD101" s="229" t="n"/>
      <c r="AE101" s="229" t="n"/>
      <c r="AF101" s="229" t="n"/>
      <c r="AG101" s="229" t="n"/>
      <c r="AH101" s="229" t="n"/>
      <c r="AI101" s="229" t="n"/>
      <c r="AJ101" s="229" t="n"/>
    </row>
    <row r="102" customFormat="1" s="13">
      <c r="A102" s="11" t="inlineStr">
        <is>
          <t>#</t>
        </is>
      </c>
      <c r="B102" s="230" t="n"/>
      <c r="C102" s="229" t="n"/>
      <c r="D102" s="229" t="n"/>
      <c r="E102" s="229" t="n"/>
      <c r="F102" s="229" t="n"/>
      <c r="G102" s="229" t="n"/>
      <c r="H102" s="229" t="n"/>
      <c r="I102" s="229" t="n"/>
      <c r="J102" s="229" t="inlineStr">
        <is>
          <t>GS</t>
        </is>
      </c>
      <c r="K102" s="229" t="n"/>
      <c r="L102" s="229" t="n"/>
      <c r="M102" s="229" t="n"/>
      <c r="N102" s="229" t="n"/>
      <c r="O102" s="229" t="n"/>
      <c r="P102" s="229" t="n"/>
      <c r="Q102" s="229" t="n"/>
      <c r="R102" s="229" t="inlineStr">
        <is>
          <t>MAD</t>
        </is>
      </c>
      <c r="S102" s="229" t="n"/>
      <c r="T102" s="229" t="n"/>
      <c r="U102" s="229" t="n"/>
      <c r="V102" s="229" t="n"/>
      <c r="W102" s="229" t="n"/>
      <c r="X102" s="229" t="n"/>
      <c r="Y102" s="229" t="n"/>
      <c r="Z102" s="229" t="n"/>
      <c r="AA102" s="229" t="n"/>
      <c r="AB102" s="229" t="n"/>
      <c r="AC102" s="229" t="n"/>
      <c r="AD102" s="229" t="n"/>
      <c r="AE102" s="229" t="n"/>
      <c r="AF102" s="229" t="n"/>
      <c r="AG102" s="229" t="n"/>
      <c r="AH102" s="229" t="n"/>
      <c r="AI102" s="229" t="n"/>
      <c r="AJ102" s="229" t="n"/>
    </row>
    <row r="103" customFormat="1" s="13">
      <c r="A103" s="11" t="inlineStr">
        <is>
          <t>#</t>
        </is>
      </c>
      <c r="B103" s="230" t="n"/>
      <c r="C103" s="229" t="n"/>
      <c r="D103" s="229" t="n"/>
      <c r="E103" s="229" t="n"/>
      <c r="F103" s="229" t="n"/>
      <c r="G103" s="229" t="n"/>
      <c r="H103" s="229" t="n"/>
      <c r="I103" s="229" t="n"/>
      <c r="J103" s="229" t="inlineStr">
        <is>
          <t>GT</t>
        </is>
      </c>
      <c r="K103" s="229" t="n"/>
      <c r="L103" s="229" t="n"/>
      <c r="M103" s="229" t="n"/>
      <c r="N103" s="229" t="n"/>
      <c r="O103" s="229" t="n"/>
      <c r="P103" s="229" t="n"/>
      <c r="Q103" s="229" t="n"/>
      <c r="R103" s="229" t="inlineStr">
        <is>
          <t>MDL</t>
        </is>
      </c>
      <c r="S103" s="229" t="n"/>
      <c r="T103" s="229" t="n"/>
      <c r="U103" s="229" t="n"/>
      <c r="V103" s="229" t="n"/>
      <c r="W103" s="229" t="n"/>
      <c r="X103" s="229" t="n"/>
      <c r="Y103" s="229" t="n"/>
      <c r="Z103" s="229" t="n"/>
      <c r="AA103" s="229" t="n"/>
      <c r="AB103" s="229" t="n"/>
      <c r="AC103" s="229" t="n"/>
      <c r="AD103" s="229" t="n"/>
      <c r="AE103" s="229" t="n"/>
      <c r="AF103" s="229" t="n"/>
      <c r="AG103" s="229" t="n"/>
      <c r="AH103" s="229" t="n"/>
      <c r="AI103" s="229" t="n"/>
      <c r="AJ103" s="229" t="n"/>
    </row>
    <row r="104" customFormat="1" s="13">
      <c r="A104" s="11" t="inlineStr">
        <is>
          <t>#</t>
        </is>
      </c>
      <c r="B104" s="230" t="n"/>
      <c r="C104" s="229" t="n"/>
      <c r="D104" s="229" t="n"/>
      <c r="E104" s="229" t="n"/>
      <c r="F104" s="229" t="n"/>
      <c r="G104" s="229" t="n"/>
      <c r="H104" s="229" t="n"/>
      <c r="I104" s="229" t="n"/>
      <c r="J104" s="229" t="inlineStr">
        <is>
          <t>GU</t>
        </is>
      </c>
      <c r="K104" s="229" t="n"/>
      <c r="L104" s="229" t="n"/>
      <c r="M104" s="229" t="n"/>
      <c r="N104" s="229" t="n"/>
      <c r="O104" s="229" t="n"/>
      <c r="P104" s="229" t="n"/>
      <c r="Q104" s="229" t="n"/>
      <c r="R104" s="229" t="inlineStr">
        <is>
          <t>MGA</t>
        </is>
      </c>
      <c r="S104" s="229" t="n"/>
      <c r="T104" s="229" t="n"/>
      <c r="U104" s="229" t="n"/>
      <c r="V104" s="229" t="n"/>
      <c r="W104" s="229" t="n"/>
      <c r="X104" s="229" t="n"/>
      <c r="Y104" s="229" t="n"/>
      <c r="Z104" s="229" t="n"/>
      <c r="AA104" s="229" t="n"/>
      <c r="AB104" s="229" t="n"/>
      <c r="AC104" s="229" t="n"/>
      <c r="AD104" s="229" t="n"/>
      <c r="AE104" s="229" t="n"/>
      <c r="AF104" s="229" t="n"/>
      <c r="AG104" s="229" t="n"/>
      <c r="AH104" s="229" t="n"/>
      <c r="AI104" s="229" t="n"/>
      <c r="AJ104" s="229" t="n"/>
    </row>
    <row r="105" customFormat="1" s="13">
      <c r="A105" s="11" t="inlineStr">
        <is>
          <t>#</t>
        </is>
      </c>
      <c r="B105" s="230" t="n"/>
      <c r="C105" s="229" t="n"/>
      <c r="D105" s="229" t="n"/>
      <c r="E105" s="229" t="n"/>
      <c r="F105" s="229" t="n"/>
      <c r="G105" s="229" t="n"/>
      <c r="H105" s="229" t="n"/>
      <c r="I105" s="229" t="n"/>
      <c r="J105" s="229" t="inlineStr">
        <is>
          <t>GW</t>
        </is>
      </c>
      <c r="K105" s="229" t="n"/>
      <c r="L105" s="229" t="n"/>
      <c r="M105" s="229" t="n"/>
      <c r="N105" s="229" t="n"/>
      <c r="O105" s="229" t="n"/>
      <c r="P105" s="229" t="n"/>
      <c r="Q105" s="229" t="n"/>
      <c r="R105" s="229" t="inlineStr">
        <is>
          <t>MKD</t>
        </is>
      </c>
      <c r="S105" s="229" t="n"/>
      <c r="T105" s="229" t="n"/>
      <c r="U105" s="229" t="n"/>
      <c r="V105" s="229" t="n"/>
      <c r="W105" s="229" t="n"/>
      <c r="X105" s="229" t="n"/>
      <c r="Y105" s="229" t="n"/>
      <c r="Z105" s="229" t="n"/>
      <c r="AA105" s="229" t="n"/>
      <c r="AB105" s="229" t="n"/>
      <c r="AC105" s="229" t="n"/>
      <c r="AD105" s="229" t="n"/>
      <c r="AE105" s="229" t="n"/>
      <c r="AF105" s="229" t="n"/>
      <c r="AG105" s="229" t="n"/>
      <c r="AH105" s="229" t="n"/>
      <c r="AI105" s="229" t="n"/>
      <c r="AJ105" s="229" t="n"/>
    </row>
    <row r="106" customFormat="1" s="13">
      <c r="A106" s="11" t="inlineStr">
        <is>
          <t>#</t>
        </is>
      </c>
      <c r="B106" s="230" t="n"/>
      <c r="C106" s="229" t="n"/>
      <c r="D106" s="229" t="n"/>
      <c r="E106" s="229" t="n"/>
      <c r="F106" s="229" t="n"/>
      <c r="G106" s="229" t="n"/>
      <c r="H106" s="229" t="n"/>
      <c r="I106" s="229" t="n"/>
      <c r="J106" s="229" t="inlineStr">
        <is>
          <t>GY</t>
        </is>
      </c>
      <c r="K106" s="229" t="n"/>
      <c r="L106" s="229" t="n"/>
      <c r="M106" s="229" t="n"/>
      <c r="N106" s="229" t="n"/>
      <c r="O106" s="229" t="n"/>
      <c r="P106" s="229" t="n"/>
      <c r="Q106" s="229" t="n"/>
      <c r="R106" s="229" t="inlineStr">
        <is>
          <t>MMK</t>
        </is>
      </c>
      <c r="S106" s="229" t="n"/>
      <c r="T106" s="229" t="n"/>
      <c r="U106" s="229" t="n"/>
      <c r="V106" s="229" t="n"/>
      <c r="W106" s="229" t="n"/>
      <c r="X106" s="229" t="n"/>
      <c r="Y106" s="229" t="n"/>
      <c r="Z106" s="229" t="n"/>
      <c r="AA106" s="229" t="n"/>
      <c r="AB106" s="229" t="n"/>
      <c r="AC106" s="229" t="n"/>
      <c r="AD106" s="229" t="n"/>
      <c r="AE106" s="229" t="n"/>
      <c r="AF106" s="229" t="n"/>
      <c r="AG106" s="229" t="n"/>
      <c r="AH106" s="229" t="n"/>
      <c r="AI106" s="229" t="n"/>
      <c r="AJ106" s="229" t="n"/>
    </row>
    <row r="107" customFormat="1" s="13">
      <c r="A107" s="11" t="inlineStr">
        <is>
          <t>#</t>
        </is>
      </c>
      <c r="B107" s="230" t="n"/>
      <c r="C107" s="229" t="n"/>
      <c r="D107" s="229" t="n"/>
      <c r="E107" s="229" t="n"/>
      <c r="F107" s="229" t="n"/>
      <c r="G107" s="229" t="n"/>
      <c r="H107" s="229" t="n"/>
      <c r="I107" s="229" t="n"/>
      <c r="J107" s="229" t="inlineStr">
        <is>
          <t>HK</t>
        </is>
      </c>
      <c r="K107" s="229" t="n"/>
      <c r="L107" s="229" t="n"/>
      <c r="M107" s="229" t="n"/>
      <c r="N107" s="229" t="n"/>
      <c r="O107" s="229" t="n"/>
      <c r="P107" s="229" t="n"/>
      <c r="Q107" s="229" t="n"/>
      <c r="R107" s="229" t="inlineStr">
        <is>
          <t>MNT</t>
        </is>
      </c>
      <c r="S107" s="229" t="n"/>
      <c r="T107" s="229" t="n"/>
      <c r="U107" s="229" t="n"/>
      <c r="V107" s="229" t="n"/>
      <c r="W107" s="229" t="n"/>
      <c r="X107" s="229" t="n"/>
      <c r="Y107" s="229" t="n"/>
      <c r="Z107" s="229" t="n"/>
      <c r="AA107" s="229" t="n"/>
      <c r="AB107" s="229" t="n"/>
      <c r="AC107" s="229" t="n"/>
      <c r="AD107" s="229" t="n"/>
      <c r="AE107" s="229" t="n"/>
      <c r="AF107" s="229" t="n"/>
      <c r="AG107" s="229" t="n"/>
      <c r="AH107" s="229" t="n"/>
      <c r="AI107" s="229" t="n"/>
      <c r="AJ107" s="229" t="n"/>
    </row>
    <row r="108" customFormat="1" s="13">
      <c r="A108" s="11" t="inlineStr">
        <is>
          <t>#</t>
        </is>
      </c>
      <c r="B108" s="230" t="n"/>
      <c r="C108" s="229" t="n"/>
      <c r="D108" s="229" t="n"/>
      <c r="E108" s="229" t="n"/>
      <c r="F108" s="229" t="n"/>
      <c r="G108" s="229" t="n"/>
      <c r="H108" s="229" t="n"/>
      <c r="I108" s="229" t="n"/>
      <c r="J108" s="229" t="inlineStr">
        <is>
          <t>HM</t>
        </is>
      </c>
      <c r="K108" s="229" t="n"/>
      <c r="L108" s="229" t="n"/>
      <c r="M108" s="229" t="n"/>
      <c r="N108" s="229" t="n"/>
      <c r="O108" s="229" t="n"/>
      <c r="P108" s="229" t="n"/>
      <c r="Q108" s="229" t="n"/>
      <c r="R108" s="229" t="inlineStr">
        <is>
          <t>MOP</t>
        </is>
      </c>
      <c r="S108" s="229" t="n"/>
      <c r="T108" s="229" t="n"/>
      <c r="U108" s="229" t="n"/>
      <c r="V108" s="229" t="n"/>
      <c r="W108" s="229" t="n"/>
      <c r="X108" s="229" t="n"/>
      <c r="Y108" s="229" t="n"/>
      <c r="Z108" s="229" t="n"/>
      <c r="AA108" s="229" t="n"/>
      <c r="AB108" s="229" t="n"/>
      <c r="AC108" s="229" t="n"/>
      <c r="AD108" s="229" t="n"/>
      <c r="AE108" s="229" t="n"/>
      <c r="AF108" s="229" t="n"/>
      <c r="AG108" s="229" t="n"/>
      <c r="AH108" s="229" t="n"/>
      <c r="AI108" s="229" t="n"/>
      <c r="AJ108" s="229" t="n"/>
    </row>
    <row r="109" customFormat="1" s="13">
      <c r="A109" s="11" t="inlineStr">
        <is>
          <t>#</t>
        </is>
      </c>
      <c r="B109" s="230" t="n"/>
      <c r="C109" s="229" t="n"/>
      <c r="D109" s="229" t="n"/>
      <c r="E109" s="229" t="n"/>
      <c r="F109" s="229" t="n"/>
      <c r="G109" s="229" t="n"/>
      <c r="H109" s="229" t="n"/>
      <c r="I109" s="229" t="n"/>
      <c r="J109" s="229" t="inlineStr">
        <is>
          <t>HN</t>
        </is>
      </c>
      <c r="K109" s="229" t="n"/>
      <c r="L109" s="229" t="n"/>
      <c r="M109" s="229" t="n"/>
      <c r="N109" s="229" t="n"/>
      <c r="O109" s="229" t="n"/>
      <c r="P109" s="229" t="n"/>
      <c r="Q109" s="229" t="n"/>
      <c r="R109" s="229" t="inlineStr">
        <is>
          <t>MRU</t>
        </is>
      </c>
      <c r="S109" s="229" t="n"/>
      <c r="T109" s="229" t="n"/>
      <c r="U109" s="229" t="n"/>
      <c r="V109" s="229" t="n"/>
      <c r="W109" s="229" t="n"/>
      <c r="X109" s="229" t="n"/>
      <c r="Y109" s="229" t="n"/>
      <c r="Z109" s="229" t="n"/>
      <c r="AA109" s="229" t="n"/>
      <c r="AB109" s="229" t="n"/>
      <c r="AC109" s="229" t="n"/>
      <c r="AD109" s="229" t="n"/>
      <c r="AE109" s="229" t="n"/>
      <c r="AF109" s="229" t="n"/>
      <c r="AG109" s="229" t="n"/>
      <c r="AH109" s="229" t="n"/>
      <c r="AI109" s="229" t="n"/>
      <c r="AJ109" s="229" t="n"/>
    </row>
    <row r="110" customFormat="1" s="13">
      <c r="A110" s="11" t="inlineStr">
        <is>
          <t>#</t>
        </is>
      </c>
      <c r="B110" s="230" t="n"/>
      <c r="C110" s="229" t="n"/>
      <c r="D110" s="229" t="n"/>
      <c r="E110" s="229" t="n"/>
      <c r="F110" s="229" t="n"/>
      <c r="G110" s="229" t="n"/>
      <c r="H110" s="229" t="n"/>
      <c r="I110" s="229" t="n"/>
      <c r="J110" s="229" t="inlineStr">
        <is>
          <t>HR</t>
        </is>
      </c>
      <c r="K110" s="229" t="n"/>
      <c r="L110" s="229" t="n"/>
      <c r="M110" s="229" t="n"/>
      <c r="N110" s="229" t="n"/>
      <c r="O110" s="229" t="n"/>
      <c r="P110" s="229" t="n"/>
      <c r="Q110" s="229" t="n"/>
      <c r="R110" s="229" t="inlineStr">
        <is>
          <t>MUR</t>
        </is>
      </c>
      <c r="S110" s="229" t="n"/>
      <c r="T110" s="229" t="n"/>
      <c r="U110" s="229" t="n"/>
      <c r="V110" s="229" t="n"/>
      <c r="W110" s="229" t="n"/>
      <c r="X110" s="229" t="n"/>
      <c r="Y110" s="229" t="n"/>
      <c r="Z110" s="229" t="n"/>
      <c r="AA110" s="229" t="n"/>
      <c r="AB110" s="229" t="n"/>
      <c r="AC110" s="229" t="n"/>
      <c r="AD110" s="229" t="n"/>
      <c r="AE110" s="229" t="n"/>
      <c r="AF110" s="229" t="n"/>
      <c r="AG110" s="229" t="n"/>
      <c r="AH110" s="229" t="n"/>
      <c r="AI110" s="229" t="n"/>
      <c r="AJ110" s="229" t="n"/>
    </row>
    <row r="111" customFormat="1" s="13">
      <c r="A111" s="11" t="inlineStr">
        <is>
          <t>#</t>
        </is>
      </c>
      <c r="B111" s="230" t="n"/>
      <c r="C111" s="229" t="n"/>
      <c r="D111" s="229" t="n"/>
      <c r="E111" s="229" t="n"/>
      <c r="F111" s="229" t="n"/>
      <c r="G111" s="229" t="n"/>
      <c r="H111" s="229" t="n"/>
      <c r="I111" s="229" t="n"/>
      <c r="J111" s="229" t="inlineStr">
        <is>
          <t>HT</t>
        </is>
      </c>
      <c r="K111" s="229" t="n"/>
      <c r="L111" s="229" t="n"/>
      <c r="M111" s="229" t="n"/>
      <c r="N111" s="229" t="n"/>
      <c r="O111" s="229" t="n"/>
      <c r="P111" s="229" t="n"/>
      <c r="Q111" s="229" t="n"/>
      <c r="R111" s="229" t="inlineStr">
        <is>
          <t>MVR</t>
        </is>
      </c>
      <c r="S111" s="229" t="n"/>
      <c r="T111" s="229" t="n"/>
      <c r="U111" s="229" t="n"/>
      <c r="V111" s="229" t="n"/>
      <c r="W111" s="229" t="n"/>
      <c r="X111" s="229" t="n"/>
      <c r="Y111" s="229" t="n"/>
      <c r="Z111" s="229" t="n"/>
      <c r="AA111" s="229" t="n"/>
      <c r="AB111" s="229" t="n"/>
      <c r="AC111" s="229" t="n"/>
      <c r="AD111" s="229" t="n"/>
      <c r="AE111" s="229" t="n"/>
      <c r="AF111" s="229" t="n"/>
      <c r="AG111" s="229" t="n"/>
      <c r="AH111" s="229" t="n"/>
      <c r="AI111" s="229" t="n"/>
      <c r="AJ111" s="229" t="n"/>
    </row>
    <row r="112" customFormat="1" s="13">
      <c r="A112" s="11" t="inlineStr">
        <is>
          <t>#</t>
        </is>
      </c>
      <c r="B112" s="230" t="n"/>
      <c r="C112" s="229" t="n"/>
      <c r="D112" s="229" t="n"/>
      <c r="E112" s="229" t="n"/>
      <c r="F112" s="229" t="n"/>
      <c r="G112" s="229" t="n"/>
      <c r="H112" s="229" t="n"/>
      <c r="I112" s="229" t="n"/>
      <c r="J112" s="229" t="inlineStr">
        <is>
          <t>HU</t>
        </is>
      </c>
      <c r="K112" s="229" t="n"/>
      <c r="L112" s="229" t="n"/>
      <c r="M112" s="229" t="n"/>
      <c r="N112" s="229" t="n"/>
      <c r="O112" s="229" t="n"/>
      <c r="P112" s="229" t="n"/>
      <c r="Q112" s="229" t="n"/>
      <c r="R112" s="229" t="inlineStr">
        <is>
          <t>MWK</t>
        </is>
      </c>
      <c r="S112" s="229" t="n"/>
      <c r="T112" s="229" t="n"/>
      <c r="U112" s="229" t="n"/>
      <c r="V112" s="229" t="n"/>
      <c r="W112" s="229" t="n"/>
      <c r="X112" s="229" t="n"/>
      <c r="Y112" s="229" t="n"/>
      <c r="Z112" s="229" t="n"/>
      <c r="AA112" s="229" t="n"/>
      <c r="AB112" s="229" t="n"/>
      <c r="AC112" s="229" t="n"/>
      <c r="AD112" s="229" t="n"/>
      <c r="AE112" s="229" t="n"/>
      <c r="AF112" s="229" t="n"/>
      <c r="AG112" s="229" t="n"/>
      <c r="AH112" s="229" t="n"/>
      <c r="AI112" s="229" t="n"/>
      <c r="AJ112" s="229" t="n"/>
    </row>
    <row r="113" customFormat="1" s="13">
      <c r="A113" s="11" t="inlineStr">
        <is>
          <t>#</t>
        </is>
      </c>
      <c r="B113" s="230" t="n"/>
      <c r="C113" s="229" t="n"/>
      <c r="D113" s="229" t="n"/>
      <c r="E113" s="229" t="n"/>
      <c r="F113" s="229" t="n"/>
      <c r="G113" s="229" t="n"/>
      <c r="H113" s="229" t="n"/>
      <c r="I113" s="229" t="n"/>
      <c r="J113" s="229" t="inlineStr">
        <is>
          <t>ID</t>
        </is>
      </c>
      <c r="K113" s="229" t="n"/>
      <c r="L113" s="229" t="n"/>
      <c r="M113" s="229" t="n"/>
      <c r="N113" s="229" t="n"/>
      <c r="O113" s="229" t="n"/>
      <c r="P113" s="229" t="n"/>
      <c r="Q113" s="229" t="n"/>
      <c r="R113" s="229" t="inlineStr">
        <is>
          <t>MXN</t>
        </is>
      </c>
      <c r="S113" s="229" t="n"/>
      <c r="T113" s="229" t="n"/>
      <c r="U113" s="229" t="n"/>
      <c r="V113" s="229" t="n"/>
      <c r="W113" s="229" t="n"/>
      <c r="X113" s="229" t="n"/>
      <c r="Y113" s="229" t="n"/>
      <c r="Z113" s="229" t="n"/>
      <c r="AA113" s="229" t="n"/>
      <c r="AB113" s="229" t="n"/>
      <c r="AC113" s="229" t="n"/>
      <c r="AD113" s="229" t="n"/>
      <c r="AE113" s="229" t="n"/>
      <c r="AF113" s="229" t="n"/>
      <c r="AG113" s="229" t="n"/>
      <c r="AH113" s="229" t="n"/>
      <c r="AI113" s="229" t="n"/>
      <c r="AJ113" s="229" t="n"/>
    </row>
    <row r="114" customFormat="1" s="13">
      <c r="A114" s="11" t="inlineStr">
        <is>
          <t>#</t>
        </is>
      </c>
      <c r="B114" s="230" t="n"/>
      <c r="C114" s="229" t="n"/>
      <c r="D114" s="229" t="n"/>
      <c r="E114" s="229" t="n"/>
      <c r="F114" s="229" t="n"/>
      <c r="G114" s="229" t="n"/>
      <c r="H114" s="229" t="n"/>
      <c r="I114" s="229" t="n"/>
      <c r="J114" s="229" t="inlineStr">
        <is>
          <t>IE</t>
        </is>
      </c>
      <c r="K114" s="229" t="n"/>
      <c r="L114" s="229" t="n"/>
      <c r="M114" s="229" t="n"/>
      <c r="N114" s="229" t="n"/>
      <c r="O114" s="229" t="n"/>
      <c r="P114" s="229" t="n"/>
      <c r="Q114" s="229" t="n"/>
      <c r="R114" s="229" t="inlineStr">
        <is>
          <t>MXV</t>
        </is>
      </c>
      <c r="S114" s="229" t="n"/>
      <c r="T114" s="229" t="n"/>
      <c r="U114" s="229" t="n"/>
      <c r="V114" s="229" t="n"/>
      <c r="W114" s="229" t="n"/>
      <c r="X114" s="229" t="n"/>
      <c r="Y114" s="229" t="n"/>
      <c r="Z114" s="229" t="n"/>
      <c r="AA114" s="229" t="n"/>
      <c r="AB114" s="229" t="n"/>
      <c r="AC114" s="229" t="n"/>
      <c r="AD114" s="229" t="n"/>
      <c r="AE114" s="229" t="n"/>
      <c r="AF114" s="229" t="n"/>
      <c r="AG114" s="229" t="n"/>
      <c r="AH114" s="229" t="n"/>
      <c r="AI114" s="229" t="n"/>
      <c r="AJ114" s="229" t="n"/>
    </row>
    <row r="115" customFormat="1" s="13">
      <c r="A115" s="11" t="inlineStr">
        <is>
          <t>#</t>
        </is>
      </c>
      <c r="B115" s="230" t="n"/>
      <c r="C115" s="229" t="n"/>
      <c r="D115" s="229" t="n"/>
      <c r="E115" s="229" t="n"/>
      <c r="F115" s="229" t="n"/>
      <c r="G115" s="229" t="n"/>
      <c r="H115" s="229" t="n"/>
      <c r="I115" s="229" t="n"/>
      <c r="J115" s="229" t="inlineStr">
        <is>
          <t>IL</t>
        </is>
      </c>
      <c r="K115" s="229" t="n"/>
      <c r="L115" s="229" t="n"/>
      <c r="M115" s="229" t="n"/>
      <c r="N115" s="229" t="n"/>
      <c r="O115" s="229" t="n"/>
      <c r="P115" s="229" t="n"/>
      <c r="Q115" s="229" t="n"/>
      <c r="R115" s="229" t="inlineStr">
        <is>
          <t>MYR</t>
        </is>
      </c>
      <c r="S115" s="229" t="n"/>
      <c r="T115" s="229" t="n"/>
      <c r="U115" s="229" t="n"/>
      <c r="V115" s="229" t="n"/>
      <c r="W115" s="229" t="n"/>
      <c r="X115" s="229" t="n"/>
      <c r="Y115" s="229" t="n"/>
      <c r="Z115" s="229" t="n"/>
      <c r="AA115" s="229" t="n"/>
      <c r="AB115" s="229" t="n"/>
      <c r="AC115" s="229" t="n"/>
      <c r="AD115" s="229" t="n"/>
      <c r="AE115" s="229" t="n"/>
      <c r="AF115" s="229" t="n"/>
      <c r="AG115" s="229" t="n"/>
      <c r="AH115" s="229" t="n"/>
      <c r="AI115" s="229" t="n"/>
      <c r="AJ115" s="229" t="n"/>
    </row>
    <row r="116" customFormat="1" s="13">
      <c r="A116" s="11" t="inlineStr">
        <is>
          <t>#</t>
        </is>
      </c>
      <c r="B116" s="230" t="n"/>
      <c r="C116" s="229" t="n"/>
      <c r="D116" s="229" t="n"/>
      <c r="E116" s="229" t="n"/>
      <c r="F116" s="229" t="n"/>
      <c r="G116" s="229" t="n"/>
      <c r="H116" s="229" t="n"/>
      <c r="I116" s="229" t="n"/>
      <c r="J116" s="229" t="inlineStr">
        <is>
          <t>IM</t>
        </is>
      </c>
      <c r="K116" s="229" t="n"/>
      <c r="L116" s="229" t="n"/>
      <c r="M116" s="229" t="n"/>
      <c r="N116" s="229" t="n"/>
      <c r="O116" s="229" t="n"/>
      <c r="P116" s="229" t="n"/>
      <c r="Q116" s="229" t="n"/>
      <c r="R116" s="229" t="inlineStr">
        <is>
          <t>MZN</t>
        </is>
      </c>
      <c r="S116" s="229" t="n"/>
      <c r="T116" s="229" t="n"/>
      <c r="U116" s="229" t="n"/>
      <c r="V116" s="229" t="n"/>
      <c r="W116" s="229" t="n"/>
      <c r="X116" s="229" t="n"/>
      <c r="Y116" s="229" t="n"/>
      <c r="Z116" s="229" t="n"/>
      <c r="AA116" s="229" t="n"/>
      <c r="AB116" s="229" t="n"/>
      <c r="AC116" s="229" t="n"/>
      <c r="AD116" s="229" t="n"/>
      <c r="AE116" s="229" t="n"/>
      <c r="AF116" s="229" t="n"/>
      <c r="AG116" s="229" t="n"/>
      <c r="AH116" s="229" t="n"/>
      <c r="AI116" s="229" t="n"/>
      <c r="AJ116" s="229" t="n"/>
    </row>
    <row r="117" customFormat="1" s="13">
      <c r="A117" s="11" t="inlineStr">
        <is>
          <t>#</t>
        </is>
      </c>
      <c r="B117" s="230" t="n"/>
      <c r="C117" s="229" t="n"/>
      <c r="D117" s="229" t="n"/>
      <c r="E117" s="229" t="n"/>
      <c r="F117" s="229" t="n"/>
      <c r="G117" s="229" t="n"/>
      <c r="H117" s="229" t="n"/>
      <c r="I117" s="229" t="n"/>
      <c r="J117" s="229" t="inlineStr">
        <is>
          <t>IN</t>
        </is>
      </c>
      <c r="K117" s="229" t="n"/>
      <c r="L117" s="229" t="n"/>
      <c r="M117" s="229" t="n"/>
      <c r="N117" s="229" t="n"/>
      <c r="O117" s="229" t="n"/>
      <c r="P117" s="229" t="n"/>
      <c r="Q117" s="229" t="n"/>
      <c r="R117" s="229" t="inlineStr">
        <is>
          <t>NAD</t>
        </is>
      </c>
      <c r="S117" s="229" t="n"/>
      <c r="T117" s="229" t="n"/>
      <c r="U117" s="229" t="n"/>
      <c r="V117" s="229" t="n"/>
      <c r="W117" s="229" t="n"/>
      <c r="X117" s="229" t="n"/>
      <c r="Y117" s="229" t="n"/>
      <c r="Z117" s="229" t="n"/>
      <c r="AA117" s="229" t="n"/>
      <c r="AB117" s="229" t="n"/>
      <c r="AC117" s="229" t="n"/>
      <c r="AD117" s="229" t="n"/>
      <c r="AE117" s="229" t="n"/>
      <c r="AF117" s="229" t="n"/>
      <c r="AG117" s="229" t="n"/>
      <c r="AH117" s="229" t="n"/>
      <c r="AI117" s="229" t="n"/>
      <c r="AJ117" s="229" t="n"/>
    </row>
    <row r="118" customFormat="1" s="13">
      <c r="A118" s="11" t="inlineStr">
        <is>
          <t>#</t>
        </is>
      </c>
      <c r="B118" s="230" t="n"/>
      <c r="C118" s="229" t="n"/>
      <c r="D118" s="229" t="n"/>
      <c r="E118" s="229" t="n"/>
      <c r="F118" s="229" t="n"/>
      <c r="G118" s="229" t="n"/>
      <c r="H118" s="229" t="n"/>
      <c r="I118" s="229" t="n"/>
      <c r="J118" s="229" t="inlineStr">
        <is>
          <t>IO</t>
        </is>
      </c>
      <c r="K118" s="229" t="n"/>
      <c r="L118" s="229" t="n"/>
      <c r="M118" s="229" t="n"/>
      <c r="N118" s="229" t="n"/>
      <c r="O118" s="229" t="n"/>
      <c r="P118" s="229" t="n"/>
      <c r="Q118" s="229" t="n"/>
      <c r="R118" s="229" t="inlineStr">
        <is>
          <t>NGN</t>
        </is>
      </c>
      <c r="S118" s="229" t="n"/>
      <c r="T118" s="229" t="n"/>
      <c r="U118" s="229" t="n"/>
      <c r="V118" s="229" t="n"/>
      <c r="W118" s="229" t="n"/>
      <c r="X118" s="229" t="n"/>
      <c r="Y118" s="229" t="n"/>
      <c r="Z118" s="229" t="n"/>
      <c r="AA118" s="229" t="n"/>
      <c r="AB118" s="229" t="n"/>
      <c r="AC118" s="229" t="n"/>
      <c r="AD118" s="229" t="n"/>
      <c r="AE118" s="229" t="n"/>
      <c r="AF118" s="229" t="n"/>
      <c r="AG118" s="229" t="n"/>
      <c r="AH118" s="229" t="n"/>
      <c r="AI118" s="229" t="n"/>
      <c r="AJ118" s="229" t="n"/>
    </row>
    <row r="119" customFormat="1" s="13">
      <c r="A119" s="11" t="inlineStr">
        <is>
          <t>#</t>
        </is>
      </c>
      <c r="B119" s="230" t="n"/>
      <c r="C119" s="229" t="n"/>
      <c r="D119" s="229" t="n"/>
      <c r="E119" s="229" t="n"/>
      <c r="F119" s="229" t="n"/>
      <c r="G119" s="229" t="n"/>
      <c r="H119" s="229" t="n"/>
      <c r="I119" s="229" t="n"/>
      <c r="J119" s="229" t="inlineStr">
        <is>
          <t>IQ</t>
        </is>
      </c>
      <c r="K119" s="229" t="n"/>
      <c r="L119" s="229" t="n"/>
      <c r="M119" s="229" t="n"/>
      <c r="N119" s="229" t="n"/>
      <c r="O119" s="229" t="n"/>
      <c r="P119" s="229" t="n"/>
      <c r="Q119" s="229" t="n"/>
      <c r="R119" s="229" t="inlineStr">
        <is>
          <t>NIO</t>
        </is>
      </c>
      <c r="S119" s="229" t="n"/>
      <c r="T119" s="229" t="n"/>
      <c r="U119" s="229" t="n"/>
      <c r="V119" s="229" t="n"/>
      <c r="W119" s="229" t="n"/>
      <c r="X119" s="229" t="n"/>
      <c r="Y119" s="229" t="n"/>
      <c r="Z119" s="229" t="n"/>
      <c r="AA119" s="229" t="n"/>
      <c r="AB119" s="229" t="n"/>
      <c r="AC119" s="229" t="n"/>
      <c r="AD119" s="229" t="n"/>
      <c r="AE119" s="229" t="n"/>
      <c r="AF119" s="229" t="n"/>
      <c r="AG119" s="229" t="n"/>
      <c r="AH119" s="229" t="n"/>
      <c r="AI119" s="229" t="n"/>
      <c r="AJ119" s="229" t="n"/>
    </row>
    <row r="120" customFormat="1" s="13">
      <c r="A120" s="11" t="inlineStr">
        <is>
          <t>#</t>
        </is>
      </c>
      <c r="B120" s="230" t="n"/>
      <c r="C120" s="229" t="n"/>
      <c r="D120" s="229" t="n"/>
      <c r="E120" s="229" t="n"/>
      <c r="F120" s="229" t="n"/>
      <c r="G120" s="229" t="n"/>
      <c r="H120" s="229" t="n"/>
      <c r="I120" s="229" t="n"/>
      <c r="J120" s="229" t="inlineStr">
        <is>
          <t>IR</t>
        </is>
      </c>
      <c r="K120" s="229" t="n"/>
      <c r="L120" s="229" t="n"/>
      <c r="M120" s="229" t="n"/>
      <c r="N120" s="229" t="n"/>
      <c r="O120" s="229" t="n"/>
      <c r="P120" s="229" t="n"/>
      <c r="Q120" s="229" t="n"/>
      <c r="R120" s="229" t="inlineStr">
        <is>
          <t>NOK</t>
        </is>
      </c>
      <c r="S120" s="229" t="n"/>
      <c r="T120" s="229" t="n"/>
      <c r="U120" s="229" t="n"/>
      <c r="V120" s="229" t="n"/>
      <c r="W120" s="229" t="n"/>
      <c r="X120" s="229" t="n"/>
      <c r="Y120" s="229" t="n"/>
      <c r="Z120" s="229" t="n"/>
      <c r="AA120" s="229" t="n"/>
      <c r="AB120" s="229" t="n"/>
      <c r="AC120" s="229" t="n"/>
      <c r="AD120" s="229" t="n"/>
      <c r="AE120" s="229" t="n"/>
      <c r="AF120" s="229" t="n"/>
      <c r="AG120" s="229" t="n"/>
      <c r="AH120" s="229" t="n"/>
      <c r="AI120" s="229" t="n"/>
      <c r="AJ120" s="229" t="n"/>
    </row>
    <row r="121" customFormat="1" s="13">
      <c r="A121" s="11" t="inlineStr">
        <is>
          <t>#</t>
        </is>
      </c>
      <c r="B121" s="230" t="n"/>
      <c r="C121" s="229" t="n"/>
      <c r="D121" s="229" t="n"/>
      <c r="E121" s="229" t="n"/>
      <c r="F121" s="229" t="n"/>
      <c r="G121" s="229" t="n"/>
      <c r="H121" s="229" t="n"/>
      <c r="I121" s="229" t="n"/>
      <c r="J121" s="229" t="inlineStr">
        <is>
          <t>IS</t>
        </is>
      </c>
      <c r="K121" s="229" t="n"/>
      <c r="L121" s="229" t="n"/>
      <c r="M121" s="229" t="n"/>
      <c r="N121" s="229" t="n"/>
      <c r="O121" s="229" t="n"/>
      <c r="P121" s="229" t="n"/>
      <c r="Q121" s="229" t="n"/>
      <c r="R121" s="229" t="inlineStr">
        <is>
          <t>NPR</t>
        </is>
      </c>
      <c r="S121" s="229" t="n"/>
      <c r="T121" s="229" t="n"/>
      <c r="U121" s="229" t="n"/>
      <c r="V121" s="229" t="n"/>
      <c r="W121" s="229" t="n"/>
      <c r="X121" s="229" t="n"/>
      <c r="Y121" s="229" t="n"/>
      <c r="Z121" s="229" t="n"/>
      <c r="AA121" s="229" t="n"/>
      <c r="AB121" s="229" t="n"/>
      <c r="AC121" s="229" t="n"/>
      <c r="AD121" s="229" t="n"/>
      <c r="AE121" s="229" t="n"/>
      <c r="AF121" s="229" t="n"/>
      <c r="AG121" s="229" t="n"/>
      <c r="AH121" s="229" t="n"/>
      <c r="AI121" s="229" t="n"/>
      <c r="AJ121" s="229" t="n"/>
    </row>
    <row r="122" customFormat="1" s="13">
      <c r="A122" s="11" t="inlineStr">
        <is>
          <t>#</t>
        </is>
      </c>
      <c r="B122" s="230" t="n"/>
      <c r="C122" s="229" t="n"/>
      <c r="D122" s="229" t="n"/>
      <c r="E122" s="229" t="n"/>
      <c r="F122" s="229" t="n"/>
      <c r="G122" s="229" t="n"/>
      <c r="H122" s="229" t="n"/>
      <c r="I122" s="229" t="n"/>
      <c r="J122" s="229" t="inlineStr">
        <is>
          <t>IT</t>
        </is>
      </c>
      <c r="K122" s="229" t="n"/>
      <c r="L122" s="229" t="n"/>
      <c r="M122" s="229" t="n"/>
      <c r="N122" s="229" t="n"/>
      <c r="O122" s="229" t="n"/>
      <c r="P122" s="229" t="n"/>
      <c r="Q122" s="229" t="n"/>
      <c r="R122" s="229" t="inlineStr">
        <is>
          <t>NZD</t>
        </is>
      </c>
      <c r="S122" s="229" t="n"/>
      <c r="T122" s="229" t="n"/>
      <c r="U122" s="229" t="n"/>
      <c r="V122" s="229" t="n"/>
      <c r="W122" s="229" t="n"/>
      <c r="X122" s="229" t="n"/>
      <c r="Y122" s="229" t="n"/>
      <c r="Z122" s="229" t="n"/>
      <c r="AA122" s="229" t="n"/>
      <c r="AB122" s="229" t="n"/>
      <c r="AC122" s="229" t="n"/>
      <c r="AD122" s="229" t="n"/>
      <c r="AE122" s="229" t="n"/>
      <c r="AF122" s="229" t="n"/>
      <c r="AG122" s="229" t="n"/>
      <c r="AH122" s="229" t="n"/>
      <c r="AI122" s="229" t="n"/>
      <c r="AJ122" s="229" t="n"/>
    </row>
    <row r="123" customFormat="1" s="13">
      <c r="A123" s="11" t="inlineStr">
        <is>
          <t>#</t>
        </is>
      </c>
      <c r="B123" s="230" t="n"/>
      <c r="C123" s="229" t="n"/>
      <c r="D123" s="229" t="n"/>
      <c r="E123" s="229" t="n"/>
      <c r="F123" s="229" t="n"/>
      <c r="G123" s="229" t="n"/>
      <c r="H123" s="229" t="n"/>
      <c r="I123" s="229" t="n"/>
      <c r="J123" s="229" t="inlineStr">
        <is>
          <t>JE</t>
        </is>
      </c>
      <c r="K123" s="229" t="n"/>
      <c r="L123" s="229" t="n"/>
      <c r="M123" s="229" t="n"/>
      <c r="N123" s="229" t="n"/>
      <c r="O123" s="229" t="n"/>
      <c r="P123" s="229" t="n"/>
      <c r="Q123" s="229" t="n"/>
      <c r="R123" s="229" t="inlineStr">
        <is>
          <t>OMR</t>
        </is>
      </c>
      <c r="S123" s="229" t="n"/>
      <c r="T123" s="229" t="n"/>
      <c r="U123" s="229" t="n"/>
      <c r="V123" s="229" t="n"/>
      <c r="W123" s="229" t="n"/>
      <c r="X123" s="229" t="n"/>
      <c r="Y123" s="229" t="n"/>
      <c r="Z123" s="229" t="n"/>
      <c r="AA123" s="229" t="n"/>
      <c r="AB123" s="229" t="n"/>
      <c r="AC123" s="229" t="n"/>
      <c r="AD123" s="229" t="n"/>
      <c r="AE123" s="229" t="n"/>
      <c r="AF123" s="229" t="n"/>
      <c r="AG123" s="229" t="n"/>
      <c r="AH123" s="229" t="n"/>
      <c r="AI123" s="229" t="n"/>
      <c r="AJ123" s="229" t="n"/>
    </row>
    <row r="124" customFormat="1" s="13">
      <c r="A124" s="11" t="inlineStr">
        <is>
          <t>#</t>
        </is>
      </c>
      <c r="B124" s="230" t="n"/>
      <c r="C124" s="229" t="n"/>
      <c r="D124" s="229" t="n"/>
      <c r="E124" s="229" t="n"/>
      <c r="F124" s="229" t="n"/>
      <c r="G124" s="229" t="n"/>
      <c r="H124" s="229" t="n"/>
      <c r="I124" s="229" t="n"/>
      <c r="J124" s="229" t="inlineStr">
        <is>
          <t>JM</t>
        </is>
      </c>
      <c r="K124" s="229" t="n"/>
      <c r="L124" s="229" t="n"/>
      <c r="M124" s="229" t="n"/>
      <c r="N124" s="229" t="n"/>
      <c r="O124" s="229" t="n"/>
      <c r="P124" s="229" t="n"/>
      <c r="Q124" s="229" t="n"/>
      <c r="R124" s="229" t="inlineStr">
        <is>
          <t>PAB</t>
        </is>
      </c>
      <c r="S124" s="229" t="n"/>
      <c r="T124" s="229" t="n"/>
      <c r="U124" s="229" t="n"/>
      <c r="V124" s="229" t="n"/>
      <c r="W124" s="229" t="n"/>
      <c r="X124" s="229" t="n"/>
      <c r="Y124" s="229" t="n"/>
      <c r="Z124" s="229" t="n"/>
      <c r="AA124" s="229" t="n"/>
      <c r="AB124" s="229" t="n"/>
      <c r="AC124" s="229" t="n"/>
      <c r="AD124" s="229" t="n"/>
      <c r="AE124" s="229" t="n"/>
      <c r="AF124" s="229" t="n"/>
      <c r="AG124" s="229" t="n"/>
      <c r="AH124" s="229" t="n"/>
      <c r="AI124" s="229" t="n"/>
      <c r="AJ124" s="229" t="n"/>
    </row>
    <row r="125" customFormat="1" s="13">
      <c r="A125" s="11" t="inlineStr">
        <is>
          <t>#</t>
        </is>
      </c>
      <c r="B125" s="230" t="n"/>
      <c r="C125" s="229" t="n"/>
      <c r="D125" s="229" t="n"/>
      <c r="E125" s="229" t="n"/>
      <c r="F125" s="229" t="n"/>
      <c r="G125" s="229" t="n"/>
      <c r="H125" s="229" t="n"/>
      <c r="I125" s="229" t="n"/>
      <c r="J125" s="229" t="inlineStr">
        <is>
          <t>JO</t>
        </is>
      </c>
      <c r="K125" s="229" t="n"/>
      <c r="L125" s="229" t="n"/>
      <c r="M125" s="229" t="n"/>
      <c r="N125" s="229" t="n"/>
      <c r="O125" s="229" t="n"/>
      <c r="P125" s="229" t="n"/>
      <c r="Q125" s="229" t="n"/>
      <c r="R125" s="229" t="inlineStr">
        <is>
          <t>PEN</t>
        </is>
      </c>
      <c r="S125" s="229" t="n"/>
      <c r="T125" s="229" t="n"/>
      <c r="U125" s="229" t="n"/>
      <c r="V125" s="229" t="n"/>
      <c r="W125" s="229" t="n"/>
      <c r="X125" s="229" t="n"/>
      <c r="Y125" s="229" t="n"/>
      <c r="Z125" s="229" t="n"/>
      <c r="AA125" s="229" t="n"/>
      <c r="AB125" s="229" t="n"/>
      <c r="AC125" s="229" t="n"/>
      <c r="AD125" s="229" t="n"/>
      <c r="AE125" s="229" t="n"/>
      <c r="AF125" s="229" t="n"/>
      <c r="AG125" s="229" t="n"/>
      <c r="AH125" s="229" t="n"/>
      <c r="AI125" s="229" t="n"/>
      <c r="AJ125" s="229" t="n"/>
    </row>
    <row r="126" customFormat="1" s="13">
      <c r="A126" s="11" t="inlineStr">
        <is>
          <t>#</t>
        </is>
      </c>
      <c r="B126" s="230" t="n"/>
      <c r="C126" s="229" t="n"/>
      <c r="D126" s="229" t="n"/>
      <c r="E126" s="229" t="n"/>
      <c r="F126" s="229" t="n"/>
      <c r="G126" s="229" t="n"/>
      <c r="H126" s="229" t="n"/>
      <c r="I126" s="229" t="n"/>
      <c r="J126" s="229" t="inlineStr">
        <is>
          <t>JP</t>
        </is>
      </c>
      <c r="K126" s="229" t="n"/>
      <c r="L126" s="229" t="n"/>
      <c r="M126" s="229" t="n"/>
      <c r="N126" s="229" t="n"/>
      <c r="O126" s="229" t="n"/>
      <c r="P126" s="229" t="n"/>
      <c r="Q126" s="229" t="n"/>
      <c r="R126" s="229" t="inlineStr">
        <is>
          <t>PGK</t>
        </is>
      </c>
      <c r="S126" s="229" t="n"/>
      <c r="T126" s="229" t="n"/>
      <c r="U126" s="229" t="n"/>
      <c r="V126" s="229" t="n"/>
      <c r="W126" s="229" t="n"/>
      <c r="X126" s="229" t="n"/>
      <c r="Y126" s="229" t="n"/>
      <c r="Z126" s="229" t="n"/>
      <c r="AA126" s="229" t="n"/>
      <c r="AB126" s="229" t="n"/>
      <c r="AC126" s="229" t="n"/>
      <c r="AD126" s="229" t="n"/>
      <c r="AE126" s="229" t="n"/>
      <c r="AF126" s="229" t="n"/>
      <c r="AG126" s="229" t="n"/>
      <c r="AH126" s="229" t="n"/>
      <c r="AI126" s="229" t="n"/>
      <c r="AJ126" s="229" t="n"/>
    </row>
    <row r="127" customFormat="1" s="13">
      <c r="A127" s="11" t="inlineStr">
        <is>
          <t>#</t>
        </is>
      </c>
      <c r="B127" s="230" t="n"/>
      <c r="C127" s="229" t="n"/>
      <c r="D127" s="229" t="n"/>
      <c r="E127" s="229" t="n"/>
      <c r="F127" s="229" t="n"/>
      <c r="G127" s="229" t="n"/>
      <c r="H127" s="229" t="n"/>
      <c r="I127" s="229" t="n"/>
      <c r="J127" s="229" t="inlineStr">
        <is>
          <t>KE</t>
        </is>
      </c>
      <c r="K127" s="229" t="n"/>
      <c r="L127" s="229" t="n"/>
      <c r="M127" s="229" t="n"/>
      <c r="N127" s="229" t="n"/>
      <c r="O127" s="229" t="n"/>
      <c r="P127" s="229" t="n"/>
      <c r="Q127" s="229" t="n"/>
      <c r="R127" s="229" t="inlineStr">
        <is>
          <t>PHP</t>
        </is>
      </c>
      <c r="S127" s="229" t="n"/>
      <c r="T127" s="229" t="n"/>
      <c r="U127" s="229" t="n"/>
      <c r="V127" s="229" t="n"/>
      <c r="W127" s="229" t="n"/>
      <c r="X127" s="229" t="n"/>
      <c r="Y127" s="229" t="n"/>
      <c r="Z127" s="229" t="n"/>
      <c r="AA127" s="229" t="n"/>
      <c r="AB127" s="229" t="n"/>
      <c r="AC127" s="229" t="n"/>
      <c r="AD127" s="229" t="n"/>
      <c r="AE127" s="229" t="n"/>
      <c r="AF127" s="229" t="n"/>
      <c r="AG127" s="229" t="n"/>
      <c r="AH127" s="229" t="n"/>
      <c r="AI127" s="229" t="n"/>
      <c r="AJ127" s="229" t="n"/>
    </row>
    <row r="128" customFormat="1" s="13">
      <c r="A128" s="11" t="inlineStr">
        <is>
          <t>#</t>
        </is>
      </c>
      <c r="B128" s="230" t="n"/>
      <c r="C128" s="229" t="n"/>
      <c r="D128" s="229" t="n"/>
      <c r="E128" s="229" t="n"/>
      <c r="F128" s="229" t="n"/>
      <c r="G128" s="229" t="n"/>
      <c r="H128" s="229" t="n"/>
      <c r="I128" s="229" t="n"/>
      <c r="J128" s="229" t="inlineStr">
        <is>
          <t>KG</t>
        </is>
      </c>
      <c r="K128" s="229" t="n"/>
      <c r="L128" s="229" t="n"/>
      <c r="M128" s="229" t="n"/>
      <c r="N128" s="229" t="n"/>
      <c r="O128" s="229" t="n"/>
      <c r="P128" s="229" t="n"/>
      <c r="Q128" s="229" t="n"/>
      <c r="R128" s="229" t="inlineStr">
        <is>
          <t>PKR</t>
        </is>
      </c>
      <c r="S128" s="229" t="n"/>
      <c r="T128" s="229" t="n"/>
      <c r="U128" s="229" t="n"/>
      <c r="V128" s="229" t="n"/>
      <c r="W128" s="229" t="n"/>
      <c r="X128" s="229" t="n"/>
      <c r="Y128" s="229" t="n"/>
      <c r="Z128" s="229" t="n"/>
      <c r="AA128" s="229" t="n"/>
      <c r="AB128" s="229" t="n"/>
      <c r="AC128" s="229" t="n"/>
      <c r="AD128" s="229" t="n"/>
      <c r="AE128" s="229" t="n"/>
      <c r="AF128" s="229" t="n"/>
      <c r="AG128" s="229" t="n"/>
      <c r="AH128" s="229" t="n"/>
      <c r="AI128" s="229" t="n"/>
      <c r="AJ128" s="229" t="n"/>
    </row>
    <row r="129" customFormat="1" s="13">
      <c r="A129" s="11" t="inlineStr">
        <is>
          <t>#</t>
        </is>
      </c>
      <c r="B129" s="230" t="n"/>
      <c r="C129" s="229" t="n"/>
      <c r="D129" s="229" t="n"/>
      <c r="E129" s="229" t="n"/>
      <c r="F129" s="229" t="n"/>
      <c r="G129" s="229" t="n"/>
      <c r="H129" s="229" t="n"/>
      <c r="I129" s="229" t="n"/>
      <c r="J129" s="229" t="inlineStr">
        <is>
          <t>KH</t>
        </is>
      </c>
      <c r="K129" s="229" t="n"/>
      <c r="L129" s="229" t="n"/>
      <c r="M129" s="229" t="n"/>
      <c r="N129" s="229" t="n"/>
      <c r="O129" s="229" t="n"/>
      <c r="P129" s="229" t="n"/>
      <c r="Q129" s="229" t="n"/>
      <c r="R129" s="229" t="inlineStr">
        <is>
          <t>PLN</t>
        </is>
      </c>
      <c r="S129" s="229" t="n"/>
      <c r="T129" s="229" t="n"/>
      <c r="U129" s="229" t="n"/>
      <c r="V129" s="229" t="n"/>
      <c r="W129" s="229" t="n"/>
      <c r="X129" s="229" t="n"/>
      <c r="Y129" s="229" t="n"/>
      <c r="Z129" s="229" t="n"/>
      <c r="AA129" s="229" t="n"/>
      <c r="AB129" s="229" t="n"/>
      <c r="AC129" s="229" t="n"/>
      <c r="AD129" s="229" t="n"/>
      <c r="AE129" s="229" t="n"/>
      <c r="AF129" s="229" t="n"/>
      <c r="AG129" s="229" t="n"/>
      <c r="AH129" s="229" t="n"/>
      <c r="AI129" s="229" t="n"/>
      <c r="AJ129" s="229" t="n"/>
    </row>
    <row r="130" customFormat="1" s="13">
      <c r="A130" s="11" t="inlineStr">
        <is>
          <t>#</t>
        </is>
      </c>
      <c r="B130" s="230" t="n"/>
      <c r="C130" s="229" t="n"/>
      <c r="D130" s="229" t="n"/>
      <c r="E130" s="229" t="n"/>
      <c r="F130" s="229" t="n"/>
      <c r="G130" s="229" t="n"/>
      <c r="H130" s="229" t="n"/>
      <c r="I130" s="229" t="n"/>
      <c r="J130" s="229" t="inlineStr">
        <is>
          <t>KI</t>
        </is>
      </c>
      <c r="K130" s="229" t="n"/>
      <c r="L130" s="229" t="n"/>
      <c r="M130" s="229" t="n"/>
      <c r="N130" s="229" t="n"/>
      <c r="O130" s="229" t="n"/>
      <c r="P130" s="229" t="n"/>
      <c r="Q130" s="229" t="n"/>
      <c r="R130" s="229" t="inlineStr">
        <is>
          <t>PYG</t>
        </is>
      </c>
      <c r="S130" s="229" t="n"/>
      <c r="T130" s="229" t="n"/>
      <c r="U130" s="229" t="n"/>
      <c r="V130" s="229" t="n"/>
      <c r="W130" s="229" t="n"/>
      <c r="X130" s="229" t="n"/>
      <c r="Y130" s="229" t="n"/>
      <c r="Z130" s="229" t="n"/>
      <c r="AA130" s="229" t="n"/>
      <c r="AB130" s="229" t="n"/>
      <c r="AC130" s="229" t="n"/>
      <c r="AD130" s="229" t="n"/>
      <c r="AE130" s="229" t="n"/>
      <c r="AF130" s="229" t="n"/>
      <c r="AG130" s="229" t="n"/>
      <c r="AH130" s="229" t="n"/>
      <c r="AI130" s="229" t="n"/>
      <c r="AJ130" s="229" t="n"/>
    </row>
    <row r="131" customFormat="1" s="13">
      <c r="A131" s="11" t="inlineStr">
        <is>
          <t>#</t>
        </is>
      </c>
      <c r="B131" s="230" t="n"/>
      <c r="C131" s="229" t="n"/>
      <c r="D131" s="229" t="n"/>
      <c r="E131" s="229" t="n"/>
      <c r="F131" s="229" t="n"/>
      <c r="G131" s="229" t="n"/>
      <c r="H131" s="229" t="n"/>
      <c r="I131" s="229" t="n"/>
      <c r="J131" s="229" t="inlineStr">
        <is>
          <t>KM</t>
        </is>
      </c>
      <c r="K131" s="229" t="n"/>
      <c r="L131" s="229" t="n"/>
      <c r="M131" s="229" t="n"/>
      <c r="N131" s="229" t="n"/>
      <c r="O131" s="229" t="n"/>
      <c r="P131" s="229" t="n"/>
      <c r="Q131" s="229" t="n"/>
      <c r="R131" s="229" t="inlineStr">
        <is>
          <t>QAR</t>
        </is>
      </c>
      <c r="S131" s="229" t="n"/>
      <c r="T131" s="229" t="n"/>
      <c r="U131" s="229" t="n"/>
      <c r="V131" s="229" t="n"/>
      <c r="W131" s="229" t="n"/>
      <c r="X131" s="229" t="n"/>
      <c r="Y131" s="229" t="n"/>
      <c r="Z131" s="229" t="n"/>
      <c r="AA131" s="229" t="n"/>
      <c r="AB131" s="229" t="n"/>
      <c r="AC131" s="229" t="n"/>
      <c r="AD131" s="229" t="n"/>
      <c r="AE131" s="229" t="n"/>
      <c r="AF131" s="229" t="n"/>
      <c r="AG131" s="229" t="n"/>
      <c r="AH131" s="229" t="n"/>
      <c r="AI131" s="229" t="n"/>
      <c r="AJ131" s="229" t="n"/>
    </row>
    <row r="132" customFormat="1" s="13">
      <c r="A132" s="11" t="inlineStr">
        <is>
          <t>#</t>
        </is>
      </c>
      <c r="B132" s="230" t="n"/>
      <c r="C132" s="229" t="n"/>
      <c r="D132" s="229" t="n"/>
      <c r="E132" s="229" t="n"/>
      <c r="F132" s="229" t="n"/>
      <c r="G132" s="229" t="n"/>
      <c r="H132" s="229" t="n"/>
      <c r="I132" s="229" t="n"/>
      <c r="J132" s="229" t="inlineStr">
        <is>
          <t>KN</t>
        </is>
      </c>
      <c r="K132" s="229" t="n"/>
      <c r="L132" s="229" t="n"/>
      <c r="M132" s="229" t="n"/>
      <c r="N132" s="229" t="n"/>
      <c r="O132" s="229" t="n"/>
      <c r="P132" s="229" t="n"/>
      <c r="Q132" s="229" t="n"/>
      <c r="R132" s="229" t="inlineStr">
        <is>
          <t>RON</t>
        </is>
      </c>
      <c r="S132" s="229" t="n"/>
      <c r="T132" s="229" t="n"/>
      <c r="U132" s="229" t="n"/>
      <c r="V132" s="229" t="n"/>
      <c r="W132" s="229" t="n"/>
      <c r="X132" s="229" t="n"/>
      <c r="Y132" s="229" t="n"/>
      <c r="Z132" s="229" t="n"/>
      <c r="AA132" s="229" t="n"/>
      <c r="AB132" s="229" t="n"/>
      <c r="AC132" s="229" t="n"/>
      <c r="AD132" s="229" t="n"/>
      <c r="AE132" s="229" t="n"/>
      <c r="AF132" s="229" t="n"/>
      <c r="AG132" s="229" t="n"/>
      <c r="AH132" s="229" t="n"/>
      <c r="AI132" s="229" t="n"/>
      <c r="AJ132" s="229" t="n"/>
    </row>
    <row r="133" customFormat="1" s="13">
      <c r="A133" s="11" t="inlineStr">
        <is>
          <t>#</t>
        </is>
      </c>
      <c r="B133" s="230" t="n"/>
      <c r="C133" s="229" t="n"/>
      <c r="D133" s="229" t="n"/>
      <c r="E133" s="229" t="n"/>
      <c r="F133" s="229" t="n"/>
      <c r="G133" s="229" t="n"/>
      <c r="H133" s="229" t="n"/>
      <c r="I133" s="229" t="n"/>
      <c r="J133" s="229" t="inlineStr">
        <is>
          <t>KP</t>
        </is>
      </c>
      <c r="K133" s="229" t="n"/>
      <c r="L133" s="229" t="n"/>
      <c r="M133" s="229" t="n"/>
      <c r="N133" s="229" t="n"/>
      <c r="O133" s="229" t="n"/>
      <c r="P133" s="229" t="n"/>
      <c r="Q133" s="229" t="n"/>
      <c r="R133" s="229" t="inlineStr">
        <is>
          <t>RSD</t>
        </is>
      </c>
      <c r="S133" s="229" t="n"/>
      <c r="T133" s="229" t="n"/>
      <c r="U133" s="229" t="n"/>
      <c r="V133" s="229" t="n"/>
      <c r="W133" s="229" t="n"/>
      <c r="X133" s="229" t="n"/>
      <c r="Y133" s="229" t="n"/>
      <c r="Z133" s="229" t="n"/>
      <c r="AA133" s="229" t="n"/>
      <c r="AB133" s="229" t="n"/>
      <c r="AC133" s="229" t="n"/>
      <c r="AD133" s="229" t="n"/>
      <c r="AE133" s="229" t="n"/>
      <c r="AF133" s="229" t="n"/>
      <c r="AG133" s="229" t="n"/>
      <c r="AH133" s="229" t="n"/>
      <c r="AI133" s="229" t="n"/>
      <c r="AJ133" s="229" t="n"/>
    </row>
    <row r="134" customFormat="1" s="13">
      <c r="A134" s="11" t="inlineStr">
        <is>
          <t>#</t>
        </is>
      </c>
      <c r="B134" s="230" t="n"/>
      <c r="C134" s="229" t="n"/>
      <c r="D134" s="229" t="n"/>
      <c r="E134" s="229" t="n"/>
      <c r="F134" s="229" t="n"/>
      <c r="G134" s="229" t="n"/>
      <c r="H134" s="229" t="n"/>
      <c r="I134" s="229" t="n"/>
      <c r="J134" s="229" t="inlineStr">
        <is>
          <t>KR</t>
        </is>
      </c>
      <c r="K134" s="229" t="n"/>
      <c r="L134" s="229" t="n"/>
      <c r="M134" s="229" t="n"/>
      <c r="N134" s="229" t="n"/>
      <c r="O134" s="229" t="n"/>
      <c r="P134" s="229" t="n"/>
      <c r="Q134" s="229" t="n"/>
      <c r="R134" s="229" t="inlineStr">
        <is>
          <t>RUB</t>
        </is>
      </c>
      <c r="S134" s="229" t="n"/>
      <c r="T134" s="229" t="n"/>
      <c r="U134" s="229" t="n"/>
      <c r="V134" s="229" t="n"/>
      <c r="W134" s="229" t="n"/>
      <c r="X134" s="229" t="n"/>
      <c r="Y134" s="229" t="n"/>
      <c r="Z134" s="229" t="n"/>
      <c r="AA134" s="229" t="n"/>
      <c r="AB134" s="229" t="n"/>
      <c r="AC134" s="229" t="n"/>
      <c r="AD134" s="229" t="n"/>
      <c r="AE134" s="229" t="n"/>
      <c r="AF134" s="229" t="n"/>
      <c r="AG134" s="229" t="n"/>
      <c r="AH134" s="229" t="n"/>
      <c r="AI134" s="229" t="n"/>
      <c r="AJ134" s="229" t="n"/>
    </row>
    <row r="135" customFormat="1" s="13">
      <c r="A135" s="11" t="inlineStr">
        <is>
          <t>#</t>
        </is>
      </c>
      <c r="B135" s="230" t="n"/>
      <c r="C135" s="229" t="n"/>
      <c r="D135" s="229" t="n"/>
      <c r="E135" s="229" t="n"/>
      <c r="F135" s="229" t="n"/>
      <c r="G135" s="229" t="n"/>
      <c r="H135" s="229" t="n"/>
      <c r="I135" s="229" t="n"/>
      <c r="J135" s="229" t="inlineStr">
        <is>
          <t>KW</t>
        </is>
      </c>
      <c r="K135" s="229" t="n"/>
      <c r="L135" s="229" t="n"/>
      <c r="M135" s="229" t="n"/>
      <c r="N135" s="229" t="n"/>
      <c r="O135" s="229" t="n"/>
      <c r="P135" s="229" t="n"/>
      <c r="Q135" s="229" t="n"/>
      <c r="R135" s="229" t="inlineStr">
        <is>
          <t>RWF</t>
        </is>
      </c>
      <c r="S135" s="229" t="n"/>
      <c r="T135" s="229" t="n"/>
      <c r="U135" s="229" t="n"/>
      <c r="V135" s="229" t="n"/>
      <c r="W135" s="229" t="n"/>
      <c r="X135" s="229" t="n"/>
      <c r="Y135" s="229" t="n"/>
      <c r="Z135" s="229" t="n"/>
      <c r="AA135" s="229" t="n"/>
      <c r="AB135" s="229" t="n"/>
      <c r="AC135" s="229" t="n"/>
      <c r="AD135" s="229" t="n"/>
      <c r="AE135" s="229" t="n"/>
      <c r="AF135" s="229" t="n"/>
      <c r="AG135" s="229" t="n"/>
      <c r="AH135" s="229" t="n"/>
      <c r="AI135" s="229" t="n"/>
      <c r="AJ135" s="229" t="n"/>
    </row>
    <row r="136" customFormat="1" s="13">
      <c r="A136" s="11" t="inlineStr">
        <is>
          <t>#</t>
        </is>
      </c>
      <c r="B136" s="230" t="n"/>
      <c r="C136" s="229" t="n"/>
      <c r="D136" s="229" t="n"/>
      <c r="E136" s="229" t="n"/>
      <c r="F136" s="229" t="n"/>
      <c r="G136" s="229" t="n"/>
      <c r="H136" s="229" t="n"/>
      <c r="I136" s="229" t="n"/>
      <c r="J136" s="229" t="inlineStr">
        <is>
          <t>KY</t>
        </is>
      </c>
      <c r="K136" s="229" t="n"/>
      <c r="L136" s="229" t="n"/>
      <c r="M136" s="229" t="n"/>
      <c r="N136" s="229" t="n"/>
      <c r="O136" s="229" t="n"/>
      <c r="P136" s="229" t="n"/>
      <c r="Q136" s="229" t="n"/>
      <c r="R136" s="229" t="inlineStr">
        <is>
          <t>SAR</t>
        </is>
      </c>
      <c r="S136" s="229" t="n"/>
      <c r="T136" s="229" t="n"/>
      <c r="U136" s="229" t="n"/>
      <c r="V136" s="229" t="n"/>
      <c r="W136" s="229" t="n"/>
      <c r="X136" s="229" t="n"/>
      <c r="Y136" s="229" t="n"/>
      <c r="Z136" s="229" t="n"/>
      <c r="AA136" s="229" t="n"/>
      <c r="AB136" s="229" t="n"/>
      <c r="AC136" s="229" t="n"/>
      <c r="AD136" s="229" t="n"/>
      <c r="AE136" s="229" t="n"/>
      <c r="AF136" s="229" t="n"/>
      <c r="AG136" s="229" t="n"/>
      <c r="AH136" s="229" t="n"/>
      <c r="AI136" s="229" t="n"/>
      <c r="AJ136" s="229" t="n"/>
    </row>
    <row r="137" customFormat="1" s="13">
      <c r="A137" s="11" t="inlineStr">
        <is>
          <t>#</t>
        </is>
      </c>
      <c r="B137" s="230" t="n"/>
      <c r="C137" s="229" t="n"/>
      <c r="D137" s="229" t="n"/>
      <c r="E137" s="229" t="n"/>
      <c r="F137" s="229" t="n"/>
      <c r="G137" s="229" t="n"/>
      <c r="H137" s="229" t="n"/>
      <c r="I137" s="229" t="n"/>
      <c r="J137" s="229" t="inlineStr">
        <is>
          <t>KZ</t>
        </is>
      </c>
      <c r="K137" s="229" t="n"/>
      <c r="L137" s="229" t="n"/>
      <c r="M137" s="229" t="n"/>
      <c r="N137" s="229" t="n"/>
      <c r="O137" s="229" t="n"/>
      <c r="P137" s="229" t="n"/>
      <c r="Q137" s="229" t="n"/>
      <c r="R137" s="229" t="inlineStr">
        <is>
          <t>SBD</t>
        </is>
      </c>
      <c r="S137" s="229" t="n"/>
      <c r="T137" s="229" t="n"/>
      <c r="U137" s="229" t="n"/>
      <c r="V137" s="229" t="n"/>
      <c r="W137" s="229" t="n"/>
      <c r="X137" s="229" t="n"/>
      <c r="Y137" s="229" t="n"/>
      <c r="Z137" s="229" t="n"/>
      <c r="AA137" s="229" t="n"/>
      <c r="AB137" s="229" t="n"/>
      <c r="AC137" s="229" t="n"/>
      <c r="AD137" s="229" t="n"/>
      <c r="AE137" s="229" t="n"/>
      <c r="AF137" s="229" t="n"/>
      <c r="AG137" s="229" t="n"/>
      <c r="AH137" s="229" t="n"/>
      <c r="AI137" s="229" t="n"/>
      <c r="AJ137" s="229" t="n"/>
    </row>
    <row r="138" customFormat="1" s="13">
      <c r="A138" s="11" t="inlineStr">
        <is>
          <t>#</t>
        </is>
      </c>
      <c r="B138" s="230" t="n"/>
      <c r="C138" s="229" t="n"/>
      <c r="D138" s="229" t="n"/>
      <c r="E138" s="229" t="n"/>
      <c r="F138" s="229" t="n"/>
      <c r="G138" s="229" t="n"/>
      <c r="H138" s="229" t="n"/>
      <c r="I138" s="229" t="n"/>
      <c r="J138" s="229" t="inlineStr">
        <is>
          <t>LA</t>
        </is>
      </c>
      <c r="K138" s="229" t="n"/>
      <c r="L138" s="229" t="n"/>
      <c r="M138" s="229" t="n"/>
      <c r="N138" s="229" t="n"/>
      <c r="O138" s="229" t="n"/>
      <c r="P138" s="229" t="n"/>
      <c r="Q138" s="229" t="n"/>
      <c r="R138" s="229" t="inlineStr">
        <is>
          <t>SCR</t>
        </is>
      </c>
      <c r="S138" s="229" t="n"/>
      <c r="T138" s="229" t="n"/>
      <c r="U138" s="229" t="n"/>
      <c r="V138" s="229" t="n"/>
      <c r="W138" s="229" t="n"/>
      <c r="X138" s="229" t="n"/>
      <c r="Y138" s="229" t="n"/>
      <c r="Z138" s="229" t="n"/>
      <c r="AA138" s="229" t="n"/>
      <c r="AB138" s="229" t="n"/>
      <c r="AC138" s="229" t="n"/>
      <c r="AD138" s="229" t="n"/>
      <c r="AE138" s="229" t="n"/>
      <c r="AF138" s="229" t="n"/>
      <c r="AG138" s="229" t="n"/>
      <c r="AH138" s="229" t="n"/>
      <c r="AI138" s="229" t="n"/>
      <c r="AJ138" s="229" t="n"/>
    </row>
    <row r="139" customFormat="1" s="13">
      <c r="A139" s="11" t="inlineStr">
        <is>
          <t>#</t>
        </is>
      </c>
      <c r="B139" s="230" t="n"/>
      <c r="C139" s="229" t="n"/>
      <c r="D139" s="229" t="n"/>
      <c r="E139" s="229" t="n"/>
      <c r="F139" s="229" t="n"/>
      <c r="G139" s="229" t="n"/>
      <c r="H139" s="229" t="n"/>
      <c r="I139" s="229" t="n"/>
      <c r="J139" s="229" t="inlineStr">
        <is>
          <t>LB</t>
        </is>
      </c>
      <c r="K139" s="229" t="n"/>
      <c r="L139" s="229" t="n"/>
      <c r="M139" s="229" t="n"/>
      <c r="N139" s="229" t="n"/>
      <c r="O139" s="229" t="n"/>
      <c r="P139" s="229" t="n"/>
      <c r="Q139" s="229" t="n"/>
      <c r="R139" s="229" t="inlineStr">
        <is>
          <t>SDG</t>
        </is>
      </c>
      <c r="S139" s="229" t="n"/>
      <c r="T139" s="229" t="n"/>
      <c r="U139" s="229" t="n"/>
      <c r="V139" s="229" t="n"/>
      <c r="W139" s="229" t="n"/>
      <c r="X139" s="229" t="n"/>
      <c r="Y139" s="229" t="n"/>
      <c r="Z139" s="229" t="n"/>
      <c r="AA139" s="229" t="n"/>
      <c r="AB139" s="229" t="n"/>
      <c r="AC139" s="229" t="n"/>
      <c r="AD139" s="229" t="n"/>
      <c r="AE139" s="229" t="n"/>
      <c r="AF139" s="229" t="n"/>
      <c r="AG139" s="229" t="n"/>
      <c r="AH139" s="229" t="n"/>
      <c r="AI139" s="229" t="n"/>
      <c r="AJ139" s="229" t="n"/>
    </row>
    <row r="140" customFormat="1" s="13">
      <c r="A140" s="11" t="inlineStr">
        <is>
          <t>#</t>
        </is>
      </c>
      <c r="B140" s="230" t="n"/>
      <c r="C140" s="229" t="n"/>
      <c r="D140" s="229" t="n"/>
      <c r="E140" s="229" t="n"/>
      <c r="F140" s="229" t="n"/>
      <c r="G140" s="229" t="n"/>
      <c r="H140" s="229" t="n"/>
      <c r="I140" s="229" t="n"/>
      <c r="J140" s="229" t="inlineStr">
        <is>
          <t>LC</t>
        </is>
      </c>
      <c r="K140" s="229" t="n"/>
      <c r="L140" s="229" t="n"/>
      <c r="M140" s="229" t="n"/>
      <c r="N140" s="229" t="n"/>
      <c r="O140" s="229" t="n"/>
      <c r="P140" s="229" t="n"/>
      <c r="Q140" s="229" t="n"/>
      <c r="R140" s="229" t="inlineStr">
        <is>
          <t>SEK</t>
        </is>
      </c>
      <c r="S140" s="229" t="n"/>
      <c r="T140" s="229" t="n"/>
      <c r="U140" s="229" t="n"/>
      <c r="V140" s="229" t="n"/>
      <c r="W140" s="229" t="n"/>
      <c r="X140" s="229" t="n"/>
      <c r="Y140" s="229" t="n"/>
      <c r="Z140" s="229" t="n"/>
      <c r="AA140" s="229" t="n"/>
      <c r="AB140" s="229" t="n"/>
      <c r="AC140" s="229" t="n"/>
      <c r="AD140" s="229" t="n"/>
      <c r="AE140" s="229" t="n"/>
      <c r="AF140" s="229" t="n"/>
      <c r="AG140" s="229" t="n"/>
      <c r="AH140" s="229" t="n"/>
      <c r="AI140" s="229" t="n"/>
      <c r="AJ140" s="229" t="n"/>
    </row>
    <row r="141" customFormat="1" s="13">
      <c r="A141" s="11" t="inlineStr">
        <is>
          <t>#</t>
        </is>
      </c>
      <c r="B141" s="230" t="n"/>
      <c r="C141" s="229" t="n"/>
      <c r="D141" s="229" t="n"/>
      <c r="E141" s="229" t="n"/>
      <c r="F141" s="229" t="n"/>
      <c r="G141" s="229" t="n"/>
      <c r="H141" s="229" t="n"/>
      <c r="I141" s="229" t="n"/>
      <c r="J141" s="229" t="inlineStr">
        <is>
          <t>LI</t>
        </is>
      </c>
      <c r="K141" s="229" t="n"/>
      <c r="L141" s="229" t="n"/>
      <c r="M141" s="229" t="n"/>
      <c r="N141" s="229" t="n"/>
      <c r="O141" s="229" t="n"/>
      <c r="P141" s="229" t="n"/>
      <c r="Q141" s="229" t="n"/>
      <c r="R141" s="229" t="inlineStr">
        <is>
          <t>SGD</t>
        </is>
      </c>
      <c r="S141" s="229" t="n"/>
      <c r="T141" s="229" t="n"/>
      <c r="U141" s="229" t="n"/>
      <c r="V141" s="229" t="n"/>
      <c r="W141" s="229" t="n"/>
      <c r="X141" s="229" t="n"/>
      <c r="Y141" s="229" t="n"/>
      <c r="Z141" s="229" t="n"/>
      <c r="AA141" s="229" t="n"/>
      <c r="AB141" s="229" t="n"/>
      <c r="AC141" s="229" t="n"/>
      <c r="AD141" s="229" t="n"/>
      <c r="AE141" s="229" t="n"/>
      <c r="AF141" s="229" t="n"/>
      <c r="AG141" s="229" t="n"/>
      <c r="AH141" s="229" t="n"/>
      <c r="AI141" s="229" t="n"/>
      <c r="AJ141" s="229" t="n"/>
    </row>
    <row r="142" customFormat="1" s="13">
      <c r="A142" s="11" t="inlineStr">
        <is>
          <t>#</t>
        </is>
      </c>
      <c r="B142" s="230" t="n"/>
      <c r="C142" s="229" t="n"/>
      <c r="D142" s="229" t="n"/>
      <c r="E142" s="229" t="n"/>
      <c r="F142" s="229" t="n"/>
      <c r="G142" s="229" t="n"/>
      <c r="H142" s="229" t="n"/>
      <c r="I142" s="229" t="n"/>
      <c r="J142" s="229" t="inlineStr">
        <is>
          <t>LK</t>
        </is>
      </c>
      <c r="K142" s="229" t="n"/>
      <c r="L142" s="229" t="n"/>
      <c r="M142" s="229" t="n"/>
      <c r="N142" s="229" t="n"/>
      <c r="O142" s="229" t="n"/>
      <c r="P142" s="229" t="n"/>
      <c r="Q142" s="229" t="n"/>
      <c r="R142" s="229" t="inlineStr">
        <is>
          <t>SHP</t>
        </is>
      </c>
      <c r="S142" s="229" t="n"/>
      <c r="T142" s="229" t="n"/>
      <c r="U142" s="229" t="n"/>
      <c r="V142" s="229" t="n"/>
      <c r="W142" s="229" t="n"/>
      <c r="X142" s="229" t="n"/>
      <c r="Y142" s="229" t="n"/>
      <c r="Z142" s="229" t="n"/>
      <c r="AA142" s="229" t="n"/>
      <c r="AB142" s="229" t="n"/>
      <c r="AC142" s="229" t="n"/>
      <c r="AD142" s="229" t="n"/>
      <c r="AE142" s="229" t="n"/>
      <c r="AF142" s="229" t="n"/>
      <c r="AG142" s="229" t="n"/>
      <c r="AH142" s="229" t="n"/>
      <c r="AI142" s="229" t="n"/>
      <c r="AJ142" s="229" t="n"/>
    </row>
    <row r="143" customFormat="1" s="13">
      <c r="A143" s="11" t="inlineStr">
        <is>
          <t>#</t>
        </is>
      </c>
      <c r="B143" s="230" t="n"/>
      <c r="C143" s="229" t="n"/>
      <c r="D143" s="229" t="n"/>
      <c r="E143" s="229" t="n"/>
      <c r="F143" s="229" t="n"/>
      <c r="G143" s="229" t="n"/>
      <c r="H143" s="229" t="n"/>
      <c r="I143" s="229" t="n"/>
      <c r="J143" s="229" t="inlineStr">
        <is>
          <t>LR</t>
        </is>
      </c>
      <c r="K143" s="229" t="n"/>
      <c r="L143" s="229" t="n"/>
      <c r="M143" s="229" t="n"/>
      <c r="N143" s="229" t="n"/>
      <c r="O143" s="229" t="n"/>
      <c r="P143" s="229" t="n"/>
      <c r="Q143" s="229" t="n"/>
      <c r="R143" s="229" t="inlineStr">
        <is>
          <t>SLL</t>
        </is>
      </c>
      <c r="S143" s="229" t="n"/>
      <c r="T143" s="229" t="n"/>
      <c r="U143" s="229" t="n"/>
      <c r="V143" s="229" t="n"/>
      <c r="W143" s="229" t="n"/>
      <c r="X143" s="229" t="n"/>
      <c r="Y143" s="229" t="n"/>
      <c r="Z143" s="229" t="n"/>
      <c r="AA143" s="229" t="n"/>
      <c r="AB143" s="229" t="n"/>
      <c r="AC143" s="229" t="n"/>
      <c r="AD143" s="229" t="n"/>
      <c r="AE143" s="229" t="n"/>
      <c r="AF143" s="229" t="n"/>
      <c r="AG143" s="229" t="n"/>
      <c r="AH143" s="229" t="n"/>
      <c r="AI143" s="229" t="n"/>
      <c r="AJ143" s="229" t="n"/>
    </row>
    <row r="144" customFormat="1" s="13">
      <c r="A144" s="11" t="inlineStr">
        <is>
          <t>#</t>
        </is>
      </c>
      <c r="B144" s="230" t="n"/>
      <c r="C144" s="229" t="n"/>
      <c r="D144" s="229" t="n"/>
      <c r="E144" s="229" t="n"/>
      <c r="F144" s="229" t="n"/>
      <c r="G144" s="229" t="n"/>
      <c r="H144" s="229" t="n"/>
      <c r="I144" s="229" t="n"/>
      <c r="J144" s="229" t="inlineStr">
        <is>
          <t>LS</t>
        </is>
      </c>
      <c r="K144" s="229" t="n"/>
      <c r="L144" s="229" t="n"/>
      <c r="M144" s="229" t="n"/>
      <c r="N144" s="229" t="n"/>
      <c r="O144" s="229" t="n"/>
      <c r="P144" s="229" t="n"/>
      <c r="Q144" s="229" t="n"/>
      <c r="R144" s="229" t="inlineStr">
        <is>
          <t>SOS</t>
        </is>
      </c>
      <c r="S144" s="229" t="n"/>
      <c r="T144" s="229" t="n"/>
      <c r="U144" s="229" t="n"/>
      <c r="V144" s="229" t="n"/>
      <c r="W144" s="229" t="n"/>
      <c r="X144" s="229" t="n"/>
      <c r="Y144" s="229" t="n"/>
      <c r="Z144" s="229" t="n"/>
      <c r="AA144" s="229" t="n"/>
      <c r="AB144" s="229" t="n"/>
      <c r="AC144" s="229" t="n"/>
      <c r="AD144" s="229" t="n"/>
      <c r="AE144" s="229" t="n"/>
      <c r="AF144" s="229" t="n"/>
      <c r="AG144" s="229" t="n"/>
      <c r="AH144" s="229" t="n"/>
      <c r="AI144" s="229" t="n"/>
      <c r="AJ144" s="229" t="n"/>
    </row>
    <row r="145" customFormat="1" s="13">
      <c r="A145" s="11" t="inlineStr">
        <is>
          <t>#</t>
        </is>
      </c>
      <c r="B145" s="230" t="n"/>
      <c r="C145" s="229" t="n"/>
      <c r="D145" s="229" t="n"/>
      <c r="E145" s="229" t="n"/>
      <c r="F145" s="229" t="n"/>
      <c r="G145" s="229" t="n"/>
      <c r="H145" s="229" t="n"/>
      <c r="I145" s="229" t="n"/>
      <c r="J145" s="229" t="inlineStr">
        <is>
          <t>LT</t>
        </is>
      </c>
      <c r="K145" s="229" t="n"/>
      <c r="L145" s="229" t="n"/>
      <c r="M145" s="229" t="n"/>
      <c r="N145" s="229" t="n"/>
      <c r="O145" s="229" t="n"/>
      <c r="P145" s="229" t="n"/>
      <c r="Q145" s="229" t="n"/>
      <c r="R145" s="229" t="inlineStr">
        <is>
          <t>SRD</t>
        </is>
      </c>
      <c r="S145" s="229" t="n"/>
      <c r="T145" s="229" t="n"/>
      <c r="U145" s="229" t="n"/>
      <c r="V145" s="229" t="n"/>
      <c r="W145" s="229" t="n"/>
      <c r="X145" s="229" t="n"/>
      <c r="Y145" s="229" t="n"/>
      <c r="Z145" s="229" t="n"/>
      <c r="AA145" s="229" t="n"/>
      <c r="AB145" s="229" t="n"/>
      <c r="AC145" s="229" t="n"/>
      <c r="AD145" s="229" t="n"/>
      <c r="AE145" s="229" t="n"/>
      <c r="AF145" s="229" t="n"/>
      <c r="AG145" s="229" t="n"/>
      <c r="AH145" s="229" t="n"/>
      <c r="AI145" s="229" t="n"/>
      <c r="AJ145" s="229" t="n"/>
    </row>
    <row r="146" customFormat="1" s="13">
      <c r="A146" s="11" t="inlineStr">
        <is>
          <t>#</t>
        </is>
      </c>
      <c r="B146" s="230" t="n"/>
      <c r="C146" s="229" t="n"/>
      <c r="D146" s="229" t="n"/>
      <c r="E146" s="229" t="n"/>
      <c r="F146" s="229" t="n"/>
      <c r="G146" s="229" t="n"/>
      <c r="H146" s="229" t="n"/>
      <c r="I146" s="229" t="n"/>
      <c r="J146" s="229" t="inlineStr">
        <is>
          <t>LU</t>
        </is>
      </c>
      <c r="K146" s="229" t="n"/>
      <c r="L146" s="229" t="n"/>
      <c r="M146" s="229" t="n"/>
      <c r="N146" s="229" t="n"/>
      <c r="O146" s="229" t="n"/>
      <c r="P146" s="229" t="n"/>
      <c r="Q146" s="229" t="n"/>
      <c r="R146" s="229" t="inlineStr">
        <is>
          <t>SSP</t>
        </is>
      </c>
      <c r="S146" s="229" t="n"/>
      <c r="T146" s="229" t="n"/>
      <c r="U146" s="229" t="n"/>
      <c r="V146" s="229" t="n"/>
      <c r="W146" s="229" t="n"/>
      <c r="X146" s="229" t="n"/>
      <c r="Y146" s="229" t="n"/>
      <c r="Z146" s="229" t="n"/>
      <c r="AA146" s="229" t="n"/>
      <c r="AB146" s="229" t="n"/>
      <c r="AC146" s="229" t="n"/>
      <c r="AD146" s="229" t="n"/>
      <c r="AE146" s="229" t="n"/>
      <c r="AF146" s="229" t="n"/>
      <c r="AG146" s="229" t="n"/>
      <c r="AH146" s="229" t="n"/>
      <c r="AI146" s="229" t="n"/>
      <c r="AJ146" s="229" t="n"/>
    </row>
    <row r="147" customFormat="1" s="13">
      <c r="A147" s="11" t="inlineStr">
        <is>
          <t>#</t>
        </is>
      </c>
      <c r="B147" s="230" t="n"/>
      <c r="C147" s="229" t="n"/>
      <c r="D147" s="229" t="n"/>
      <c r="E147" s="229" t="n"/>
      <c r="F147" s="229" t="n"/>
      <c r="G147" s="229" t="n"/>
      <c r="H147" s="229" t="n"/>
      <c r="I147" s="229" t="n"/>
      <c r="J147" s="229" t="inlineStr">
        <is>
          <t>LV</t>
        </is>
      </c>
      <c r="K147" s="229" t="n"/>
      <c r="L147" s="229" t="n"/>
      <c r="M147" s="229" t="n"/>
      <c r="N147" s="229" t="n"/>
      <c r="O147" s="229" t="n"/>
      <c r="P147" s="229" t="n"/>
      <c r="Q147" s="229" t="n"/>
      <c r="R147" s="229" t="inlineStr">
        <is>
          <t>STN</t>
        </is>
      </c>
      <c r="S147" s="229" t="n"/>
      <c r="T147" s="229" t="n"/>
      <c r="U147" s="229" t="n"/>
      <c r="V147" s="229" t="n"/>
      <c r="W147" s="229" t="n"/>
      <c r="X147" s="229" t="n"/>
      <c r="Y147" s="229" t="n"/>
      <c r="Z147" s="229" t="n"/>
      <c r="AA147" s="229" t="n"/>
      <c r="AB147" s="229" t="n"/>
      <c r="AC147" s="229" t="n"/>
      <c r="AD147" s="229" t="n"/>
      <c r="AE147" s="229" t="n"/>
      <c r="AF147" s="229" t="n"/>
      <c r="AG147" s="229" t="n"/>
      <c r="AH147" s="229" t="n"/>
      <c r="AI147" s="229" t="n"/>
      <c r="AJ147" s="229" t="n"/>
    </row>
    <row r="148" customFormat="1" s="13">
      <c r="A148" s="11" t="inlineStr">
        <is>
          <t>#</t>
        </is>
      </c>
      <c r="B148" s="230" t="n"/>
      <c r="C148" s="229" t="n"/>
      <c r="D148" s="229" t="n"/>
      <c r="E148" s="229" t="n"/>
      <c r="F148" s="229" t="n"/>
      <c r="G148" s="229" t="n"/>
      <c r="H148" s="229" t="n"/>
      <c r="I148" s="229" t="n"/>
      <c r="J148" s="229" t="inlineStr">
        <is>
          <t>LY</t>
        </is>
      </c>
      <c r="K148" s="229" t="n"/>
      <c r="L148" s="229" t="n"/>
      <c r="M148" s="229" t="n"/>
      <c r="N148" s="229" t="n"/>
      <c r="O148" s="229" t="n"/>
      <c r="P148" s="229" t="n"/>
      <c r="Q148" s="229" t="n"/>
      <c r="R148" s="229" t="inlineStr">
        <is>
          <t>SVC</t>
        </is>
      </c>
      <c r="S148" s="229" t="n"/>
      <c r="T148" s="229" t="n"/>
      <c r="U148" s="229" t="n"/>
      <c r="V148" s="229" t="n"/>
      <c r="W148" s="229" t="n"/>
      <c r="X148" s="229" t="n"/>
      <c r="Y148" s="229" t="n"/>
      <c r="Z148" s="229" t="n"/>
      <c r="AA148" s="229" t="n"/>
      <c r="AB148" s="229" t="n"/>
      <c r="AC148" s="229" t="n"/>
      <c r="AD148" s="229" t="n"/>
      <c r="AE148" s="229" t="n"/>
      <c r="AF148" s="229" t="n"/>
      <c r="AG148" s="229" t="n"/>
      <c r="AH148" s="229" t="n"/>
      <c r="AI148" s="229" t="n"/>
      <c r="AJ148" s="229" t="n"/>
    </row>
    <row r="149" customFormat="1" s="13">
      <c r="A149" s="11" t="inlineStr">
        <is>
          <t>#</t>
        </is>
      </c>
      <c r="B149" s="230" t="n"/>
      <c r="C149" s="229" t="n"/>
      <c r="D149" s="229" t="n"/>
      <c r="E149" s="229" t="n"/>
      <c r="F149" s="229" t="n"/>
      <c r="G149" s="229" t="n"/>
      <c r="H149" s="229" t="n"/>
      <c r="I149" s="229" t="n"/>
      <c r="J149" s="229" t="inlineStr">
        <is>
          <t>MA</t>
        </is>
      </c>
      <c r="K149" s="229" t="n"/>
      <c r="L149" s="229" t="n"/>
      <c r="M149" s="229" t="n"/>
      <c r="N149" s="229" t="n"/>
      <c r="O149" s="229" t="n"/>
      <c r="P149" s="229" t="n"/>
      <c r="Q149" s="229" t="n"/>
      <c r="R149" s="229" t="inlineStr">
        <is>
          <t>SYP</t>
        </is>
      </c>
      <c r="S149" s="229" t="n"/>
      <c r="T149" s="229" t="n"/>
      <c r="U149" s="229" t="n"/>
      <c r="V149" s="229" t="n"/>
      <c r="W149" s="229" t="n"/>
      <c r="X149" s="229" t="n"/>
      <c r="Y149" s="229" t="n"/>
      <c r="Z149" s="229" t="n"/>
      <c r="AA149" s="229" t="n"/>
      <c r="AB149" s="229" t="n"/>
      <c r="AC149" s="229" t="n"/>
      <c r="AD149" s="229" t="n"/>
      <c r="AE149" s="229" t="n"/>
      <c r="AF149" s="229" t="n"/>
      <c r="AG149" s="229" t="n"/>
      <c r="AH149" s="229" t="n"/>
      <c r="AI149" s="229" t="n"/>
      <c r="AJ149" s="229" t="n"/>
    </row>
    <row r="150" customFormat="1" s="13">
      <c r="A150" s="11" t="inlineStr">
        <is>
          <t>#</t>
        </is>
      </c>
      <c r="B150" s="230" t="n"/>
      <c r="C150" s="229" t="n"/>
      <c r="D150" s="229" t="n"/>
      <c r="E150" s="229" t="n"/>
      <c r="F150" s="229" t="n"/>
      <c r="G150" s="229" t="n"/>
      <c r="H150" s="229" t="n"/>
      <c r="I150" s="229" t="n"/>
      <c r="J150" s="229" t="inlineStr">
        <is>
          <t>MC</t>
        </is>
      </c>
      <c r="K150" s="229" t="n"/>
      <c r="L150" s="229" t="n"/>
      <c r="M150" s="229" t="n"/>
      <c r="N150" s="229" t="n"/>
      <c r="O150" s="229" t="n"/>
      <c r="P150" s="229" t="n"/>
      <c r="Q150" s="229" t="n"/>
      <c r="R150" s="229" t="inlineStr">
        <is>
          <t>SZL</t>
        </is>
      </c>
      <c r="S150" s="229" t="n"/>
      <c r="T150" s="229" t="n"/>
      <c r="U150" s="229" t="n"/>
      <c r="V150" s="229" t="n"/>
      <c r="W150" s="229" t="n"/>
      <c r="X150" s="229" t="n"/>
      <c r="Y150" s="229" t="n"/>
      <c r="Z150" s="229" t="n"/>
      <c r="AA150" s="229" t="n"/>
      <c r="AB150" s="229" t="n"/>
      <c r="AC150" s="229" t="n"/>
      <c r="AD150" s="229" t="n"/>
      <c r="AE150" s="229" t="n"/>
      <c r="AF150" s="229" t="n"/>
      <c r="AG150" s="229" t="n"/>
      <c r="AH150" s="229" t="n"/>
      <c r="AI150" s="229" t="n"/>
      <c r="AJ150" s="229" t="n"/>
    </row>
    <row r="151" customFormat="1" s="13">
      <c r="A151" s="11" t="inlineStr">
        <is>
          <t>#</t>
        </is>
      </c>
      <c r="B151" s="230" t="n"/>
      <c r="C151" s="229" t="n"/>
      <c r="D151" s="229" t="n"/>
      <c r="E151" s="229" t="n"/>
      <c r="F151" s="229" t="n"/>
      <c r="G151" s="229" t="n"/>
      <c r="H151" s="229" t="n"/>
      <c r="I151" s="229" t="n"/>
      <c r="J151" s="229" t="inlineStr">
        <is>
          <t>MD</t>
        </is>
      </c>
      <c r="K151" s="229" t="n"/>
      <c r="L151" s="229" t="n"/>
      <c r="M151" s="229" t="n"/>
      <c r="N151" s="229" t="n"/>
      <c r="O151" s="229" t="n"/>
      <c r="P151" s="229" t="n"/>
      <c r="Q151" s="229" t="n"/>
      <c r="R151" s="229" t="inlineStr">
        <is>
          <t>THB</t>
        </is>
      </c>
      <c r="S151" s="229" t="n"/>
      <c r="T151" s="229" t="n"/>
      <c r="U151" s="229" t="n"/>
      <c r="V151" s="229" t="n"/>
      <c r="W151" s="229" t="n"/>
      <c r="X151" s="229" t="n"/>
      <c r="Y151" s="229" t="n"/>
      <c r="Z151" s="229" t="n"/>
      <c r="AA151" s="229" t="n"/>
      <c r="AB151" s="229" t="n"/>
      <c r="AC151" s="229" t="n"/>
      <c r="AD151" s="229" t="n"/>
      <c r="AE151" s="229" t="n"/>
      <c r="AF151" s="229" t="n"/>
      <c r="AG151" s="229" t="n"/>
      <c r="AH151" s="229" t="n"/>
      <c r="AI151" s="229" t="n"/>
      <c r="AJ151" s="229" t="n"/>
    </row>
    <row r="152" customFormat="1" s="13">
      <c r="A152" s="11" t="inlineStr">
        <is>
          <t>#</t>
        </is>
      </c>
      <c r="B152" s="230" t="n"/>
      <c r="C152" s="229" t="n"/>
      <c r="D152" s="229" t="n"/>
      <c r="E152" s="229" t="n"/>
      <c r="F152" s="229" t="n"/>
      <c r="G152" s="229" t="n"/>
      <c r="H152" s="229" t="n"/>
      <c r="I152" s="229" t="n"/>
      <c r="J152" s="229" t="inlineStr">
        <is>
          <t>ME</t>
        </is>
      </c>
      <c r="K152" s="229" t="n"/>
      <c r="L152" s="229" t="n"/>
      <c r="M152" s="229" t="n"/>
      <c r="N152" s="229" t="n"/>
      <c r="O152" s="229" t="n"/>
      <c r="P152" s="229" t="n"/>
      <c r="Q152" s="229" t="n"/>
      <c r="R152" s="229" t="inlineStr">
        <is>
          <t>TJS</t>
        </is>
      </c>
      <c r="S152" s="229" t="n"/>
      <c r="T152" s="229" t="n"/>
      <c r="U152" s="229" t="n"/>
      <c r="V152" s="229" t="n"/>
      <c r="W152" s="229" t="n"/>
      <c r="X152" s="229" t="n"/>
      <c r="Y152" s="229" t="n"/>
      <c r="Z152" s="229" t="n"/>
      <c r="AA152" s="229" t="n"/>
      <c r="AB152" s="229" t="n"/>
      <c r="AC152" s="229" t="n"/>
      <c r="AD152" s="229" t="n"/>
      <c r="AE152" s="229" t="n"/>
      <c r="AF152" s="229" t="n"/>
      <c r="AG152" s="229" t="n"/>
      <c r="AH152" s="229" t="n"/>
      <c r="AI152" s="229" t="n"/>
      <c r="AJ152" s="229" t="n"/>
    </row>
    <row r="153" customFormat="1" s="13">
      <c r="A153" s="11" t="inlineStr">
        <is>
          <t>#</t>
        </is>
      </c>
      <c r="B153" s="230" t="n"/>
      <c r="C153" s="229" t="n"/>
      <c r="D153" s="229" t="n"/>
      <c r="E153" s="229" t="n"/>
      <c r="F153" s="229" t="n"/>
      <c r="G153" s="229" t="n"/>
      <c r="H153" s="229" t="n"/>
      <c r="I153" s="229" t="n"/>
      <c r="J153" s="229" t="inlineStr">
        <is>
          <t>MF</t>
        </is>
      </c>
      <c r="K153" s="229" t="n"/>
      <c r="L153" s="229" t="n"/>
      <c r="M153" s="229" t="n"/>
      <c r="N153" s="229" t="n"/>
      <c r="O153" s="229" t="n"/>
      <c r="P153" s="229" t="n"/>
      <c r="Q153" s="229" t="n"/>
      <c r="R153" s="229" t="inlineStr">
        <is>
          <t>TMT</t>
        </is>
      </c>
      <c r="S153" s="229" t="n"/>
      <c r="T153" s="229" t="n"/>
      <c r="U153" s="229" t="n"/>
      <c r="V153" s="229" t="n"/>
      <c r="W153" s="229" t="n"/>
      <c r="X153" s="229" t="n"/>
      <c r="Y153" s="229" t="n"/>
      <c r="Z153" s="229" t="n"/>
      <c r="AA153" s="229" t="n"/>
      <c r="AB153" s="229" t="n"/>
      <c r="AC153" s="229" t="n"/>
      <c r="AD153" s="229" t="n"/>
      <c r="AE153" s="229" t="n"/>
      <c r="AF153" s="229" t="n"/>
      <c r="AG153" s="229" t="n"/>
      <c r="AH153" s="229" t="n"/>
      <c r="AI153" s="229" t="n"/>
      <c r="AJ153" s="229" t="n"/>
    </row>
    <row r="154" customFormat="1" s="13">
      <c r="A154" s="11" t="inlineStr">
        <is>
          <t>#</t>
        </is>
      </c>
      <c r="B154" s="230" t="n"/>
      <c r="C154" s="229" t="n"/>
      <c r="D154" s="229" t="n"/>
      <c r="E154" s="229" t="n"/>
      <c r="F154" s="229" t="n"/>
      <c r="G154" s="229" t="n"/>
      <c r="H154" s="229" t="n"/>
      <c r="I154" s="229" t="n"/>
      <c r="J154" s="229" t="inlineStr">
        <is>
          <t>MG</t>
        </is>
      </c>
      <c r="K154" s="229" t="n"/>
      <c r="L154" s="229" t="n"/>
      <c r="M154" s="229" t="n"/>
      <c r="N154" s="229" t="n"/>
      <c r="O154" s="229" t="n"/>
      <c r="P154" s="229" t="n"/>
      <c r="Q154" s="229" t="n"/>
      <c r="R154" s="229" t="inlineStr">
        <is>
          <t>TND</t>
        </is>
      </c>
      <c r="S154" s="229" t="n"/>
      <c r="T154" s="229" t="n"/>
      <c r="U154" s="229" t="n"/>
      <c r="V154" s="229" t="n"/>
      <c r="W154" s="229" t="n"/>
      <c r="X154" s="229" t="n"/>
      <c r="Y154" s="229" t="n"/>
      <c r="Z154" s="229" t="n"/>
      <c r="AA154" s="229" t="n"/>
      <c r="AB154" s="229" t="n"/>
      <c r="AC154" s="229" t="n"/>
      <c r="AD154" s="229" t="n"/>
      <c r="AE154" s="229" t="n"/>
      <c r="AF154" s="229" t="n"/>
      <c r="AG154" s="229" t="n"/>
      <c r="AH154" s="229" t="n"/>
      <c r="AI154" s="229" t="n"/>
      <c r="AJ154" s="229" t="n"/>
    </row>
    <row r="155" customFormat="1" s="13">
      <c r="A155" s="11" t="inlineStr">
        <is>
          <t>#</t>
        </is>
      </c>
      <c r="B155" s="230" t="n"/>
      <c r="C155" s="229" t="n"/>
      <c r="D155" s="229" t="n"/>
      <c r="E155" s="229" t="n"/>
      <c r="F155" s="229" t="n"/>
      <c r="G155" s="229" t="n"/>
      <c r="H155" s="229" t="n"/>
      <c r="I155" s="229" t="n"/>
      <c r="J155" s="229" t="inlineStr">
        <is>
          <t>MH</t>
        </is>
      </c>
      <c r="K155" s="229" t="n"/>
      <c r="L155" s="229" t="n"/>
      <c r="M155" s="229" t="n"/>
      <c r="N155" s="229" t="n"/>
      <c r="O155" s="229" t="n"/>
      <c r="P155" s="229" t="n"/>
      <c r="Q155" s="229" t="n"/>
      <c r="R155" s="229" t="inlineStr">
        <is>
          <t>TOP</t>
        </is>
      </c>
      <c r="S155" s="229" t="n"/>
      <c r="T155" s="229" t="n"/>
      <c r="U155" s="229" t="n"/>
      <c r="V155" s="229" t="n"/>
      <c r="W155" s="229" t="n"/>
      <c r="X155" s="229" t="n"/>
      <c r="Y155" s="229" t="n"/>
      <c r="Z155" s="229" t="n"/>
      <c r="AA155" s="229" t="n"/>
      <c r="AB155" s="229" t="n"/>
      <c r="AC155" s="229" t="n"/>
      <c r="AD155" s="229" t="n"/>
      <c r="AE155" s="229" t="n"/>
      <c r="AF155" s="229" t="n"/>
      <c r="AG155" s="229" t="n"/>
      <c r="AH155" s="229" t="n"/>
      <c r="AI155" s="229" t="n"/>
      <c r="AJ155" s="229" t="n"/>
    </row>
    <row r="156" customFormat="1" s="13">
      <c r="A156" s="11" t="inlineStr">
        <is>
          <t>#</t>
        </is>
      </c>
      <c r="B156" s="230" t="n"/>
      <c r="C156" s="229" t="n"/>
      <c r="D156" s="229" t="n"/>
      <c r="E156" s="229" t="n"/>
      <c r="F156" s="229" t="n"/>
      <c r="G156" s="229" t="n"/>
      <c r="H156" s="229" t="n"/>
      <c r="I156" s="229" t="n"/>
      <c r="J156" s="229" t="inlineStr">
        <is>
          <t>MK</t>
        </is>
      </c>
      <c r="K156" s="229" t="n"/>
      <c r="L156" s="229" t="n"/>
      <c r="M156" s="229" t="n"/>
      <c r="N156" s="229" t="n"/>
      <c r="O156" s="229" t="n"/>
      <c r="P156" s="229" t="n"/>
      <c r="Q156" s="229" t="n"/>
      <c r="R156" s="229" t="inlineStr">
        <is>
          <t>TRY</t>
        </is>
      </c>
      <c r="S156" s="229" t="n"/>
      <c r="T156" s="229" t="n"/>
      <c r="U156" s="229" t="n"/>
      <c r="V156" s="229" t="n"/>
      <c r="W156" s="229" t="n"/>
      <c r="X156" s="229" t="n"/>
      <c r="Y156" s="229" t="n"/>
      <c r="Z156" s="229" t="n"/>
      <c r="AA156" s="229" t="n"/>
      <c r="AB156" s="229" t="n"/>
      <c r="AC156" s="229" t="n"/>
      <c r="AD156" s="229" t="n"/>
      <c r="AE156" s="229" t="n"/>
      <c r="AF156" s="229" t="n"/>
      <c r="AG156" s="229" t="n"/>
      <c r="AH156" s="229" t="n"/>
      <c r="AI156" s="229" t="n"/>
      <c r="AJ156" s="229" t="n"/>
    </row>
    <row r="157" customFormat="1" s="13">
      <c r="A157" s="11" t="inlineStr">
        <is>
          <t>#</t>
        </is>
      </c>
      <c r="B157" s="230" t="n"/>
      <c r="C157" s="229" t="n"/>
      <c r="D157" s="229" t="n"/>
      <c r="E157" s="229" t="n"/>
      <c r="F157" s="229" t="n"/>
      <c r="G157" s="229" t="n"/>
      <c r="H157" s="229" t="n"/>
      <c r="I157" s="229" t="n"/>
      <c r="J157" s="229" t="inlineStr">
        <is>
          <t>ML</t>
        </is>
      </c>
      <c r="K157" s="229" t="n"/>
      <c r="L157" s="229" t="n"/>
      <c r="M157" s="229" t="n"/>
      <c r="N157" s="229" t="n"/>
      <c r="O157" s="229" t="n"/>
      <c r="P157" s="229" t="n"/>
      <c r="Q157" s="229" t="n"/>
      <c r="R157" s="229" t="inlineStr">
        <is>
          <t>TTD</t>
        </is>
      </c>
      <c r="S157" s="229" t="n"/>
      <c r="T157" s="229" t="n"/>
      <c r="U157" s="229" t="n"/>
      <c r="V157" s="229" t="n"/>
      <c r="W157" s="229" t="n"/>
      <c r="X157" s="229" t="n"/>
      <c r="Y157" s="229" t="n"/>
      <c r="Z157" s="229" t="n"/>
      <c r="AA157" s="229" t="n"/>
      <c r="AB157" s="229" t="n"/>
      <c r="AC157" s="229" t="n"/>
      <c r="AD157" s="229" t="n"/>
      <c r="AE157" s="229" t="n"/>
      <c r="AF157" s="229" t="n"/>
      <c r="AG157" s="229" t="n"/>
      <c r="AH157" s="229" t="n"/>
      <c r="AI157" s="229" t="n"/>
      <c r="AJ157" s="229" t="n"/>
    </row>
    <row r="158" customFormat="1" s="13">
      <c r="A158" s="11" t="inlineStr">
        <is>
          <t>#</t>
        </is>
      </c>
      <c r="B158" s="230" t="n"/>
      <c r="C158" s="229" t="n"/>
      <c r="D158" s="229" t="n"/>
      <c r="E158" s="229" t="n"/>
      <c r="F158" s="229" t="n"/>
      <c r="G158" s="229" t="n"/>
      <c r="H158" s="229" t="n"/>
      <c r="I158" s="229" t="n"/>
      <c r="J158" s="229" t="inlineStr">
        <is>
          <t>MM</t>
        </is>
      </c>
      <c r="K158" s="229" t="n"/>
      <c r="L158" s="229" t="n"/>
      <c r="M158" s="229" t="n"/>
      <c r="N158" s="229" t="n"/>
      <c r="O158" s="229" t="n"/>
      <c r="P158" s="229" t="n"/>
      <c r="Q158" s="229" t="n"/>
      <c r="R158" s="229" t="inlineStr">
        <is>
          <t>TWD</t>
        </is>
      </c>
      <c r="S158" s="229" t="n"/>
      <c r="T158" s="229" t="n"/>
      <c r="U158" s="229" t="n"/>
      <c r="V158" s="229" t="n"/>
      <c r="W158" s="229" t="n"/>
      <c r="X158" s="229" t="n"/>
      <c r="Y158" s="229" t="n"/>
      <c r="Z158" s="229" t="n"/>
      <c r="AA158" s="229" t="n"/>
      <c r="AB158" s="229" t="n"/>
      <c r="AC158" s="229" t="n"/>
      <c r="AD158" s="229" t="n"/>
      <c r="AE158" s="229" t="n"/>
      <c r="AF158" s="229" t="n"/>
      <c r="AG158" s="229" t="n"/>
      <c r="AH158" s="229" t="n"/>
      <c r="AI158" s="229" t="n"/>
      <c r="AJ158" s="229" t="n"/>
    </row>
    <row r="159" customFormat="1" s="13">
      <c r="A159" s="11" t="inlineStr">
        <is>
          <t>#</t>
        </is>
      </c>
      <c r="B159" s="230" t="n"/>
      <c r="C159" s="229" t="n"/>
      <c r="D159" s="229" t="n"/>
      <c r="E159" s="229" t="n"/>
      <c r="F159" s="229" t="n"/>
      <c r="G159" s="229" t="n"/>
      <c r="H159" s="229" t="n"/>
      <c r="I159" s="229" t="n"/>
      <c r="J159" s="229" t="inlineStr">
        <is>
          <t>MN</t>
        </is>
      </c>
      <c r="K159" s="229" t="n"/>
      <c r="L159" s="229" t="n"/>
      <c r="M159" s="229" t="n"/>
      <c r="N159" s="229" t="n"/>
      <c r="O159" s="229" t="n"/>
      <c r="P159" s="229" t="n"/>
      <c r="Q159" s="229" t="n"/>
      <c r="R159" s="229" t="inlineStr">
        <is>
          <t>TZS</t>
        </is>
      </c>
      <c r="S159" s="229" t="n"/>
      <c r="T159" s="229" t="n"/>
      <c r="U159" s="229" t="n"/>
      <c r="V159" s="229" t="n"/>
      <c r="W159" s="229" t="n"/>
      <c r="X159" s="229" t="n"/>
      <c r="Y159" s="229" t="n"/>
      <c r="Z159" s="229" t="n"/>
      <c r="AA159" s="229" t="n"/>
      <c r="AB159" s="229" t="n"/>
      <c r="AC159" s="229" t="n"/>
      <c r="AD159" s="229" t="n"/>
      <c r="AE159" s="229" t="n"/>
      <c r="AF159" s="229" t="n"/>
      <c r="AG159" s="229" t="n"/>
      <c r="AH159" s="229" t="n"/>
      <c r="AI159" s="229" t="n"/>
      <c r="AJ159" s="229" t="n"/>
    </row>
    <row r="160" customFormat="1" s="13">
      <c r="A160" s="11" t="inlineStr">
        <is>
          <t>#</t>
        </is>
      </c>
      <c r="B160" s="230" t="n"/>
      <c r="C160" s="229" t="n"/>
      <c r="D160" s="229" t="n"/>
      <c r="E160" s="229" t="n"/>
      <c r="F160" s="229" t="n"/>
      <c r="G160" s="229" t="n"/>
      <c r="H160" s="229" t="n"/>
      <c r="I160" s="229" t="n"/>
      <c r="J160" s="229" t="inlineStr">
        <is>
          <t>MO</t>
        </is>
      </c>
      <c r="K160" s="229" t="n"/>
      <c r="L160" s="229" t="n"/>
      <c r="M160" s="229" t="n"/>
      <c r="N160" s="229" t="n"/>
      <c r="O160" s="229" t="n"/>
      <c r="P160" s="229" t="n"/>
      <c r="Q160" s="229" t="n"/>
      <c r="R160" s="229" t="inlineStr">
        <is>
          <t>UAH</t>
        </is>
      </c>
      <c r="S160" s="229" t="n"/>
      <c r="T160" s="229" t="n"/>
      <c r="U160" s="229" t="n"/>
      <c r="V160" s="229" t="n"/>
      <c r="W160" s="229" t="n"/>
      <c r="X160" s="229" t="n"/>
      <c r="Y160" s="229" t="n"/>
      <c r="Z160" s="229" t="n"/>
      <c r="AA160" s="229" t="n"/>
      <c r="AB160" s="229" t="n"/>
      <c r="AC160" s="229" t="n"/>
      <c r="AD160" s="229" t="n"/>
      <c r="AE160" s="229" t="n"/>
      <c r="AF160" s="229" t="n"/>
      <c r="AG160" s="229" t="n"/>
      <c r="AH160" s="229" t="n"/>
      <c r="AI160" s="229" t="n"/>
      <c r="AJ160" s="229" t="n"/>
    </row>
    <row r="161" customFormat="1" s="13">
      <c r="A161" s="11" t="inlineStr">
        <is>
          <t>#</t>
        </is>
      </c>
      <c r="B161" s="230" t="n"/>
      <c r="C161" s="229" t="n"/>
      <c r="D161" s="229" t="n"/>
      <c r="E161" s="229" t="n"/>
      <c r="F161" s="229" t="n"/>
      <c r="G161" s="229" t="n"/>
      <c r="H161" s="229" t="n"/>
      <c r="I161" s="229" t="n"/>
      <c r="J161" s="229" t="inlineStr">
        <is>
          <t>MP</t>
        </is>
      </c>
      <c r="K161" s="229" t="n"/>
      <c r="L161" s="229" t="n"/>
      <c r="M161" s="229" t="n"/>
      <c r="N161" s="229" t="n"/>
      <c r="O161" s="229" t="n"/>
      <c r="P161" s="229" t="n"/>
      <c r="Q161" s="229" t="n"/>
      <c r="R161" s="229" t="inlineStr">
        <is>
          <t>UGX</t>
        </is>
      </c>
      <c r="S161" s="229" t="n"/>
      <c r="T161" s="229" t="n"/>
      <c r="U161" s="229" t="n"/>
      <c r="V161" s="229" t="n"/>
      <c r="W161" s="229" t="n"/>
      <c r="X161" s="229" t="n"/>
      <c r="Y161" s="229" t="n"/>
      <c r="Z161" s="229" t="n"/>
      <c r="AA161" s="229" t="n"/>
      <c r="AB161" s="229" t="n"/>
      <c r="AC161" s="229" t="n"/>
      <c r="AD161" s="229" t="n"/>
      <c r="AE161" s="229" t="n"/>
      <c r="AF161" s="229" t="n"/>
      <c r="AG161" s="229" t="n"/>
      <c r="AH161" s="229" t="n"/>
      <c r="AI161" s="229" t="n"/>
      <c r="AJ161" s="229" t="n"/>
    </row>
    <row r="162" customFormat="1" s="13">
      <c r="A162" s="11" t="inlineStr">
        <is>
          <t>#</t>
        </is>
      </c>
      <c r="B162" s="230" t="n"/>
      <c r="C162" s="229" t="n"/>
      <c r="D162" s="229" t="n"/>
      <c r="E162" s="229" t="n"/>
      <c r="F162" s="229" t="n"/>
      <c r="G162" s="229" t="n"/>
      <c r="H162" s="229" t="n"/>
      <c r="I162" s="229" t="n"/>
      <c r="J162" s="229" t="inlineStr">
        <is>
          <t>MQ</t>
        </is>
      </c>
      <c r="K162" s="229" t="n"/>
      <c r="L162" s="229" t="n"/>
      <c r="M162" s="229" t="n"/>
      <c r="N162" s="229" t="n"/>
      <c r="O162" s="229" t="n"/>
      <c r="P162" s="229" t="n"/>
      <c r="Q162" s="229" t="n"/>
      <c r="R162" s="229" t="inlineStr">
        <is>
          <t>USD</t>
        </is>
      </c>
      <c r="S162" s="229" t="n"/>
      <c r="T162" s="229" t="n"/>
      <c r="U162" s="229" t="n"/>
      <c r="V162" s="229" t="n"/>
      <c r="W162" s="229" t="n"/>
      <c r="X162" s="229" t="n"/>
      <c r="Y162" s="229" t="n"/>
      <c r="Z162" s="229" t="n"/>
      <c r="AA162" s="229" t="n"/>
      <c r="AB162" s="229" t="n"/>
      <c r="AC162" s="229" t="n"/>
      <c r="AD162" s="229" t="n"/>
      <c r="AE162" s="229" t="n"/>
      <c r="AF162" s="229" t="n"/>
      <c r="AG162" s="229" t="n"/>
      <c r="AH162" s="229" t="n"/>
      <c r="AI162" s="229" t="n"/>
      <c r="AJ162" s="229" t="n"/>
    </row>
    <row r="163" customFormat="1" s="13">
      <c r="A163" s="11" t="inlineStr">
        <is>
          <t>#</t>
        </is>
      </c>
      <c r="B163" s="230" t="n"/>
      <c r="C163" s="229" t="n"/>
      <c r="D163" s="229" t="n"/>
      <c r="E163" s="229" t="n"/>
      <c r="F163" s="229" t="n"/>
      <c r="G163" s="229" t="n"/>
      <c r="H163" s="229" t="n"/>
      <c r="I163" s="229" t="n"/>
      <c r="J163" s="229" t="inlineStr">
        <is>
          <t>MR</t>
        </is>
      </c>
      <c r="K163" s="229" t="n"/>
      <c r="L163" s="229" t="n"/>
      <c r="M163" s="229" t="n"/>
      <c r="N163" s="229" t="n"/>
      <c r="O163" s="229" t="n"/>
      <c r="P163" s="229" t="n"/>
      <c r="Q163" s="229" t="n"/>
      <c r="R163" s="229" t="inlineStr">
        <is>
          <t>USN</t>
        </is>
      </c>
      <c r="S163" s="229" t="n"/>
      <c r="T163" s="229" t="n"/>
      <c r="U163" s="229" t="n"/>
      <c r="V163" s="229" t="n"/>
      <c r="W163" s="229" t="n"/>
      <c r="X163" s="229" t="n"/>
      <c r="Y163" s="229" t="n"/>
      <c r="Z163" s="229" t="n"/>
      <c r="AA163" s="229" t="n"/>
      <c r="AB163" s="229" t="n"/>
      <c r="AC163" s="229" t="n"/>
      <c r="AD163" s="229" t="n"/>
      <c r="AE163" s="229" t="n"/>
      <c r="AF163" s="229" t="n"/>
      <c r="AG163" s="229" t="n"/>
      <c r="AH163" s="229" t="n"/>
      <c r="AI163" s="229" t="n"/>
      <c r="AJ163" s="229" t="n"/>
    </row>
    <row r="164" customFormat="1" s="13">
      <c r="A164" s="11" t="inlineStr">
        <is>
          <t>#</t>
        </is>
      </c>
      <c r="B164" s="230" t="n"/>
      <c r="C164" s="229" t="n"/>
      <c r="D164" s="229" t="n"/>
      <c r="E164" s="229" t="n"/>
      <c r="F164" s="229" t="n"/>
      <c r="G164" s="229" t="n"/>
      <c r="H164" s="229" t="n"/>
      <c r="I164" s="229" t="n"/>
      <c r="J164" s="229" t="inlineStr">
        <is>
          <t>MS</t>
        </is>
      </c>
      <c r="K164" s="229" t="n"/>
      <c r="L164" s="229" t="n"/>
      <c r="M164" s="229" t="n"/>
      <c r="N164" s="229" t="n"/>
      <c r="O164" s="229" t="n"/>
      <c r="P164" s="229" t="n"/>
      <c r="Q164" s="229" t="n"/>
      <c r="R164" s="229" t="inlineStr">
        <is>
          <t>UYI</t>
        </is>
      </c>
      <c r="S164" s="229" t="n"/>
      <c r="T164" s="229" t="n"/>
      <c r="U164" s="229" t="n"/>
      <c r="V164" s="229" t="n"/>
      <c r="W164" s="229" t="n"/>
      <c r="X164" s="229" t="n"/>
      <c r="Y164" s="229" t="n"/>
      <c r="Z164" s="229" t="n"/>
      <c r="AA164" s="229" t="n"/>
      <c r="AB164" s="229" t="n"/>
      <c r="AC164" s="229" t="n"/>
      <c r="AD164" s="229" t="n"/>
      <c r="AE164" s="229" t="n"/>
      <c r="AF164" s="229" t="n"/>
      <c r="AG164" s="229" t="n"/>
      <c r="AH164" s="229" t="n"/>
      <c r="AI164" s="229" t="n"/>
      <c r="AJ164" s="229" t="n"/>
    </row>
    <row r="165" customFormat="1" s="13">
      <c r="A165" s="11" t="inlineStr">
        <is>
          <t>#</t>
        </is>
      </c>
      <c r="B165" s="230" t="n"/>
      <c r="C165" s="229" t="n"/>
      <c r="D165" s="229" t="n"/>
      <c r="E165" s="229" t="n"/>
      <c r="F165" s="229" t="n"/>
      <c r="G165" s="229" t="n"/>
      <c r="H165" s="229" t="n"/>
      <c r="I165" s="229" t="n"/>
      <c r="J165" s="229" t="inlineStr">
        <is>
          <t>MT</t>
        </is>
      </c>
      <c r="K165" s="229" t="n"/>
      <c r="L165" s="229" t="n"/>
      <c r="M165" s="229" t="n"/>
      <c r="N165" s="229" t="n"/>
      <c r="O165" s="229" t="n"/>
      <c r="P165" s="229" t="n"/>
      <c r="Q165" s="229" t="n"/>
      <c r="R165" s="229" t="inlineStr">
        <is>
          <t>UYU</t>
        </is>
      </c>
      <c r="S165" s="229" t="n"/>
      <c r="T165" s="229" t="n"/>
      <c r="U165" s="229" t="n"/>
      <c r="V165" s="229" t="n"/>
      <c r="W165" s="229" t="n"/>
      <c r="X165" s="229" t="n"/>
      <c r="Y165" s="229" t="n"/>
      <c r="Z165" s="229" t="n"/>
      <c r="AA165" s="229" t="n"/>
      <c r="AB165" s="229" t="n"/>
      <c r="AC165" s="229" t="n"/>
      <c r="AD165" s="229" t="n"/>
      <c r="AE165" s="229" t="n"/>
      <c r="AF165" s="229" t="n"/>
      <c r="AG165" s="229" t="n"/>
      <c r="AH165" s="229" t="n"/>
      <c r="AI165" s="229" t="n"/>
      <c r="AJ165" s="229" t="n"/>
    </row>
    <row r="166" customFormat="1" s="13">
      <c r="A166" s="11" t="inlineStr">
        <is>
          <t>#</t>
        </is>
      </c>
      <c r="B166" s="230" t="n"/>
      <c r="C166" s="229" t="n"/>
      <c r="D166" s="229" t="n"/>
      <c r="E166" s="229" t="n"/>
      <c r="F166" s="229" t="n"/>
      <c r="G166" s="229" t="n"/>
      <c r="H166" s="229" t="n"/>
      <c r="I166" s="229" t="n"/>
      <c r="J166" s="229" t="inlineStr">
        <is>
          <t>MU</t>
        </is>
      </c>
      <c r="K166" s="229" t="n"/>
      <c r="L166" s="229" t="n"/>
      <c r="M166" s="229" t="n"/>
      <c r="N166" s="229" t="n"/>
      <c r="O166" s="229" t="n"/>
      <c r="P166" s="229" t="n"/>
      <c r="Q166" s="229" t="n"/>
      <c r="R166" s="229" t="inlineStr">
        <is>
          <t>UYW</t>
        </is>
      </c>
      <c r="S166" s="229" t="n"/>
      <c r="T166" s="229" t="n"/>
      <c r="U166" s="229" t="n"/>
      <c r="V166" s="229" t="n"/>
      <c r="W166" s="229" t="n"/>
      <c r="X166" s="229" t="n"/>
      <c r="Y166" s="229" t="n"/>
      <c r="Z166" s="229" t="n"/>
      <c r="AA166" s="229" t="n"/>
      <c r="AB166" s="229" t="n"/>
      <c r="AC166" s="229" t="n"/>
      <c r="AD166" s="229" t="n"/>
      <c r="AE166" s="229" t="n"/>
      <c r="AF166" s="229" t="n"/>
      <c r="AG166" s="229" t="n"/>
      <c r="AH166" s="229" t="n"/>
      <c r="AI166" s="229" t="n"/>
      <c r="AJ166" s="229" t="n"/>
    </row>
    <row r="167" customFormat="1" s="13">
      <c r="A167" s="11" t="inlineStr">
        <is>
          <t>#</t>
        </is>
      </c>
      <c r="B167" s="230" t="n"/>
      <c r="C167" s="229" t="n"/>
      <c r="D167" s="229" t="n"/>
      <c r="E167" s="229" t="n"/>
      <c r="F167" s="229" t="n"/>
      <c r="G167" s="229" t="n"/>
      <c r="H167" s="229" t="n"/>
      <c r="I167" s="229" t="n"/>
      <c r="J167" s="229" t="inlineStr">
        <is>
          <t>MV</t>
        </is>
      </c>
      <c r="K167" s="229" t="n"/>
      <c r="L167" s="229" t="n"/>
      <c r="M167" s="229" t="n"/>
      <c r="N167" s="229" t="n"/>
      <c r="O167" s="229" t="n"/>
      <c r="P167" s="229" t="n"/>
      <c r="Q167" s="229" t="n"/>
      <c r="R167" s="229" t="inlineStr">
        <is>
          <t>UZS</t>
        </is>
      </c>
      <c r="S167" s="229" t="n"/>
      <c r="T167" s="229" t="n"/>
      <c r="U167" s="229" t="n"/>
      <c r="V167" s="229" t="n"/>
      <c r="W167" s="229" t="n"/>
      <c r="X167" s="229" t="n"/>
      <c r="Y167" s="229" t="n"/>
      <c r="Z167" s="229" t="n"/>
      <c r="AA167" s="229" t="n"/>
      <c r="AB167" s="229" t="n"/>
      <c r="AC167" s="229" t="n"/>
      <c r="AD167" s="229" t="n"/>
      <c r="AE167" s="229" t="n"/>
      <c r="AF167" s="229" t="n"/>
      <c r="AG167" s="229" t="n"/>
      <c r="AH167" s="229" t="n"/>
      <c r="AI167" s="229" t="n"/>
      <c r="AJ167" s="229" t="n"/>
    </row>
    <row r="168" customFormat="1" s="13">
      <c r="A168" s="11" t="inlineStr">
        <is>
          <t>#</t>
        </is>
      </c>
      <c r="B168" s="230" t="n"/>
      <c r="C168" s="229" t="n"/>
      <c r="D168" s="229" t="n"/>
      <c r="E168" s="229" t="n"/>
      <c r="F168" s="229" t="n"/>
      <c r="G168" s="229" t="n"/>
      <c r="H168" s="229" t="n"/>
      <c r="I168" s="229" t="n"/>
      <c r="J168" s="229" t="inlineStr">
        <is>
          <t>MW</t>
        </is>
      </c>
      <c r="K168" s="229" t="n"/>
      <c r="L168" s="229" t="n"/>
      <c r="M168" s="229" t="n"/>
      <c r="N168" s="229" t="n"/>
      <c r="O168" s="229" t="n"/>
      <c r="P168" s="229" t="n"/>
      <c r="Q168" s="229" t="n"/>
      <c r="R168" s="229" t="inlineStr">
        <is>
          <t>VES</t>
        </is>
      </c>
      <c r="S168" s="229" t="n"/>
      <c r="T168" s="229" t="n"/>
      <c r="U168" s="229" t="n"/>
      <c r="V168" s="229" t="n"/>
      <c r="W168" s="229" t="n"/>
      <c r="X168" s="229" t="n"/>
      <c r="Y168" s="229" t="n"/>
      <c r="Z168" s="229" t="n"/>
      <c r="AA168" s="229" t="n"/>
      <c r="AB168" s="229" t="n"/>
      <c r="AC168" s="229" t="n"/>
      <c r="AD168" s="229" t="n"/>
      <c r="AE168" s="229" t="n"/>
      <c r="AF168" s="229" t="n"/>
      <c r="AG168" s="229" t="n"/>
      <c r="AH168" s="229" t="n"/>
      <c r="AI168" s="229" t="n"/>
      <c r="AJ168" s="229" t="n"/>
    </row>
    <row r="169" customFormat="1" s="13">
      <c r="A169" s="11" t="inlineStr">
        <is>
          <t>#</t>
        </is>
      </c>
      <c r="B169" s="230" t="n"/>
      <c r="C169" s="229" t="n"/>
      <c r="D169" s="229" t="n"/>
      <c r="E169" s="229" t="n"/>
      <c r="F169" s="229" t="n"/>
      <c r="G169" s="229" t="n"/>
      <c r="H169" s="229" t="n"/>
      <c r="I169" s="229" t="n"/>
      <c r="J169" s="229" t="inlineStr">
        <is>
          <t>MX</t>
        </is>
      </c>
      <c r="K169" s="229" t="n"/>
      <c r="L169" s="229" t="n"/>
      <c r="M169" s="229" t="n"/>
      <c r="N169" s="229" t="n"/>
      <c r="O169" s="229" t="n"/>
      <c r="P169" s="229" t="n"/>
      <c r="Q169" s="229" t="n"/>
      <c r="R169" s="229" t="inlineStr">
        <is>
          <t>VND</t>
        </is>
      </c>
      <c r="S169" s="229" t="n"/>
      <c r="T169" s="229" t="n"/>
      <c r="U169" s="229" t="n"/>
      <c r="V169" s="229" t="n"/>
      <c r="W169" s="229" t="n"/>
      <c r="X169" s="229" t="n"/>
      <c r="Y169" s="229" t="n"/>
      <c r="Z169" s="229" t="n"/>
      <c r="AA169" s="229" t="n"/>
      <c r="AB169" s="229" t="n"/>
      <c r="AC169" s="229" t="n"/>
      <c r="AD169" s="229" t="n"/>
      <c r="AE169" s="229" t="n"/>
      <c r="AF169" s="229" t="n"/>
      <c r="AG169" s="229" t="n"/>
      <c r="AH169" s="229" t="n"/>
      <c r="AI169" s="229" t="n"/>
      <c r="AJ169" s="229" t="n"/>
    </row>
    <row r="170" customFormat="1" s="13">
      <c r="A170" s="11" t="inlineStr">
        <is>
          <t>#</t>
        </is>
      </c>
      <c r="B170" s="230" t="n"/>
      <c r="C170" s="229" t="n"/>
      <c r="D170" s="229" t="n"/>
      <c r="E170" s="229" t="n"/>
      <c r="F170" s="229" t="n"/>
      <c r="G170" s="229" t="n"/>
      <c r="H170" s="229" t="n"/>
      <c r="I170" s="229" t="n"/>
      <c r="J170" s="229" t="inlineStr">
        <is>
          <t>MY</t>
        </is>
      </c>
      <c r="K170" s="229" t="n"/>
      <c r="L170" s="229" t="n"/>
      <c r="M170" s="229" t="n"/>
      <c r="N170" s="229" t="n"/>
      <c r="O170" s="229" t="n"/>
      <c r="P170" s="229" t="n"/>
      <c r="Q170" s="229" t="n"/>
      <c r="R170" s="229" t="inlineStr">
        <is>
          <t>VUV</t>
        </is>
      </c>
      <c r="S170" s="229" t="n"/>
      <c r="T170" s="229" t="n"/>
      <c r="U170" s="229" t="n"/>
      <c r="V170" s="229" t="n"/>
      <c r="W170" s="229" t="n"/>
      <c r="X170" s="229" t="n"/>
      <c r="Y170" s="229" t="n"/>
      <c r="Z170" s="229" t="n"/>
      <c r="AA170" s="229" t="n"/>
      <c r="AB170" s="229" t="n"/>
      <c r="AC170" s="229" t="n"/>
      <c r="AD170" s="229" t="n"/>
      <c r="AE170" s="229" t="n"/>
      <c r="AF170" s="229" t="n"/>
      <c r="AG170" s="229" t="n"/>
      <c r="AH170" s="229" t="n"/>
      <c r="AI170" s="229" t="n"/>
      <c r="AJ170" s="229" t="n"/>
    </row>
    <row r="171" customFormat="1" s="13">
      <c r="A171" s="11" t="inlineStr">
        <is>
          <t>#</t>
        </is>
      </c>
      <c r="B171" s="230" t="n"/>
      <c r="C171" s="229" t="n"/>
      <c r="D171" s="229" t="n"/>
      <c r="E171" s="229" t="n"/>
      <c r="F171" s="229" t="n"/>
      <c r="G171" s="229" t="n"/>
      <c r="H171" s="229" t="n"/>
      <c r="I171" s="229" t="n"/>
      <c r="J171" s="229" t="inlineStr">
        <is>
          <t>MZ</t>
        </is>
      </c>
      <c r="K171" s="229" t="n"/>
      <c r="L171" s="229" t="n"/>
      <c r="M171" s="229" t="n"/>
      <c r="N171" s="229" t="n"/>
      <c r="O171" s="229" t="n"/>
      <c r="P171" s="229" t="n"/>
      <c r="Q171" s="229" t="n"/>
      <c r="R171" s="229" t="inlineStr">
        <is>
          <t>WST</t>
        </is>
      </c>
      <c r="S171" s="229" t="n"/>
      <c r="T171" s="229" t="n"/>
      <c r="U171" s="229" t="n"/>
      <c r="V171" s="229" t="n"/>
      <c r="W171" s="229" t="n"/>
      <c r="X171" s="229" t="n"/>
      <c r="Y171" s="229" t="n"/>
      <c r="Z171" s="229" t="n"/>
      <c r="AA171" s="229" t="n"/>
      <c r="AB171" s="229" t="n"/>
      <c r="AC171" s="229" t="n"/>
      <c r="AD171" s="229" t="n"/>
      <c r="AE171" s="229" t="n"/>
      <c r="AF171" s="229" t="n"/>
      <c r="AG171" s="229" t="n"/>
      <c r="AH171" s="229" t="n"/>
      <c r="AI171" s="229" t="n"/>
      <c r="AJ171" s="229" t="n"/>
    </row>
    <row r="172" customFormat="1" s="13">
      <c r="A172" s="11" t="inlineStr">
        <is>
          <t>#</t>
        </is>
      </c>
      <c r="B172" s="230" t="n"/>
      <c r="C172" s="229" t="n"/>
      <c r="D172" s="229" t="n"/>
      <c r="E172" s="229" t="n"/>
      <c r="F172" s="229" t="n"/>
      <c r="G172" s="229" t="n"/>
      <c r="H172" s="229" t="n"/>
      <c r="I172" s="229" t="n"/>
      <c r="J172" s="229" t="inlineStr">
        <is>
          <t>NA</t>
        </is>
      </c>
      <c r="K172" s="229" t="n"/>
      <c r="L172" s="229" t="n"/>
      <c r="M172" s="229" t="n"/>
      <c r="N172" s="229" t="n"/>
      <c r="O172" s="229" t="n"/>
      <c r="P172" s="229" t="n"/>
      <c r="Q172" s="229" t="n"/>
      <c r="R172" s="229" t="inlineStr">
        <is>
          <t>XAF</t>
        </is>
      </c>
      <c r="S172" s="229" t="n"/>
      <c r="T172" s="229" t="n"/>
      <c r="U172" s="229" t="n"/>
      <c r="V172" s="229" t="n"/>
      <c r="W172" s="229" t="n"/>
      <c r="X172" s="229" t="n"/>
      <c r="Y172" s="229" t="n"/>
      <c r="Z172" s="229" t="n"/>
      <c r="AA172" s="229" t="n"/>
      <c r="AB172" s="229" t="n"/>
      <c r="AC172" s="229" t="n"/>
      <c r="AD172" s="229" t="n"/>
      <c r="AE172" s="229" t="n"/>
      <c r="AF172" s="229" t="n"/>
      <c r="AG172" s="229" t="n"/>
      <c r="AH172" s="229" t="n"/>
      <c r="AI172" s="229" t="n"/>
      <c r="AJ172" s="229" t="n"/>
    </row>
    <row r="173" customFormat="1" s="13">
      <c r="A173" s="11" t="inlineStr">
        <is>
          <t>#</t>
        </is>
      </c>
      <c r="B173" s="230" t="n"/>
      <c r="C173" s="229" t="n"/>
      <c r="D173" s="229" t="n"/>
      <c r="E173" s="229" t="n"/>
      <c r="F173" s="229" t="n"/>
      <c r="G173" s="229" t="n"/>
      <c r="H173" s="229" t="n"/>
      <c r="I173" s="229" t="n"/>
      <c r="J173" s="229" t="inlineStr">
        <is>
          <t>NC</t>
        </is>
      </c>
      <c r="K173" s="229" t="n"/>
      <c r="L173" s="229" t="n"/>
      <c r="M173" s="229" t="n"/>
      <c r="N173" s="229" t="n"/>
      <c r="O173" s="229" t="n"/>
      <c r="P173" s="229" t="n"/>
      <c r="Q173" s="229" t="n"/>
      <c r="R173" s="229" t="inlineStr">
        <is>
          <t>XAG</t>
        </is>
      </c>
      <c r="S173" s="229" t="n"/>
      <c r="T173" s="229" t="n"/>
      <c r="U173" s="229" t="n"/>
      <c r="V173" s="229" t="n"/>
      <c r="W173" s="229" t="n"/>
      <c r="X173" s="229" t="n"/>
      <c r="Y173" s="229" t="n"/>
      <c r="Z173" s="229" t="n"/>
      <c r="AA173" s="229" t="n"/>
      <c r="AB173" s="229" t="n"/>
      <c r="AC173" s="229" t="n"/>
      <c r="AD173" s="229" t="n"/>
      <c r="AE173" s="229" t="n"/>
      <c r="AF173" s="229" t="n"/>
      <c r="AG173" s="229" t="n"/>
      <c r="AH173" s="229" t="n"/>
      <c r="AI173" s="229" t="n"/>
      <c r="AJ173" s="229" t="n"/>
    </row>
    <row r="174" customFormat="1" s="13">
      <c r="A174" s="11" t="inlineStr">
        <is>
          <t>#</t>
        </is>
      </c>
      <c r="B174" s="230" t="n"/>
      <c r="C174" s="229" t="n"/>
      <c r="D174" s="229" t="n"/>
      <c r="E174" s="229" t="n"/>
      <c r="F174" s="229" t="n"/>
      <c r="G174" s="229" t="n"/>
      <c r="H174" s="229" t="n"/>
      <c r="I174" s="229" t="n"/>
      <c r="J174" s="229" t="inlineStr">
        <is>
          <t>NE</t>
        </is>
      </c>
      <c r="K174" s="229" t="n"/>
      <c r="L174" s="229" t="n"/>
      <c r="M174" s="229" t="n"/>
      <c r="N174" s="229" t="n"/>
      <c r="O174" s="229" t="n"/>
      <c r="P174" s="229" t="n"/>
      <c r="Q174" s="229" t="n"/>
      <c r="R174" s="229" t="inlineStr">
        <is>
          <t>XAU</t>
        </is>
      </c>
      <c r="S174" s="229" t="n"/>
      <c r="T174" s="229" t="n"/>
      <c r="U174" s="229" t="n"/>
      <c r="V174" s="229" t="n"/>
      <c r="W174" s="229" t="n"/>
      <c r="X174" s="229" t="n"/>
      <c r="Y174" s="229" t="n"/>
      <c r="Z174" s="229" t="n"/>
      <c r="AA174" s="229" t="n"/>
      <c r="AB174" s="229" t="n"/>
      <c r="AC174" s="229" t="n"/>
      <c r="AD174" s="229" t="n"/>
      <c r="AE174" s="229" t="n"/>
      <c r="AF174" s="229" t="n"/>
      <c r="AG174" s="229" t="n"/>
      <c r="AH174" s="229" t="n"/>
      <c r="AI174" s="229" t="n"/>
      <c r="AJ174" s="229" t="n"/>
    </row>
    <row r="175" customFormat="1" s="13">
      <c r="A175" s="11" t="inlineStr">
        <is>
          <t>#</t>
        </is>
      </c>
      <c r="B175" s="230" t="n"/>
      <c r="C175" s="229" t="n"/>
      <c r="D175" s="229" t="n"/>
      <c r="E175" s="229" t="n"/>
      <c r="F175" s="229" t="n"/>
      <c r="G175" s="229" t="n"/>
      <c r="H175" s="229" t="n"/>
      <c r="I175" s="229" t="n"/>
      <c r="J175" s="229" t="inlineStr">
        <is>
          <t>NF</t>
        </is>
      </c>
      <c r="K175" s="229" t="n"/>
      <c r="L175" s="229" t="n"/>
      <c r="M175" s="229" t="n"/>
      <c r="N175" s="229" t="n"/>
      <c r="O175" s="229" t="n"/>
      <c r="P175" s="229" t="n"/>
      <c r="Q175" s="229" t="n"/>
      <c r="R175" s="229" t="inlineStr">
        <is>
          <t>XBA</t>
        </is>
      </c>
      <c r="S175" s="229" t="n"/>
      <c r="T175" s="229" t="n"/>
      <c r="U175" s="229" t="n"/>
      <c r="V175" s="229" t="n"/>
      <c r="W175" s="229" t="n"/>
      <c r="X175" s="229" t="n"/>
      <c r="Y175" s="229" t="n"/>
      <c r="Z175" s="229" t="n"/>
      <c r="AA175" s="229" t="n"/>
      <c r="AB175" s="229" t="n"/>
      <c r="AC175" s="229" t="n"/>
      <c r="AD175" s="229" t="n"/>
      <c r="AE175" s="229" t="n"/>
      <c r="AF175" s="229" t="n"/>
      <c r="AG175" s="229" t="n"/>
      <c r="AH175" s="229" t="n"/>
      <c r="AI175" s="229" t="n"/>
      <c r="AJ175" s="229" t="n"/>
    </row>
    <row r="176" customFormat="1" s="13">
      <c r="A176" s="11" t="inlineStr">
        <is>
          <t>#</t>
        </is>
      </c>
      <c r="B176" s="230" t="n"/>
      <c r="C176" s="229" t="n"/>
      <c r="D176" s="229" t="n"/>
      <c r="E176" s="229" t="n"/>
      <c r="F176" s="229" t="n"/>
      <c r="G176" s="229" t="n"/>
      <c r="H176" s="229" t="n"/>
      <c r="I176" s="229" t="n"/>
      <c r="J176" s="229" t="inlineStr">
        <is>
          <t>NG</t>
        </is>
      </c>
      <c r="K176" s="229" t="n"/>
      <c r="L176" s="229" t="n"/>
      <c r="M176" s="229" t="n"/>
      <c r="N176" s="229" t="n"/>
      <c r="O176" s="229" t="n"/>
      <c r="P176" s="229" t="n"/>
      <c r="Q176" s="229" t="n"/>
      <c r="R176" s="229" t="inlineStr">
        <is>
          <t>XBB</t>
        </is>
      </c>
      <c r="S176" s="229" t="n"/>
      <c r="T176" s="229" t="n"/>
      <c r="U176" s="229" t="n"/>
      <c r="V176" s="229" t="n"/>
      <c r="W176" s="229" t="n"/>
      <c r="X176" s="229" t="n"/>
      <c r="Y176" s="229" t="n"/>
      <c r="Z176" s="229" t="n"/>
      <c r="AA176" s="229" t="n"/>
      <c r="AB176" s="229" t="n"/>
      <c r="AC176" s="229" t="n"/>
      <c r="AD176" s="229" t="n"/>
      <c r="AE176" s="229" t="n"/>
      <c r="AF176" s="229" t="n"/>
      <c r="AG176" s="229" t="n"/>
      <c r="AH176" s="229" t="n"/>
      <c r="AI176" s="229" t="n"/>
      <c r="AJ176" s="229" t="n"/>
    </row>
    <row r="177" customFormat="1" s="13">
      <c r="A177" s="11" t="inlineStr">
        <is>
          <t>#</t>
        </is>
      </c>
      <c r="B177" s="230" t="n"/>
      <c r="C177" s="229" t="n"/>
      <c r="D177" s="229" t="n"/>
      <c r="E177" s="229" t="n"/>
      <c r="F177" s="229" t="n"/>
      <c r="G177" s="229" t="n"/>
      <c r="H177" s="229" t="n"/>
      <c r="I177" s="229" t="n"/>
      <c r="J177" s="229" t="inlineStr">
        <is>
          <t>NI</t>
        </is>
      </c>
      <c r="K177" s="229" t="n"/>
      <c r="L177" s="229" t="n"/>
      <c r="M177" s="229" t="n"/>
      <c r="N177" s="229" t="n"/>
      <c r="O177" s="229" t="n"/>
      <c r="P177" s="229" t="n"/>
      <c r="Q177" s="229" t="n"/>
      <c r="R177" s="229" t="inlineStr">
        <is>
          <t>XBC</t>
        </is>
      </c>
      <c r="S177" s="229" t="n"/>
      <c r="T177" s="229" t="n"/>
      <c r="U177" s="229" t="n"/>
      <c r="V177" s="229" t="n"/>
      <c r="W177" s="229" t="n"/>
      <c r="X177" s="229" t="n"/>
      <c r="Y177" s="229" t="n"/>
      <c r="Z177" s="229" t="n"/>
      <c r="AA177" s="229" t="n"/>
      <c r="AB177" s="229" t="n"/>
      <c r="AC177" s="229" t="n"/>
      <c r="AD177" s="229" t="n"/>
      <c r="AE177" s="229" t="n"/>
      <c r="AF177" s="229" t="n"/>
      <c r="AG177" s="229" t="n"/>
      <c r="AH177" s="229" t="n"/>
      <c r="AI177" s="229" t="n"/>
      <c r="AJ177" s="229" t="n"/>
    </row>
    <row r="178" customFormat="1" s="13">
      <c r="A178" s="11" t="inlineStr">
        <is>
          <t>#</t>
        </is>
      </c>
      <c r="B178" s="230" t="n"/>
      <c r="C178" s="229" t="n"/>
      <c r="D178" s="229" t="n"/>
      <c r="E178" s="229" t="n"/>
      <c r="F178" s="229" t="n"/>
      <c r="G178" s="229" t="n"/>
      <c r="H178" s="229" t="n"/>
      <c r="I178" s="229" t="n"/>
      <c r="J178" s="229" t="inlineStr">
        <is>
          <t>NL</t>
        </is>
      </c>
      <c r="K178" s="229" t="n"/>
      <c r="L178" s="229" t="n"/>
      <c r="M178" s="229" t="n"/>
      <c r="N178" s="229" t="n"/>
      <c r="O178" s="229" t="n"/>
      <c r="P178" s="229" t="n"/>
      <c r="Q178" s="229" t="n"/>
      <c r="R178" s="229" t="inlineStr">
        <is>
          <t>XBD</t>
        </is>
      </c>
      <c r="S178" s="229" t="n"/>
      <c r="T178" s="229" t="n"/>
      <c r="U178" s="229" t="n"/>
      <c r="V178" s="229" t="n"/>
      <c r="W178" s="229" t="n"/>
      <c r="X178" s="229" t="n"/>
      <c r="Y178" s="229" t="n"/>
      <c r="Z178" s="229" t="n"/>
      <c r="AA178" s="229" t="n"/>
      <c r="AB178" s="229" t="n"/>
      <c r="AC178" s="229" t="n"/>
      <c r="AD178" s="229" t="n"/>
      <c r="AE178" s="229" t="n"/>
      <c r="AF178" s="229" t="n"/>
      <c r="AG178" s="229" t="n"/>
      <c r="AH178" s="229" t="n"/>
      <c r="AI178" s="229" t="n"/>
      <c r="AJ178" s="229" t="n"/>
    </row>
    <row r="179" customFormat="1" s="13">
      <c r="A179" s="11" t="inlineStr">
        <is>
          <t>#</t>
        </is>
      </c>
      <c r="B179" s="230" t="n"/>
      <c r="C179" s="229" t="n"/>
      <c r="D179" s="229" t="n"/>
      <c r="E179" s="229" t="n"/>
      <c r="F179" s="229" t="n"/>
      <c r="G179" s="229" t="n"/>
      <c r="H179" s="229" t="n"/>
      <c r="I179" s="229" t="n"/>
      <c r="J179" s="229" t="inlineStr">
        <is>
          <t>NO</t>
        </is>
      </c>
      <c r="K179" s="229" t="n"/>
      <c r="L179" s="229" t="n"/>
      <c r="M179" s="229" t="n"/>
      <c r="N179" s="229" t="n"/>
      <c r="O179" s="229" t="n"/>
      <c r="P179" s="229" t="n"/>
      <c r="Q179" s="229" t="n"/>
      <c r="R179" s="229" t="inlineStr">
        <is>
          <t>XCD</t>
        </is>
      </c>
      <c r="S179" s="229" t="n"/>
      <c r="T179" s="229" t="n"/>
      <c r="U179" s="229" t="n"/>
      <c r="V179" s="229" t="n"/>
      <c r="W179" s="229" t="n"/>
      <c r="X179" s="229" t="n"/>
      <c r="Y179" s="229" t="n"/>
      <c r="Z179" s="229" t="n"/>
      <c r="AA179" s="229" t="n"/>
      <c r="AB179" s="229" t="n"/>
      <c r="AC179" s="229" t="n"/>
      <c r="AD179" s="229" t="n"/>
      <c r="AE179" s="229" t="n"/>
      <c r="AF179" s="229" t="n"/>
      <c r="AG179" s="229" t="n"/>
      <c r="AH179" s="229" t="n"/>
      <c r="AI179" s="229" t="n"/>
      <c r="AJ179" s="229" t="n"/>
    </row>
    <row r="180" customFormat="1" s="13">
      <c r="A180" s="11" t="inlineStr">
        <is>
          <t>#</t>
        </is>
      </c>
      <c r="B180" s="230" t="n"/>
      <c r="C180" s="229" t="n"/>
      <c r="D180" s="229" t="n"/>
      <c r="E180" s="229" t="n"/>
      <c r="F180" s="229" t="n"/>
      <c r="G180" s="229" t="n"/>
      <c r="H180" s="229" t="n"/>
      <c r="I180" s="229" t="n"/>
      <c r="J180" s="229" t="inlineStr">
        <is>
          <t>NP</t>
        </is>
      </c>
      <c r="K180" s="229" t="n"/>
      <c r="L180" s="229" t="n"/>
      <c r="M180" s="229" t="n"/>
      <c r="N180" s="229" t="n"/>
      <c r="O180" s="229" t="n"/>
      <c r="P180" s="229" t="n"/>
      <c r="Q180" s="229" t="n"/>
      <c r="R180" s="229" t="inlineStr">
        <is>
          <t>XDR</t>
        </is>
      </c>
      <c r="S180" s="229" t="n"/>
      <c r="T180" s="229" t="n"/>
      <c r="U180" s="229" t="n"/>
      <c r="V180" s="229" t="n"/>
      <c r="W180" s="229" t="n"/>
      <c r="X180" s="229" t="n"/>
      <c r="Y180" s="229" t="n"/>
      <c r="Z180" s="229" t="n"/>
      <c r="AA180" s="229" t="n"/>
      <c r="AB180" s="229" t="n"/>
      <c r="AC180" s="229" t="n"/>
      <c r="AD180" s="229" t="n"/>
      <c r="AE180" s="229" t="n"/>
      <c r="AF180" s="229" t="n"/>
      <c r="AG180" s="229" t="n"/>
      <c r="AH180" s="229" t="n"/>
      <c r="AI180" s="229" t="n"/>
      <c r="AJ180" s="229" t="n"/>
    </row>
    <row r="181" customFormat="1" s="13">
      <c r="A181" s="11" t="inlineStr">
        <is>
          <t>#</t>
        </is>
      </c>
      <c r="B181" s="230" t="n"/>
      <c r="C181" s="229" t="n"/>
      <c r="D181" s="229" t="n"/>
      <c r="E181" s="229" t="n"/>
      <c r="F181" s="229" t="n"/>
      <c r="G181" s="229" t="n"/>
      <c r="H181" s="229" t="n"/>
      <c r="I181" s="229" t="n"/>
      <c r="J181" s="229" t="inlineStr">
        <is>
          <t>NR</t>
        </is>
      </c>
      <c r="K181" s="229" t="n"/>
      <c r="L181" s="229" t="n"/>
      <c r="M181" s="229" t="n"/>
      <c r="N181" s="229" t="n"/>
      <c r="O181" s="229" t="n"/>
      <c r="P181" s="229" t="n"/>
      <c r="Q181" s="229" t="n"/>
      <c r="R181" s="229" t="inlineStr">
        <is>
          <t>XOF</t>
        </is>
      </c>
      <c r="S181" s="229" t="n"/>
      <c r="T181" s="229" t="n"/>
      <c r="U181" s="229" t="n"/>
      <c r="V181" s="229" t="n"/>
      <c r="W181" s="229" t="n"/>
      <c r="X181" s="229" t="n"/>
      <c r="Y181" s="229" t="n"/>
      <c r="Z181" s="229" t="n"/>
      <c r="AA181" s="229" t="n"/>
      <c r="AB181" s="229" t="n"/>
      <c r="AC181" s="229" t="n"/>
      <c r="AD181" s="229" t="n"/>
      <c r="AE181" s="229" t="n"/>
      <c r="AF181" s="229" t="n"/>
      <c r="AG181" s="229" t="n"/>
      <c r="AH181" s="229" t="n"/>
      <c r="AI181" s="229" t="n"/>
      <c r="AJ181" s="229" t="n"/>
    </row>
    <row r="182" customFormat="1" s="13">
      <c r="A182" s="11" t="inlineStr">
        <is>
          <t>#</t>
        </is>
      </c>
      <c r="B182" s="230" t="n"/>
      <c r="C182" s="229" t="n"/>
      <c r="D182" s="229" t="n"/>
      <c r="E182" s="229" t="n"/>
      <c r="F182" s="229" t="n"/>
      <c r="G182" s="229" t="n"/>
      <c r="H182" s="229" t="n"/>
      <c r="I182" s="229" t="n"/>
      <c r="J182" s="229" t="inlineStr">
        <is>
          <t>NU</t>
        </is>
      </c>
      <c r="K182" s="229" t="n"/>
      <c r="L182" s="229" t="n"/>
      <c r="M182" s="229" t="n"/>
      <c r="N182" s="229" t="n"/>
      <c r="O182" s="229" t="n"/>
      <c r="P182" s="229" t="n"/>
      <c r="Q182" s="229" t="n"/>
      <c r="R182" s="229" t="inlineStr">
        <is>
          <t>XPD</t>
        </is>
      </c>
      <c r="S182" s="229" t="n"/>
      <c r="T182" s="229" t="n"/>
      <c r="U182" s="229" t="n"/>
      <c r="V182" s="229" t="n"/>
      <c r="W182" s="229" t="n"/>
      <c r="X182" s="229" t="n"/>
      <c r="Y182" s="229" t="n"/>
      <c r="Z182" s="229" t="n"/>
      <c r="AA182" s="229" t="n"/>
      <c r="AB182" s="229" t="n"/>
      <c r="AC182" s="229" t="n"/>
      <c r="AD182" s="229" t="n"/>
      <c r="AE182" s="229" t="n"/>
      <c r="AF182" s="229" t="n"/>
      <c r="AG182" s="229" t="n"/>
      <c r="AH182" s="229" t="n"/>
      <c r="AI182" s="229" t="n"/>
      <c r="AJ182" s="229" t="n"/>
    </row>
    <row r="183" customFormat="1" s="13">
      <c r="A183" s="11" t="inlineStr">
        <is>
          <t>#</t>
        </is>
      </c>
      <c r="B183" s="230" t="n"/>
      <c r="C183" s="229" t="n"/>
      <c r="D183" s="229" t="n"/>
      <c r="E183" s="229" t="n"/>
      <c r="F183" s="229" t="n"/>
      <c r="G183" s="229" t="n"/>
      <c r="H183" s="229" t="n"/>
      <c r="I183" s="229" t="n"/>
      <c r="J183" s="229" t="inlineStr">
        <is>
          <t>NZ</t>
        </is>
      </c>
      <c r="K183" s="229" t="n"/>
      <c r="L183" s="229" t="n"/>
      <c r="M183" s="229" t="n"/>
      <c r="N183" s="229" t="n"/>
      <c r="O183" s="229" t="n"/>
      <c r="P183" s="229" t="n"/>
      <c r="Q183" s="229" t="n"/>
      <c r="R183" s="229" t="inlineStr">
        <is>
          <t>XPF</t>
        </is>
      </c>
      <c r="S183" s="229" t="n"/>
      <c r="T183" s="229" t="n"/>
      <c r="U183" s="229" t="n"/>
      <c r="V183" s="229" t="n"/>
      <c r="W183" s="229" t="n"/>
      <c r="X183" s="229" t="n"/>
      <c r="Y183" s="229" t="n"/>
      <c r="Z183" s="229" t="n"/>
      <c r="AA183" s="229" t="n"/>
      <c r="AB183" s="229" t="n"/>
      <c r="AC183" s="229" t="n"/>
      <c r="AD183" s="229" t="n"/>
      <c r="AE183" s="229" t="n"/>
      <c r="AF183" s="229" t="n"/>
      <c r="AG183" s="229" t="n"/>
      <c r="AH183" s="229" t="n"/>
      <c r="AI183" s="229" t="n"/>
      <c r="AJ183" s="229" t="n"/>
    </row>
    <row r="184" customFormat="1" s="13">
      <c r="A184" s="11" t="inlineStr">
        <is>
          <t>#</t>
        </is>
      </c>
      <c r="B184" s="230" t="n"/>
      <c r="C184" s="229" t="n"/>
      <c r="D184" s="229" t="n"/>
      <c r="E184" s="229" t="n"/>
      <c r="F184" s="229" t="n"/>
      <c r="G184" s="229" t="n"/>
      <c r="H184" s="229" t="n"/>
      <c r="I184" s="229" t="n"/>
      <c r="J184" s="229" t="inlineStr">
        <is>
          <t>OM</t>
        </is>
      </c>
      <c r="K184" s="229" t="n"/>
      <c r="L184" s="229" t="n"/>
      <c r="M184" s="229" t="n"/>
      <c r="N184" s="229" t="n"/>
      <c r="O184" s="229" t="n"/>
      <c r="P184" s="229" t="n"/>
      <c r="Q184" s="229" t="n"/>
      <c r="R184" s="229" t="inlineStr">
        <is>
          <t>XPT</t>
        </is>
      </c>
      <c r="S184" s="229" t="n"/>
      <c r="T184" s="229" t="n"/>
      <c r="U184" s="229" t="n"/>
      <c r="V184" s="229" t="n"/>
      <c r="W184" s="229" t="n"/>
      <c r="X184" s="229" t="n"/>
      <c r="Y184" s="229" t="n"/>
      <c r="Z184" s="229" t="n"/>
      <c r="AA184" s="229" t="n"/>
      <c r="AB184" s="229" t="n"/>
      <c r="AC184" s="229" t="n"/>
      <c r="AD184" s="229" t="n"/>
      <c r="AE184" s="229" t="n"/>
      <c r="AF184" s="229" t="n"/>
      <c r="AG184" s="229" t="n"/>
      <c r="AH184" s="229" t="n"/>
      <c r="AI184" s="229" t="n"/>
      <c r="AJ184" s="229" t="n"/>
    </row>
    <row r="185" customFormat="1" s="13">
      <c r="A185" s="11" t="inlineStr">
        <is>
          <t>#</t>
        </is>
      </c>
      <c r="B185" s="230" t="n"/>
      <c r="C185" s="229" t="n"/>
      <c r="D185" s="229" t="n"/>
      <c r="E185" s="229" t="n"/>
      <c r="F185" s="229" t="n"/>
      <c r="G185" s="229" t="n"/>
      <c r="H185" s="229" t="n"/>
      <c r="I185" s="229" t="n"/>
      <c r="J185" s="229" t="inlineStr">
        <is>
          <t>PA</t>
        </is>
      </c>
      <c r="K185" s="229" t="n"/>
      <c r="L185" s="229" t="n"/>
      <c r="M185" s="229" t="n"/>
      <c r="N185" s="229" t="n"/>
      <c r="O185" s="229" t="n"/>
      <c r="P185" s="229" t="n"/>
      <c r="Q185" s="229" t="n"/>
      <c r="R185" s="229" t="inlineStr">
        <is>
          <t>XSU</t>
        </is>
      </c>
      <c r="S185" s="229" t="n"/>
      <c r="T185" s="229" t="n"/>
      <c r="U185" s="229" t="n"/>
      <c r="V185" s="229" t="n"/>
      <c r="W185" s="229" t="n"/>
      <c r="X185" s="229" t="n"/>
      <c r="Y185" s="229" t="n"/>
      <c r="Z185" s="229" t="n"/>
      <c r="AA185" s="229" t="n"/>
      <c r="AB185" s="229" t="n"/>
      <c r="AC185" s="229" t="n"/>
      <c r="AD185" s="229" t="n"/>
      <c r="AE185" s="229" t="n"/>
      <c r="AF185" s="229" t="n"/>
      <c r="AG185" s="229" t="n"/>
      <c r="AH185" s="229" t="n"/>
      <c r="AI185" s="229" t="n"/>
      <c r="AJ185" s="229" t="n"/>
    </row>
    <row r="186" customFormat="1" s="13">
      <c r="A186" s="11" t="inlineStr">
        <is>
          <t>#</t>
        </is>
      </c>
      <c r="B186" s="230" t="n"/>
      <c r="C186" s="229" t="n"/>
      <c r="D186" s="229" t="n"/>
      <c r="E186" s="229" t="n"/>
      <c r="F186" s="229" t="n"/>
      <c r="G186" s="229" t="n"/>
      <c r="H186" s="229" t="n"/>
      <c r="I186" s="229" t="n"/>
      <c r="J186" s="229" t="inlineStr">
        <is>
          <t>PE</t>
        </is>
      </c>
      <c r="K186" s="229" t="n"/>
      <c r="L186" s="229" t="n"/>
      <c r="M186" s="229" t="n"/>
      <c r="N186" s="229" t="n"/>
      <c r="O186" s="229" t="n"/>
      <c r="P186" s="229" t="n"/>
      <c r="Q186" s="229" t="n"/>
      <c r="R186" s="229" t="inlineStr">
        <is>
          <t>XTS</t>
        </is>
      </c>
      <c r="S186" s="229" t="n"/>
      <c r="T186" s="229" t="n"/>
      <c r="U186" s="229" t="n"/>
      <c r="V186" s="229" t="n"/>
      <c r="W186" s="229" t="n"/>
      <c r="X186" s="229" t="n"/>
      <c r="Y186" s="229" t="n"/>
      <c r="Z186" s="229" t="n"/>
      <c r="AA186" s="229" t="n"/>
      <c r="AB186" s="229" t="n"/>
      <c r="AC186" s="229" t="n"/>
      <c r="AD186" s="229" t="n"/>
      <c r="AE186" s="229" t="n"/>
      <c r="AF186" s="229" t="n"/>
      <c r="AG186" s="229" t="n"/>
      <c r="AH186" s="229" t="n"/>
      <c r="AI186" s="229" t="n"/>
      <c r="AJ186" s="229" t="n"/>
    </row>
    <row r="187" customFormat="1" s="13">
      <c r="A187" s="11" t="inlineStr">
        <is>
          <t>#</t>
        </is>
      </c>
      <c r="B187" s="230" t="n"/>
      <c r="C187" s="229" t="n"/>
      <c r="D187" s="229" t="n"/>
      <c r="E187" s="229" t="n"/>
      <c r="F187" s="229" t="n"/>
      <c r="G187" s="229" t="n"/>
      <c r="H187" s="229" t="n"/>
      <c r="I187" s="229" t="n"/>
      <c r="J187" s="229" t="inlineStr">
        <is>
          <t>PF</t>
        </is>
      </c>
      <c r="K187" s="229" t="n"/>
      <c r="L187" s="229" t="n"/>
      <c r="M187" s="229" t="n"/>
      <c r="N187" s="229" t="n"/>
      <c r="O187" s="229" t="n"/>
      <c r="P187" s="229" t="n"/>
      <c r="Q187" s="229" t="n"/>
      <c r="R187" s="229" t="inlineStr">
        <is>
          <t>XUA</t>
        </is>
      </c>
      <c r="S187" s="229" t="n"/>
      <c r="T187" s="229" t="n"/>
      <c r="U187" s="229" t="n"/>
      <c r="V187" s="229" t="n"/>
      <c r="W187" s="229" t="n"/>
      <c r="X187" s="229" t="n"/>
      <c r="Y187" s="229" t="n"/>
      <c r="Z187" s="229" t="n"/>
      <c r="AA187" s="229" t="n"/>
      <c r="AB187" s="229" t="n"/>
      <c r="AC187" s="229" t="n"/>
      <c r="AD187" s="229" t="n"/>
      <c r="AE187" s="229" t="n"/>
      <c r="AF187" s="229" t="n"/>
      <c r="AG187" s="229" t="n"/>
      <c r="AH187" s="229" t="n"/>
      <c r="AI187" s="229" t="n"/>
      <c r="AJ187" s="229" t="n"/>
    </row>
    <row r="188" customFormat="1" s="13">
      <c r="A188" s="11" t="inlineStr">
        <is>
          <t>#</t>
        </is>
      </c>
      <c r="B188" s="230" t="n"/>
      <c r="C188" s="229" t="n"/>
      <c r="D188" s="229" t="n"/>
      <c r="E188" s="229" t="n"/>
      <c r="F188" s="229" t="n"/>
      <c r="G188" s="229" t="n"/>
      <c r="H188" s="229" t="n"/>
      <c r="I188" s="229" t="n"/>
      <c r="J188" s="229" t="inlineStr">
        <is>
          <t>PG</t>
        </is>
      </c>
      <c r="K188" s="229" t="n"/>
      <c r="L188" s="229" t="n"/>
      <c r="M188" s="229" t="n"/>
      <c r="N188" s="229" t="n"/>
      <c r="O188" s="229" t="n"/>
      <c r="P188" s="229" t="n"/>
      <c r="Q188" s="229" t="n"/>
      <c r="R188" s="229" t="inlineStr">
        <is>
          <t>XXX</t>
        </is>
      </c>
      <c r="S188" s="229" t="n"/>
      <c r="T188" s="229" t="n"/>
      <c r="U188" s="229" t="n"/>
      <c r="V188" s="229" t="n"/>
      <c r="W188" s="229" t="n"/>
      <c r="X188" s="229" t="n"/>
      <c r="Y188" s="229" t="n"/>
      <c r="Z188" s="229" t="n"/>
      <c r="AA188" s="229" t="n"/>
      <c r="AB188" s="229" t="n"/>
      <c r="AC188" s="229" t="n"/>
      <c r="AD188" s="229" t="n"/>
      <c r="AE188" s="229" t="n"/>
      <c r="AF188" s="229" t="n"/>
      <c r="AG188" s="229" t="n"/>
      <c r="AH188" s="229" t="n"/>
      <c r="AI188" s="229" t="n"/>
      <c r="AJ188" s="229" t="n"/>
    </row>
    <row r="189" customFormat="1" s="13">
      <c r="A189" s="11" t="inlineStr">
        <is>
          <t>#</t>
        </is>
      </c>
      <c r="B189" s="230" t="n"/>
      <c r="C189" s="229" t="n"/>
      <c r="D189" s="229" t="n"/>
      <c r="E189" s="229" t="n"/>
      <c r="F189" s="229" t="n"/>
      <c r="G189" s="229" t="n"/>
      <c r="H189" s="229" t="n"/>
      <c r="I189" s="229" t="n"/>
      <c r="J189" s="229" t="inlineStr">
        <is>
          <t>PH</t>
        </is>
      </c>
      <c r="K189" s="229" t="n"/>
      <c r="L189" s="229" t="n"/>
      <c r="M189" s="229" t="n"/>
      <c r="N189" s="229" t="n"/>
      <c r="O189" s="229" t="n"/>
      <c r="P189" s="229" t="n"/>
      <c r="Q189" s="229" t="n"/>
      <c r="R189" s="229" t="inlineStr">
        <is>
          <t>YER</t>
        </is>
      </c>
      <c r="S189" s="229" t="n"/>
      <c r="T189" s="229" t="n"/>
      <c r="U189" s="229" t="n"/>
      <c r="V189" s="229" t="n"/>
      <c r="W189" s="229" t="n"/>
      <c r="X189" s="229" t="n"/>
      <c r="Y189" s="229" t="n"/>
      <c r="Z189" s="229" t="n"/>
      <c r="AA189" s="229" t="n"/>
      <c r="AB189" s="229" t="n"/>
      <c r="AC189" s="229" t="n"/>
      <c r="AD189" s="229" t="n"/>
      <c r="AE189" s="229" t="n"/>
      <c r="AF189" s="229" t="n"/>
      <c r="AG189" s="229" t="n"/>
      <c r="AH189" s="229" t="n"/>
      <c r="AI189" s="229" t="n"/>
      <c r="AJ189" s="229" t="n"/>
    </row>
    <row r="190" customFormat="1" s="13">
      <c r="A190" s="11" t="inlineStr">
        <is>
          <t>#</t>
        </is>
      </c>
      <c r="B190" s="230" t="n"/>
      <c r="C190" s="229" t="n"/>
      <c r="D190" s="229" t="n"/>
      <c r="E190" s="229" t="n"/>
      <c r="F190" s="229" t="n"/>
      <c r="G190" s="229" t="n"/>
      <c r="H190" s="229" t="n"/>
      <c r="I190" s="229" t="n"/>
      <c r="J190" s="229" t="inlineStr">
        <is>
          <t>PK</t>
        </is>
      </c>
      <c r="K190" s="229" t="n"/>
      <c r="L190" s="229" t="n"/>
      <c r="M190" s="229" t="n"/>
      <c r="N190" s="229" t="n"/>
      <c r="O190" s="229" t="n"/>
      <c r="P190" s="229" t="n"/>
      <c r="Q190" s="229" t="n"/>
      <c r="R190" s="229" t="inlineStr">
        <is>
          <t>ZAR</t>
        </is>
      </c>
      <c r="S190" s="229" t="n"/>
      <c r="T190" s="229" t="n"/>
      <c r="U190" s="229" t="n"/>
      <c r="V190" s="229" t="n"/>
      <c r="W190" s="229" t="n"/>
      <c r="X190" s="229" t="n"/>
      <c r="Y190" s="229" t="n"/>
      <c r="Z190" s="229" t="n"/>
      <c r="AA190" s="229" t="n"/>
      <c r="AB190" s="229" t="n"/>
      <c r="AC190" s="229" t="n"/>
      <c r="AD190" s="229" t="n"/>
      <c r="AE190" s="229" t="n"/>
      <c r="AF190" s="229" t="n"/>
      <c r="AG190" s="229" t="n"/>
      <c r="AH190" s="229" t="n"/>
      <c r="AI190" s="229" t="n"/>
      <c r="AJ190" s="229" t="n"/>
    </row>
    <row r="191" customFormat="1" s="13">
      <c r="A191" s="11" t="inlineStr">
        <is>
          <t>#</t>
        </is>
      </c>
      <c r="B191" s="230" t="n"/>
      <c r="C191" s="229" t="n"/>
      <c r="D191" s="229" t="n"/>
      <c r="E191" s="229" t="n"/>
      <c r="F191" s="229" t="n"/>
      <c r="G191" s="229" t="n"/>
      <c r="H191" s="229" t="n"/>
      <c r="I191" s="229" t="n"/>
      <c r="J191" s="229" t="inlineStr">
        <is>
          <t>PL</t>
        </is>
      </c>
      <c r="K191" s="229" t="n"/>
      <c r="L191" s="229" t="n"/>
      <c r="M191" s="229" t="n"/>
      <c r="N191" s="229" t="n"/>
      <c r="O191" s="229" t="n"/>
      <c r="P191" s="229" t="n"/>
      <c r="Q191" s="229" t="n"/>
      <c r="R191" s="229" t="inlineStr">
        <is>
          <t>ZMW</t>
        </is>
      </c>
      <c r="S191" s="229" t="n"/>
      <c r="T191" s="229" t="n"/>
      <c r="U191" s="229" t="n"/>
      <c r="V191" s="229" t="n"/>
      <c r="W191" s="229" t="n"/>
      <c r="X191" s="229" t="n"/>
      <c r="Y191" s="229" t="n"/>
      <c r="Z191" s="229" t="n"/>
      <c r="AA191" s="229" t="n"/>
      <c r="AB191" s="229" t="n"/>
      <c r="AC191" s="229" t="n"/>
      <c r="AD191" s="229" t="n"/>
      <c r="AE191" s="229" t="n"/>
      <c r="AF191" s="229" t="n"/>
      <c r="AG191" s="229" t="n"/>
      <c r="AH191" s="229" t="n"/>
      <c r="AI191" s="229" t="n"/>
      <c r="AJ191" s="229" t="n"/>
    </row>
    <row r="192" customFormat="1" s="13">
      <c r="A192" s="11" t="inlineStr">
        <is>
          <t>#</t>
        </is>
      </c>
      <c r="B192" s="230" t="n"/>
      <c r="C192" s="229" t="n"/>
      <c r="D192" s="229" t="n"/>
      <c r="E192" s="229" t="n"/>
      <c r="F192" s="229" t="n"/>
      <c r="G192" s="229" t="n"/>
      <c r="H192" s="229" t="n"/>
      <c r="I192" s="229" t="n"/>
      <c r="J192" s="229" t="inlineStr">
        <is>
          <t>PM</t>
        </is>
      </c>
      <c r="K192" s="229" t="n"/>
      <c r="L192" s="229" t="n"/>
      <c r="M192" s="229" t="n"/>
      <c r="N192" s="229" t="n"/>
      <c r="O192" s="229" t="n"/>
      <c r="P192" s="229" t="n"/>
      <c r="Q192" s="229" t="n"/>
      <c r="R192" s="229" t="inlineStr">
        <is>
          <t>ZWL</t>
        </is>
      </c>
      <c r="S192" s="229" t="n"/>
      <c r="T192" s="229" t="n"/>
      <c r="U192" s="229" t="n"/>
      <c r="V192" s="229" t="n"/>
      <c r="W192" s="229" t="n"/>
      <c r="X192" s="229" t="n"/>
      <c r="Y192" s="229" t="n"/>
      <c r="Z192" s="229" t="n"/>
      <c r="AA192" s="229" t="n"/>
      <c r="AB192" s="229" t="n"/>
      <c r="AC192" s="229" t="n"/>
      <c r="AD192" s="229" t="n"/>
      <c r="AE192" s="229" t="n"/>
      <c r="AF192" s="229" t="n"/>
      <c r="AG192" s="229" t="n"/>
      <c r="AH192" s="229" t="n"/>
      <c r="AI192" s="229" t="n"/>
      <c r="AJ192" s="229" t="n"/>
    </row>
    <row r="193" customFormat="1" s="13">
      <c r="A193" s="11" t="inlineStr">
        <is>
          <t>#</t>
        </is>
      </c>
      <c r="B193" s="230" t="n"/>
      <c r="C193" s="229" t="n"/>
      <c r="D193" s="229" t="n"/>
      <c r="E193" s="229" t="n"/>
      <c r="F193" s="229" t="n"/>
      <c r="G193" s="229" t="n"/>
      <c r="H193" s="229" t="n"/>
      <c r="I193" s="229" t="n"/>
      <c r="J193" s="229" t="inlineStr">
        <is>
          <t>PN</t>
        </is>
      </c>
      <c r="K193" s="229" t="n"/>
      <c r="L193" s="229" t="n"/>
      <c r="M193" s="229" t="n"/>
      <c r="N193" s="229" t="n"/>
      <c r="O193" s="229" t="n"/>
      <c r="P193" s="229" t="n"/>
      <c r="Q193" s="229" t="n"/>
      <c r="R193" s="229" t="n"/>
      <c r="S193" s="229" t="n"/>
      <c r="T193" s="229" t="n"/>
      <c r="U193" s="229" t="n"/>
      <c r="V193" s="229" t="n"/>
      <c r="W193" s="229" t="n"/>
      <c r="X193" s="229" t="n"/>
      <c r="Y193" s="229" t="n"/>
      <c r="Z193" s="229" t="n"/>
      <c r="AA193" s="229" t="n"/>
      <c r="AB193" s="229" t="n"/>
      <c r="AC193" s="229" t="n"/>
      <c r="AD193" s="229" t="n"/>
      <c r="AE193" s="229" t="n"/>
      <c r="AF193" s="229" t="n"/>
      <c r="AG193" s="229" t="n"/>
      <c r="AH193" s="229" t="n"/>
      <c r="AI193" s="229" t="n"/>
      <c r="AJ193" s="229" t="n"/>
    </row>
    <row r="194" customFormat="1" s="13">
      <c r="A194" s="11" t="inlineStr">
        <is>
          <t>#</t>
        </is>
      </c>
      <c r="B194" s="230" t="n"/>
      <c r="C194" s="229" t="n"/>
      <c r="D194" s="229" t="n"/>
      <c r="E194" s="229" t="n"/>
      <c r="F194" s="229" t="n"/>
      <c r="G194" s="229" t="n"/>
      <c r="H194" s="229" t="n"/>
      <c r="I194" s="229" t="n"/>
      <c r="J194" s="229" t="inlineStr">
        <is>
          <t>PR</t>
        </is>
      </c>
      <c r="K194" s="229" t="n"/>
      <c r="L194" s="229" t="n"/>
      <c r="M194" s="229" t="n"/>
      <c r="N194" s="229" t="n"/>
      <c r="O194" s="229" t="n"/>
      <c r="P194" s="229" t="n"/>
      <c r="Q194" s="229" t="n"/>
      <c r="R194" s="229" t="n"/>
      <c r="S194" s="229" t="n"/>
      <c r="T194" s="229" t="n"/>
      <c r="U194" s="229" t="n"/>
      <c r="V194" s="229" t="n"/>
      <c r="W194" s="229" t="n"/>
      <c r="X194" s="229" t="n"/>
      <c r="Y194" s="229" t="n"/>
      <c r="Z194" s="229" t="n"/>
      <c r="AA194" s="229" t="n"/>
      <c r="AB194" s="229" t="n"/>
      <c r="AC194" s="229" t="n"/>
      <c r="AD194" s="229" t="n"/>
      <c r="AE194" s="229" t="n"/>
      <c r="AF194" s="229" t="n"/>
      <c r="AG194" s="229" t="n"/>
      <c r="AH194" s="229" t="n"/>
      <c r="AI194" s="229" t="n"/>
      <c r="AJ194" s="229" t="n"/>
    </row>
    <row r="195" customFormat="1" s="13">
      <c r="A195" s="11" t="inlineStr">
        <is>
          <t>#</t>
        </is>
      </c>
      <c r="B195" s="230" t="n"/>
      <c r="C195" s="229" t="n"/>
      <c r="D195" s="229" t="n"/>
      <c r="E195" s="229" t="n"/>
      <c r="F195" s="229" t="n"/>
      <c r="G195" s="229" t="n"/>
      <c r="H195" s="229" t="n"/>
      <c r="I195" s="229" t="n"/>
      <c r="J195" s="229" t="inlineStr">
        <is>
          <t>PS</t>
        </is>
      </c>
      <c r="K195" s="229" t="n"/>
      <c r="L195" s="229" t="n"/>
      <c r="M195" s="229" t="n"/>
      <c r="N195" s="229" t="n"/>
      <c r="O195" s="229" t="n"/>
      <c r="P195" s="229" t="n"/>
      <c r="Q195" s="229" t="n"/>
      <c r="R195" s="229" t="n"/>
      <c r="S195" s="229" t="n"/>
      <c r="T195" s="229" t="n"/>
      <c r="U195" s="229" t="n"/>
      <c r="V195" s="229" t="n"/>
      <c r="W195" s="229" t="n"/>
      <c r="X195" s="229" t="n"/>
      <c r="Y195" s="229" t="n"/>
      <c r="Z195" s="229" t="n"/>
      <c r="AA195" s="229" t="n"/>
      <c r="AB195" s="229" t="n"/>
      <c r="AC195" s="229" t="n"/>
      <c r="AD195" s="229" t="n"/>
      <c r="AE195" s="229" t="n"/>
      <c r="AF195" s="229" t="n"/>
      <c r="AG195" s="229" t="n"/>
      <c r="AH195" s="229" t="n"/>
      <c r="AI195" s="229" t="n"/>
      <c r="AJ195" s="229" t="n"/>
    </row>
    <row r="196" customFormat="1" s="13">
      <c r="A196" s="11" t="inlineStr">
        <is>
          <t>#</t>
        </is>
      </c>
      <c r="B196" s="230" t="n"/>
      <c r="C196" s="229" t="n"/>
      <c r="D196" s="229" t="n"/>
      <c r="E196" s="229" t="n"/>
      <c r="F196" s="229" t="n"/>
      <c r="G196" s="229" t="n"/>
      <c r="H196" s="229" t="n"/>
      <c r="I196" s="229" t="n"/>
      <c r="J196" s="229" t="inlineStr">
        <is>
          <t>PT</t>
        </is>
      </c>
      <c r="K196" s="229" t="n"/>
      <c r="L196" s="229" t="n"/>
      <c r="M196" s="229" t="n"/>
      <c r="N196" s="229" t="n"/>
      <c r="O196" s="229" t="n"/>
      <c r="P196" s="229" t="n"/>
      <c r="Q196" s="229" t="n"/>
      <c r="R196" s="229" t="n"/>
      <c r="S196" s="229" t="n"/>
      <c r="T196" s="229" t="n"/>
      <c r="U196" s="229" t="n"/>
      <c r="V196" s="229" t="n"/>
      <c r="W196" s="229" t="n"/>
      <c r="X196" s="229" t="n"/>
      <c r="Y196" s="229" t="n"/>
      <c r="Z196" s="229" t="n"/>
      <c r="AA196" s="229" t="n"/>
      <c r="AB196" s="229" t="n"/>
      <c r="AC196" s="229" t="n"/>
      <c r="AD196" s="229" t="n"/>
      <c r="AE196" s="229" t="n"/>
      <c r="AF196" s="229" t="n"/>
      <c r="AG196" s="229" t="n"/>
      <c r="AH196" s="229" t="n"/>
      <c r="AI196" s="229" t="n"/>
      <c r="AJ196" s="229" t="n"/>
    </row>
    <row r="197" customFormat="1" s="13">
      <c r="A197" s="11" t="inlineStr">
        <is>
          <t>#</t>
        </is>
      </c>
      <c r="B197" s="230" t="n"/>
      <c r="C197" s="229" t="n"/>
      <c r="D197" s="229" t="n"/>
      <c r="E197" s="229" t="n"/>
      <c r="F197" s="229" t="n"/>
      <c r="G197" s="229" t="n"/>
      <c r="H197" s="229" t="n"/>
      <c r="I197" s="229" t="n"/>
      <c r="J197" s="229" t="inlineStr">
        <is>
          <t>PW</t>
        </is>
      </c>
      <c r="K197" s="229" t="n"/>
      <c r="L197" s="229" t="n"/>
      <c r="M197" s="229" t="n"/>
      <c r="N197" s="229" t="n"/>
      <c r="O197" s="229" t="n"/>
      <c r="P197" s="229" t="n"/>
      <c r="Q197" s="229" t="n"/>
      <c r="R197" s="229" t="n"/>
      <c r="S197" s="229" t="n"/>
      <c r="T197" s="229" t="n"/>
      <c r="U197" s="229" t="n"/>
      <c r="V197" s="229" t="n"/>
      <c r="W197" s="229" t="n"/>
      <c r="X197" s="229" t="n"/>
      <c r="Y197" s="229" t="n"/>
      <c r="Z197" s="229" t="n"/>
      <c r="AA197" s="229" t="n"/>
      <c r="AB197" s="229" t="n"/>
      <c r="AC197" s="229" t="n"/>
      <c r="AD197" s="229" t="n"/>
      <c r="AE197" s="229" t="n"/>
      <c r="AF197" s="229" t="n"/>
      <c r="AG197" s="229" t="n"/>
      <c r="AH197" s="229" t="n"/>
      <c r="AI197" s="229" t="n"/>
      <c r="AJ197" s="229" t="n"/>
    </row>
    <row r="198" customFormat="1" s="13">
      <c r="A198" s="11" t="inlineStr">
        <is>
          <t>#</t>
        </is>
      </c>
      <c r="B198" s="230" t="n"/>
      <c r="C198" s="229" t="n"/>
      <c r="D198" s="229" t="n"/>
      <c r="E198" s="229" t="n"/>
      <c r="F198" s="229" t="n"/>
      <c r="G198" s="229" t="n"/>
      <c r="H198" s="229" t="n"/>
      <c r="I198" s="229" t="n"/>
      <c r="J198" s="229" t="inlineStr">
        <is>
          <t>PY</t>
        </is>
      </c>
      <c r="K198" s="229" t="n"/>
      <c r="L198" s="229" t="n"/>
      <c r="M198" s="229" t="n"/>
      <c r="N198" s="229" t="n"/>
      <c r="O198" s="229" t="n"/>
      <c r="P198" s="229" t="n"/>
      <c r="Q198" s="229" t="n"/>
      <c r="R198" s="229" t="n"/>
      <c r="S198" s="229" t="n"/>
      <c r="T198" s="229" t="n"/>
      <c r="U198" s="229" t="n"/>
      <c r="V198" s="229" t="n"/>
      <c r="W198" s="229" t="n"/>
      <c r="X198" s="229" t="n"/>
      <c r="Y198" s="229" t="n"/>
      <c r="Z198" s="229" t="n"/>
      <c r="AA198" s="229" t="n"/>
      <c r="AB198" s="229" t="n"/>
      <c r="AC198" s="229" t="n"/>
      <c r="AD198" s="229" t="n"/>
      <c r="AE198" s="229" t="n"/>
      <c r="AF198" s="229" t="n"/>
      <c r="AG198" s="229" t="n"/>
      <c r="AH198" s="229" t="n"/>
      <c r="AI198" s="229" t="n"/>
      <c r="AJ198" s="229" t="n"/>
    </row>
    <row r="199" customFormat="1" s="13">
      <c r="A199" s="11" t="inlineStr">
        <is>
          <t>#</t>
        </is>
      </c>
      <c r="B199" s="230" t="n"/>
      <c r="C199" s="229" t="n"/>
      <c r="D199" s="229" t="n"/>
      <c r="E199" s="229" t="n"/>
      <c r="F199" s="229" t="n"/>
      <c r="G199" s="229" t="n"/>
      <c r="H199" s="229" t="n"/>
      <c r="I199" s="229" t="n"/>
      <c r="J199" s="229" t="inlineStr">
        <is>
          <t>QA</t>
        </is>
      </c>
      <c r="K199" s="229" t="n"/>
      <c r="L199" s="229" t="n"/>
      <c r="M199" s="229" t="n"/>
      <c r="N199" s="229" t="n"/>
      <c r="O199" s="229" t="n"/>
      <c r="P199" s="229" t="n"/>
      <c r="Q199" s="229" t="n"/>
      <c r="R199" s="229" t="n"/>
      <c r="S199" s="229" t="n"/>
      <c r="T199" s="229" t="n"/>
      <c r="U199" s="229" t="n"/>
      <c r="V199" s="229" t="n"/>
      <c r="W199" s="229" t="n"/>
      <c r="X199" s="229" t="n"/>
      <c r="Y199" s="229" t="n"/>
      <c r="Z199" s="229" t="n"/>
      <c r="AA199" s="229" t="n"/>
      <c r="AB199" s="229" t="n"/>
      <c r="AC199" s="229" t="n"/>
      <c r="AD199" s="229" t="n"/>
      <c r="AE199" s="229" t="n"/>
      <c r="AF199" s="229" t="n"/>
      <c r="AG199" s="229" t="n"/>
      <c r="AH199" s="229" t="n"/>
      <c r="AI199" s="229" t="n"/>
      <c r="AJ199" s="229" t="n"/>
    </row>
    <row r="200" customFormat="1" s="13">
      <c r="A200" s="11" t="inlineStr">
        <is>
          <t>#</t>
        </is>
      </c>
      <c r="B200" s="230" t="n"/>
      <c r="C200" s="229" t="n"/>
      <c r="D200" s="229" t="n"/>
      <c r="E200" s="229" t="n"/>
      <c r="F200" s="229" t="n"/>
      <c r="G200" s="229" t="n"/>
      <c r="H200" s="229" t="n"/>
      <c r="I200" s="229" t="n"/>
      <c r="J200" s="229" t="inlineStr">
        <is>
          <t>RE</t>
        </is>
      </c>
      <c r="K200" s="229" t="n"/>
      <c r="L200" s="229" t="n"/>
      <c r="M200" s="229" t="n"/>
      <c r="N200" s="229" t="n"/>
      <c r="O200" s="229" t="n"/>
      <c r="P200" s="229" t="n"/>
      <c r="Q200" s="229" t="n"/>
      <c r="R200" s="229" t="n"/>
      <c r="S200" s="229" t="n"/>
      <c r="T200" s="229" t="n"/>
      <c r="U200" s="229" t="n"/>
      <c r="V200" s="229" t="n"/>
      <c r="W200" s="229" t="n"/>
      <c r="X200" s="229" t="n"/>
      <c r="Y200" s="229" t="n"/>
      <c r="Z200" s="229" t="n"/>
      <c r="AA200" s="229" t="n"/>
      <c r="AB200" s="229" t="n"/>
      <c r="AC200" s="229" t="n"/>
      <c r="AD200" s="229" t="n"/>
      <c r="AE200" s="229" t="n"/>
      <c r="AF200" s="229" t="n"/>
      <c r="AG200" s="229" t="n"/>
      <c r="AH200" s="229" t="n"/>
      <c r="AI200" s="229" t="n"/>
      <c r="AJ200" s="229" t="n"/>
    </row>
    <row r="201" customFormat="1" s="13">
      <c r="A201" s="11" t="inlineStr">
        <is>
          <t>#</t>
        </is>
      </c>
      <c r="B201" s="230" t="n"/>
      <c r="C201" s="229" t="n"/>
      <c r="D201" s="229" t="n"/>
      <c r="E201" s="229" t="n"/>
      <c r="F201" s="229" t="n"/>
      <c r="G201" s="229" t="n"/>
      <c r="H201" s="229" t="n"/>
      <c r="I201" s="229" t="n"/>
      <c r="J201" s="229" t="inlineStr">
        <is>
          <t>RO</t>
        </is>
      </c>
      <c r="K201" s="229" t="n"/>
      <c r="L201" s="229" t="n"/>
      <c r="M201" s="229" t="n"/>
      <c r="N201" s="229" t="n"/>
      <c r="O201" s="229" t="n"/>
      <c r="P201" s="229" t="n"/>
      <c r="Q201" s="229" t="n"/>
      <c r="R201" s="229" t="n"/>
      <c r="S201" s="229" t="n"/>
      <c r="T201" s="229" t="n"/>
      <c r="U201" s="229" t="n"/>
      <c r="V201" s="229" t="n"/>
      <c r="W201" s="229" t="n"/>
      <c r="X201" s="229" t="n"/>
      <c r="Y201" s="229" t="n"/>
      <c r="Z201" s="229" t="n"/>
      <c r="AA201" s="229" t="n"/>
      <c r="AB201" s="229" t="n"/>
      <c r="AC201" s="229" t="n"/>
      <c r="AD201" s="229" t="n"/>
      <c r="AE201" s="229" t="n"/>
      <c r="AF201" s="229" t="n"/>
      <c r="AG201" s="229" t="n"/>
      <c r="AH201" s="229" t="n"/>
      <c r="AI201" s="229" t="n"/>
      <c r="AJ201" s="229" t="n"/>
    </row>
    <row r="202" customFormat="1" s="13">
      <c r="A202" s="11" t="inlineStr">
        <is>
          <t>#</t>
        </is>
      </c>
      <c r="B202" s="230" t="n"/>
      <c r="C202" s="229" t="n"/>
      <c r="D202" s="229" t="n"/>
      <c r="E202" s="229" t="n"/>
      <c r="F202" s="229" t="n"/>
      <c r="G202" s="229" t="n"/>
      <c r="H202" s="229" t="n"/>
      <c r="I202" s="229" t="n"/>
      <c r="J202" s="229" t="inlineStr">
        <is>
          <t>RS</t>
        </is>
      </c>
      <c r="K202" s="229" t="n"/>
      <c r="L202" s="229" t="n"/>
      <c r="M202" s="229" t="n"/>
      <c r="N202" s="229" t="n"/>
      <c r="O202" s="229" t="n"/>
      <c r="P202" s="229" t="n"/>
      <c r="Q202" s="229" t="n"/>
      <c r="R202" s="229" t="n"/>
      <c r="S202" s="229" t="n"/>
      <c r="T202" s="229" t="n"/>
      <c r="U202" s="229" t="n"/>
      <c r="V202" s="229" t="n"/>
      <c r="W202" s="229" t="n"/>
      <c r="X202" s="229" t="n"/>
      <c r="Y202" s="229" t="n"/>
      <c r="Z202" s="229" t="n"/>
      <c r="AA202" s="229" t="n"/>
      <c r="AB202" s="229" t="n"/>
      <c r="AC202" s="229" t="n"/>
      <c r="AD202" s="229" t="n"/>
      <c r="AE202" s="229" t="n"/>
      <c r="AF202" s="229" t="n"/>
      <c r="AG202" s="229" t="n"/>
      <c r="AH202" s="229" t="n"/>
      <c r="AI202" s="229" t="n"/>
      <c r="AJ202" s="229" t="n"/>
    </row>
    <row r="203" customFormat="1" s="13">
      <c r="A203" s="11" t="inlineStr">
        <is>
          <t>#</t>
        </is>
      </c>
      <c r="B203" s="230" t="n"/>
      <c r="C203" s="229" t="n"/>
      <c r="D203" s="229" t="n"/>
      <c r="E203" s="229" t="n"/>
      <c r="F203" s="229" t="n"/>
      <c r="G203" s="229" t="n"/>
      <c r="H203" s="229" t="n"/>
      <c r="I203" s="229" t="n"/>
      <c r="J203" s="229" t="inlineStr">
        <is>
          <t>RU</t>
        </is>
      </c>
      <c r="K203" s="229" t="n"/>
      <c r="L203" s="229" t="n"/>
      <c r="M203" s="229" t="n"/>
      <c r="N203" s="229" t="n"/>
      <c r="O203" s="229" t="n"/>
      <c r="P203" s="229" t="n"/>
      <c r="Q203" s="229" t="n"/>
      <c r="R203" s="229" t="n"/>
      <c r="S203" s="229" t="n"/>
      <c r="T203" s="229" t="n"/>
      <c r="U203" s="229" t="n"/>
      <c r="V203" s="229" t="n"/>
      <c r="W203" s="229" t="n"/>
      <c r="X203" s="229" t="n"/>
      <c r="Y203" s="229" t="n"/>
      <c r="Z203" s="229" t="n"/>
      <c r="AA203" s="229" t="n"/>
      <c r="AB203" s="229" t="n"/>
      <c r="AC203" s="229" t="n"/>
      <c r="AD203" s="229" t="n"/>
      <c r="AE203" s="229" t="n"/>
      <c r="AF203" s="229" t="n"/>
      <c r="AG203" s="229" t="n"/>
      <c r="AH203" s="229" t="n"/>
      <c r="AI203" s="229" t="n"/>
      <c r="AJ203" s="229" t="n"/>
    </row>
    <row r="204" customFormat="1" s="13">
      <c r="A204" s="11" t="inlineStr">
        <is>
          <t>#</t>
        </is>
      </c>
      <c r="B204" s="230" t="n"/>
      <c r="C204" s="229" t="n"/>
      <c r="D204" s="229" t="n"/>
      <c r="E204" s="229" t="n"/>
      <c r="F204" s="229" t="n"/>
      <c r="G204" s="229" t="n"/>
      <c r="H204" s="229" t="n"/>
      <c r="I204" s="229" t="n"/>
      <c r="J204" s="229" t="inlineStr">
        <is>
          <t>RW</t>
        </is>
      </c>
      <c r="K204" s="229" t="n"/>
      <c r="L204" s="229" t="n"/>
      <c r="M204" s="229" t="n"/>
      <c r="N204" s="229" t="n"/>
      <c r="O204" s="229" t="n"/>
      <c r="P204" s="229" t="n"/>
      <c r="Q204" s="229" t="n"/>
      <c r="R204" s="229" t="n"/>
      <c r="S204" s="229" t="n"/>
      <c r="T204" s="229" t="n"/>
      <c r="U204" s="229" t="n"/>
      <c r="V204" s="229" t="n"/>
      <c r="W204" s="229" t="n"/>
      <c r="X204" s="229" t="n"/>
      <c r="Y204" s="229" t="n"/>
      <c r="Z204" s="229" t="n"/>
      <c r="AA204" s="229" t="n"/>
      <c r="AB204" s="229" t="n"/>
      <c r="AC204" s="229" t="n"/>
      <c r="AD204" s="229" t="n"/>
      <c r="AE204" s="229" t="n"/>
      <c r="AF204" s="229" t="n"/>
      <c r="AG204" s="229" t="n"/>
      <c r="AH204" s="229" t="n"/>
      <c r="AI204" s="229" t="n"/>
      <c r="AJ204" s="229" t="n"/>
    </row>
    <row r="205" customFormat="1" s="13">
      <c r="A205" s="11" t="inlineStr">
        <is>
          <t>#</t>
        </is>
      </c>
      <c r="B205" s="230" t="n"/>
      <c r="C205" s="229" t="n"/>
      <c r="D205" s="229" t="n"/>
      <c r="E205" s="229" t="n"/>
      <c r="F205" s="229" t="n"/>
      <c r="G205" s="229" t="n"/>
      <c r="H205" s="229" t="n"/>
      <c r="I205" s="229" t="n"/>
      <c r="J205" s="229" t="inlineStr">
        <is>
          <t>SA</t>
        </is>
      </c>
      <c r="K205" s="229" t="n"/>
      <c r="L205" s="229" t="n"/>
      <c r="M205" s="229" t="n"/>
      <c r="N205" s="229" t="n"/>
      <c r="O205" s="229" t="n"/>
      <c r="P205" s="229" t="n"/>
      <c r="Q205" s="229" t="n"/>
      <c r="R205" s="229" t="n"/>
      <c r="S205" s="229" t="n"/>
      <c r="T205" s="229" t="n"/>
      <c r="U205" s="229" t="n"/>
      <c r="V205" s="229" t="n"/>
      <c r="W205" s="229" t="n"/>
      <c r="X205" s="229" t="n"/>
      <c r="Y205" s="229" t="n"/>
      <c r="Z205" s="229" t="n"/>
      <c r="AA205" s="229" t="n"/>
      <c r="AB205" s="229" t="n"/>
      <c r="AC205" s="229" t="n"/>
      <c r="AD205" s="229" t="n"/>
      <c r="AE205" s="229" t="n"/>
      <c r="AF205" s="229" t="n"/>
      <c r="AG205" s="229" t="n"/>
      <c r="AH205" s="229" t="n"/>
      <c r="AI205" s="229" t="n"/>
      <c r="AJ205" s="229" t="n"/>
    </row>
    <row r="206" customFormat="1" s="13">
      <c r="A206" s="11" t="inlineStr">
        <is>
          <t>#</t>
        </is>
      </c>
      <c r="B206" s="230" t="n"/>
      <c r="C206" s="229" t="n"/>
      <c r="D206" s="229" t="n"/>
      <c r="E206" s="229" t="n"/>
      <c r="F206" s="229" t="n"/>
      <c r="G206" s="229" t="n"/>
      <c r="H206" s="229" t="n"/>
      <c r="I206" s="229" t="n"/>
      <c r="J206" s="229" t="inlineStr">
        <is>
          <t>SB</t>
        </is>
      </c>
      <c r="K206" s="229" t="n"/>
      <c r="L206" s="229" t="n"/>
      <c r="M206" s="229" t="n"/>
      <c r="N206" s="229" t="n"/>
      <c r="O206" s="229" t="n"/>
      <c r="P206" s="229" t="n"/>
      <c r="Q206" s="229" t="n"/>
      <c r="R206" s="229" t="n"/>
      <c r="S206" s="229" t="n"/>
      <c r="T206" s="229" t="n"/>
      <c r="U206" s="229" t="n"/>
      <c r="V206" s="229" t="n"/>
      <c r="W206" s="229" t="n"/>
      <c r="X206" s="229" t="n"/>
      <c r="Y206" s="229" t="n"/>
      <c r="Z206" s="229" t="n"/>
      <c r="AA206" s="229" t="n"/>
      <c r="AB206" s="229" t="n"/>
      <c r="AC206" s="229" t="n"/>
      <c r="AD206" s="229" t="n"/>
      <c r="AE206" s="229" t="n"/>
      <c r="AF206" s="229" t="n"/>
      <c r="AG206" s="229" t="n"/>
      <c r="AH206" s="229" t="n"/>
      <c r="AI206" s="229" t="n"/>
      <c r="AJ206" s="229" t="n"/>
    </row>
    <row r="207" customFormat="1" s="13">
      <c r="A207" s="11" t="inlineStr">
        <is>
          <t>#</t>
        </is>
      </c>
      <c r="B207" s="230" t="n"/>
      <c r="C207" s="229" t="n"/>
      <c r="D207" s="229" t="n"/>
      <c r="E207" s="229" t="n"/>
      <c r="F207" s="229" t="n"/>
      <c r="G207" s="229" t="n"/>
      <c r="H207" s="229" t="n"/>
      <c r="I207" s="229" t="n"/>
      <c r="J207" s="229" t="inlineStr">
        <is>
          <t>SC</t>
        </is>
      </c>
      <c r="K207" s="229" t="n"/>
      <c r="L207" s="229" t="n"/>
      <c r="M207" s="229" t="n"/>
      <c r="N207" s="229" t="n"/>
      <c r="O207" s="229" t="n"/>
      <c r="P207" s="229" t="n"/>
      <c r="Q207" s="229" t="n"/>
      <c r="R207" s="229" t="n"/>
      <c r="S207" s="229" t="n"/>
      <c r="T207" s="229" t="n"/>
      <c r="U207" s="229" t="n"/>
      <c r="V207" s="229" t="n"/>
      <c r="W207" s="229" t="n"/>
      <c r="X207" s="229" t="n"/>
      <c r="Y207" s="229" t="n"/>
      <c r="Z207" s="229" t="n"/>
      <c r="AA207" s="229" t="n"/>
      <c r="AB207" s="229" t="n"/>
      <c r="AC207" s="229" t="n"/>
      <c r="AD207" s="229" t="n"/>
      <c r="AE207" s="229" t="n"/>
      <c r="AF207" s="229" t="n"/>
      <c r="AG207" s="229" t="n"/>
      <c r="AH207" s="229" t="n"/>
      <c r="AI207" s="229" t="n"/>
      <c r="AJ207" s="229" t="n"/>
    </row>
    <row r="208" customFormat="1" s="13">
      <c r="A208" s="11" t="inlineStr">
        <is>
          <t>#</t>
        </is>
      </c>
      <c r="B208" s="230" t="n"/>
      <c r="C208" s="229" t="n"/>
      <c r="D208" s="229" t="n"/>
      <c r="E208" s="229" t="n"/>
      <c r="F208" s="229" t="n"/>
      <c r="G208" s="229" t="n"/>
      <c r="H208" s="229" t="n"/>
      <c r="I208" s="229" t="n"/>
      <c r="J208" s="229" t="inlineStr">
        <is>
          <t>SD</t>
        </is>
      </c>
      <c r="K208" s="229" t="n"/>
      <c r="L208" s="229" t="n"/>
      <c r="M208" s="229" t="n"/>
      <c r="N208" s="229" t="n"/>
      <c r="O208" s="229" t="n"/>
      <c r="P208" s="229" t="n"/>
      <c r="Q208" s="229" t="n"/>
      <c r="R208" s="229" t="n"/>
      <c r="S208" s="229" t="n"/>
      <c r="T208" s="229" t="n"/>
      <c r="U208" s="229" t="n"/>
      <c r="V208" s="229" t="n"/>
      <c r="W208" s="229" t="n"/>
      <c r="X208" s="229" t="n"/>
      <c r="Y208" s="229" t="n"/>
      <c r="Z208" s="229" t="n"/>
      <c r="AA208" s="229" t="n"/>
      <c r="AB208" s="229" t="n"/>
      <c r="AC208" s="229" t="n"/>
      <c r="AD208" s="229" t="n"/>
      <c r="AE208" s="229" t="n"/>
      <c r="AF208" s="229" t="n"/>
      <c r="AG208" s="229" t="n"/>
      <c r="AH208" s="229" t="n"/>
      <c r="AI208" s="229" t="n"/>
      <c r="AJ208" s="229" t="n"/>
    </row>
    <row r="209" customFormat="1" s="13">
      <c r="A209" s="11" t="inlineStr">
        <is>
          <t>#</t>
        </is>
      </c>
      <c r="B209" s="230" t="n"/>
      <c r="C209" s="229" t="n"/>
      <c r="D209" s="229" t="n"/>
      <c r="E209" s="229" t="n"/>
      <c r="F209" s="229" t="n"/>
      <c r="G209" s="229" t="n"/>
      <c r="H209" s="229" t="n"/>
      <c r="I209" s="229" t="n"/>
      <c r="J209" s="229" t="inlineStr">
        <is>
          <t>SE</t>
        </is>
      </c>
      <c r="K209" s="229" t="n"/>
      <c r="L209" s="229" t="n"/>
      <c r="M209" s="229" t="n"/>
      <c r="N209" s="229" t="n"/>
      <c r="O209" s="229" t="n"/>
      <c r="P209" s="229" t="n"/>
      <c r="Q209" s="229" t="n"/>
      <c r="R209" s="229" t="n"/>
      <c r="S209" s="229" t="n"/>
      <c r="T209" s="229" t="n"/>
      <c r="U209" s="229" t="n"/>
      <c r="V209" s="229" t="n"/>
      <c r="W209" s="229" t="n"/>
      <c r="X209" s="229" t="n"/>
      <c r="Y209" s="229" t="n"/>
      <c r="Z209" s="229" t="n"/>
      <c r="AA209" s="229" t="n"/>
      <c r="AB209" s="229" t="n"/>
      <c r="AC209" s="229" t="n"/>
      <c r="AD209" s="229" t="n"/>
      <c r="AE209" s="229" t="n"/>
      <c r="AF209" s="229" t="n"/>
      <c r="AG209" s="229" t="n"/>
      <c r="AH209" s="229" t="n"/>
      <c r="AI209" s="229" t="n"/>
      <c r="AJ209" s="229" t="n"/>
    </row>
    <row r="210" customFormat="1" s="13">
      <c r="A210" s="11" t="inlineStr">
        <is>
          <t>#</t>
        </is>
      </c>
      <c r="B210" s="230" t="n"/>
      <c r="C210" s="229" t="n"/>
      <c r="D210" s="229" t="n"/>
      <c r="E210" s="229" t="n"/>
      <c r="F210" s="229" t="n"/>
      <c r="G210" s="229" t="n"/>
      <c r="H210" s="229" t="n"/>
      <c r="I210" s="229" t="n"/>
      <c r="J210" s="229" t="inlineStr">
        <is>
          <t>SG</t>
        </is>
      </c>
      <c r="K210" s="229" t="n"/>
      <c r="L210" s="229" t="n"/>
      <c r="M210" s="229" t="n"/>
      <c r="N210" s="229" t="n"/>
      <c r="O210" s="229" t="n"/>
      <c r="P210" s="229" t="n"/>
      <c r="Q210" s="229" t="n"/>
      <c r="R210" s="229" t="n"/>
      <c r="S210" s="229" t="n"/>
      <c r="T210" s="229" t="n"/>
      <c r="U210" s="229" t="n"/>
      <c r="V210" s="229" t="n"/>
      <c r="W210" s="229" t="n"/>
      <c r="X210" s="229" t="n"/>
      <c r="Y210" s="229" t="n"/>
      <c r="Z210" s="229" t="n"/>
      <c r="AA210" s="229" t="n"/>
      <c r="AB210" s="229" t="n"/>
      <c r="AC210" s="229" t="n"/>
      <c r="AD210" s="229" t="n"/>
      <c r="AE210" s="229" t="n"/>
      <c r="AF210" s="229" t="n"/>
      <c r="AG210" s="229" t="n"/>
      <c r="AH210" s="229" t="n"/>
      <c r="AI210" s="229" t="n"/>
      <c r="AJ210" s="229" t="n"/>
    </row>
    <row r="211" customFormat="1" s="13">
      <c r="A211" s="11" t="inlineStr">
        <is>
          <t>#</t>
        </is>
      </c>
      <c r="B211" s="230" t="n"/>
      <c r="C211" s="229" t="n"/>
      <c r="D211" s="229" t="n"/>
      <c r="E211" s="229" t="n"/>
      <c r="F211" s="229" t="n"/>
      <c r="G211" s="229" t="n"/>
      <c r="H211" s="229" t="n"/>
      <c r="I211" s="229" t="n"/>
      <c r="J211" s="229" t="inlineStr">
        <is>
          <t>SH</t>
        </is>
      </c>
      <c r="K211" s="229" t="n"/>
      <c r="L211" s="229" t="n"/>
      <c r="M211" s="229" t="n"/>
      <c r="N211" s="229" t="n"/>
      <c r="O211" s="229" t="n"/>
      <c r="P211" s="229" t="n"/>
      <c r="Q211" s="229" t="n"/>
      <c r="R211" s="229" t="n"/>
      <c r="S211" s="229" t="n"/>
      <c r="T211" s="229" t="n"/>
      <c r="U211" s="229" t="n"/>
      <c r="V211" s="229" t="n"/>
      <c r="W211" s="229" t="n"/>
      <c r="X211" s="229" t="n"/>
      <c r="Y211" s="229" t="n"/>
      <c r="Z211" s="229" t="n"/>
      <c r="AA211" s="229" t="n"/>
      <c r="AB211" s="229" t="n"/>
      <c r="AC211" s="229" t="n"/>
      <c r="AD211" s="229" t="n"/>
      <c r="AE211" s="229" t="n"/>
      <c r="AF211" s="229" t="n"/>
      <c r="AG211" s="229" t="n"/>
      <c r="AH211" s="229" t="n"/>
      <c r="AI211" s="229" t="n"/>
      <c r="AJ211" s="229" t="n"/>
    </row>
    <row r="212" customFormat="1" s="13">
      <c r="A212" s="11" t="inlineStr">
        <is>
          <t>#</t>
        </is>
      </c>
      <c r="B212" s="230" t="n"/>
      <c r="C212" s="229" t="n"/>
      <c r="D212" s="229" t="n"/>
      <c r="E212" s="229" t="n"/>
      <c r="F212" s="229" t="n"/>
      <c r="G212" s="229" t="n"/>
      <c r="H212" s="229" t="n"/>
      <c r="I212" s="229" t="n"/>
      <c r="J212" s="229" t="inlineStr">
        <is>
          <t>SI</t>
        </is>
      </c>
      <c r="K212" s="229" t="n"/>
      <c r="L212" s="229" t="n"/>
      <c r="M212" s="229" t="n"/>
      <c r="N212" s="229" t="n"/>
      <c r="O212" s="229" t="n"/>
      <c r="P212" s="229" t="n"/>
      <c r="Q212" s="229" t="n"/>
      <c r="R212" s="229" t="n"/>
      <c r="S212" s="229" t="n"/>
      <c r="T212" s="229" t="n"/>
      <c r="U212" s="229" t="n"/>
      <c r="V212" s="229" t="n"/>
      <c r="W212" s="229" t="n"/>
      <c r="X212" s="229" t="n"/>
      <c r="Y212" s="229" t="n"/>
      <c r="Z212" s="229" t="n"/>
      <c r="AA212" s="229" t="n"/>
      <c r="AB212" s="229" t="n"/>
      <c r="AC212" s="229" t="n"/>
      <c r="AD212" s="229" t="n"/>
      <c r="AE212" s="229" t="n"/>
      <c r="AF212" s="229" t="n"/>
      <c r="AG212" s="229" t="n"/>
      <c r="AH212" s="229" t="n"/>
      <c r="AI212" s="229" t="n"/>
      <c r="AJ212" s="229" t="n"/>
    </row>
    <row r="213" customFormat="1" s="13">
      <c r="A213" s="11" t="inlineStr">
        <is>
          <t>#</t>
        </is>
      </c>
      <c r="B213" s="230" t="n"/>
      <c r="C213" s="229" t="n"/>
      <c r="D213" s="229" t="n"/>
      <c r="E213" s="229" t="n"/>
      <c r="F213" s="229" t="n"/>
      <c r="G213" s="229" t="n"/>
      <c r="H213" s="229" t="n"/>
      <c r="I213" s="229" t="n"/>
      <c r="J213" s="229" t="inlineStr">
        <is>
          <t>SJ</t>
        </is>
      </c>
      <c r="K213" s="229" t="n"/>
      <c r="L213" s="229" t="n"/>
      <c r="M213" s="229" t="n"/>
      <c r="N213" s="229" t="n"/>
      <c r="O213" s="229" t="n"/>
      <c r="P213" s="229" t="n"/>
      <c r="Q213" s="229" t="n"/>
      <c r="R213" s="229" t="n"/>
      <c r="S213" s="229" t="n"/>
      <c r="T213" s="229" t="n"/>
      <c r="U213" s="229" t="n"/>
      <c r="V213" s="229" t="n"/>
      <c r="W213" s="229" t="n"/>
      <c r="X213" s="229" t="n"/>
      <c r="Y213" s="229" t="n"/>
      <c r="Z213" s="229" t="n"/>
      <c r="AA213" s="229" t="n"/>
      <c r="AB213" s="229" t="n"/>
      <c r="AC213" s="229" t="n"/>
      <c r="AD213" s="229" t="n"/>
      <c r="AE213" s="229" t="n"/>
      <c r="AF213" s="229" t="n"/>
      <c r="AG213" s="229" t="n"/>
      <c r="AH213" s="229" t="n"/>
      <c r="AI213" s="229" t="n"/>
      <c r="AJ213" s="229" t="n"/>
    </row>
    <row r="214" customFormat="1" s="13">
      <c r="A214" s="11" t="inlineStr">
        <is>
          <t>#</t>
        </is>
      </c>
      <c r="B214" s="230" t="n"/>
      <c r="C214" s="229" t="n"/>
      <c r="D214" s="229" t="n"/>
      <c r="E214" s="229" t="n"/>
      <c r="F214" s="229" t="n"/>
      <c r="G214" s="229" t="n"/>
      <c r="H214" s="229" t="n"/>
      <c r="I214" s="229" t="n"/>
      <c r="J214" s="229" t="inlineStr">
        <is>
          <t>SK</t>
        </is>
      </c>
      <c r="K214" s="229" t="n"/>
      <c r="L214" s="229" t="n"/>
      <c r="M214" s="229" t="n"/>
      <c r="N214" s="229" t="n"/>
      <c r="O214" s="229" t="n"/>
      <c r="P214" s="229" t="n"/>
      <c r="Q214" s="229" t="n"/>
      <c r="R214" s="229" t="n"/>
      <c r="S214" s="229" t="n"/>
      <c r="T214" s="229" t="n"/>
      <c r="U214" s="229" t="n"/>
      <c r="V214" s="229" t="n"/>
      <c r="W214" s="229" t="n"/>
      <c r="X214" s="229" t="n"/>
      <c r="Y214" s="229" t="n"/>
      <c r="Z214" s="229" t="n"/>
      <c r="AA214" s="229" t="n"/>
      <c r="AB214" s="229" t="n"/>
      <c r="AC214" s="229" t="n"/>
      <c r="AD214" s="229" t="n"/>
      <c r="AE214" s="229" t="n"/>
      <c r="AF214" s="229" t="n"/>
      <c r="AG214" s="229" t="n"/>
      <c r="AH214" s="229" t="n"/>
      <c r="AI214" s="229" t="n"/>
      <c r="AJ214" s="229" t="n"/>
    </row>
    <row r="215" customFormat="1" s="13">
      <c r="A215" s="11" t="inlineStr">
        <is>
          <t>#</t>
        </is>
      </c>
      <c r="B215" s="230" t="n"/>
      <c r="C215" s="229" t="n"/>
      <c r="D215" s="229" t="n"/>
      <c r="E215" s="229" t="n"/>
      <c r="F215" s="229" t="n"/>
      <c r="G215" s="229" t="n"/>
      <c r="H215" s="229" t="n"/>
      <c r="I215" s="229" t="n"/>
      <c r="J215" s="229" t="inlineStr">
        <is>
          <t>SL</t>
        </is>
      </c>
      <c r="K215" s="229" t="n"/>
      <c r="L215" s="229" t="n"/>
      <c r="M215" s="229" t="n"/>
      <c r="N215" s="229" t="n"/>
      <c r="O215" s="229" t="n"/>
      <c r="P215" s="229" t="n"/>
      <c r="Q215" s="229" t="n"/>
      <c r="R215" s="229" t="n"/>
      <c r="S215" s="229" t="n"/>
      <c r="T215" s="229" t="n"/>
      <c r="U215" s="229" t="n"/>
      <c r="V215" s="229" t="n"/>
      <c r="W215" s="229" t="n"/>
      <c r="X215" s="229" t="n"/>
      <c r="Y215" s="229" t="n"/>
      <c r="Z215" s="229" t="n"/>
      <c r="AA215" s="229" t="n"/>
      <c r="AB215" s="229" t="n"/>
      <c r="AC215" s="229" t="n"/>
      <c r="AD215" s="229" t="n"/>
      <c r="AE215" s="229" t="n"/>
      <c r="AF215" s="229" t="n"/>
      <c r="AG215" s="229" t="n"/>
      <c r="AH215" s="229" t="n"/>
      <c r="AI215" s="229" t="n"/>
      <c r="AJ215" s="229" t="n"/>
    </row>
    <row r="216" customFormat="1" s="13">
      <c r="A216" s="11" t="inlineStr">
        <is>
          <t>#</t>
        </is>
      </c>
      <c r="B216" s="230" t="n"/>
      <c r="C216" s="229" t="n"/>
      <c r="D216" s="229" t="n"/>
      <c r="E216" s="229" t="n"/>
      <c r="F216" s="229" t="n"/>
      <c r="G216" s="229" t="n"/>
      <c r="H216" s="229" t="n"/>
      <c r="I216" s="229" t="n"/>
      <c r="J216" s="229" t="inlineStr">
        <is>
          <t>SM</t>
        </is>
      </c>
      <c r="K216" s="229" t="n"/>
      <c r="L216" s="229" t="n"/>
      <c r="M216" s="229" t="n"/>
      <c r="N216" s="229" t="n"/>
      <c r="O216" s="229" t="n"/>
      <c r="P216" s="229" t="n"/>
      <c r="Q216" s="229" t="n"/>
      <c r="R216" s="229" t="n"/>
      <c r="S216" s="229" t="n"/>
      <c r="T216" s="229" t="n"/>
      <c r="U216" s="229" t="n"/>
      <c r="V216" s="229" t="n"/>
      <c r="W216" s="229" t="n"/>
      <c r="X216" s="229" t="n"/>
      <c r="Y216" s="229" t="n"/>
      <c r="Z216" s="229" t="n"/>
      <c r="AA216" s="229" t="n"/>
      <c r="AB216" s="229" t="n"/>
      <c r="AC216" s="229" t="n"/>
      <c r="AD216" s="229" t="n"/>
      <c r="AE216" s="229" t="n"/>
      <c r="AF216" s="229" t="n"/>
      <c r="AG216" s="229" t="n"/>
      <c r="AH216" s="229" t="n"/>
      <c r="AI216" s="229" t="n"/>
      <c r="AJ216" s="229" t="n"/>
    </row>
    <row r="217" customFormat="1" s="13">
      <c r="A217" s="11" t="inlineStr">
        <is>
          <t>#</t>
        </is>
      </c>
      <c r="B217" s="230" t="n"/>
      <c r="C217" s="229" t="n"/>
      <c r="D217" s="229" t="n"/>
      <c r="E217" s="229" t="n"/>
      <c r="F217" s="229" t="n"/>
      <c r="G217" s="229" t="n"/>
      <c r="H217" s="229" t="n"/>
      <c r="I217" s="229" t="n"/>
      <c r="J217" s="229" t="inlineStr">
        <is>
          <t>SN</t>
        </is>
      </c>
      <c r="K217" s="229" t="n"/>
      <c r="L217" s="229" t="n"/>
      <c r="M217" s="229" t="n"/>
      <c r="N217" s="229" t="n"/>
      <c r="O217" s="229" t="n"/>
      <c r="P217" s="229" t="n"/>
      <c r="Q217" s="229" t="n"/>
      <c r="R217" s="229" t="n"/>
      <c r="S217" s="229" t="n"/>
      <c r="T217" s="229" t="n"/>
      <c r="U217" s="229" t="n"/>
      <c r="V217" s="229" t="n"/>
      <c r="W217" s="229" t="n"/>
      <c r="X217" s="229" t="n"/>
      <c r="Y217" s="229" t="n"/>
      <c r="Z217" s="229" t="n"/>
      <c r="AA217" s="229" t="n"/>
      <c r="AB217" s="229" t="n"/>
      <c r="AC217" s="229" t="n"/>
      <c r="AD217" s="229" t="n"/>
      <c r="AE217" s="229" t="n"/>
      <c r="AF217" s="229" t="n"/>
      <c r="AG217" s="229" t="n"/>
      <c r="AH217" s="229" t="n"/>
      <c r="AI217" s="229" t="n"/>
      <c r="AJ217" s="229" t="n"/>
    </row>
    <row r="218" customFormat="1" s="13">
      <c r="A218" s="11" t="inlineStr">
        <is>
          <t>#</t>
        </is>
      </c>
      <c r="B218" s="230" t="n"/>
      <c r="C218" s="229" t="n"/>
      <c r="D218" s="229" t="n"/>
      <c r="E218" s="229" t="n"/>
      <c r="F218" s="229" t="n"/>
      <c r="G218" s="229" t="n"/>
      <c r="H218" s="229" t="n"/>
      <c r="I218" s="229" t="n"/>
      <c r="J218" s="229" t="inlineStr">
        <is>
          <t>SO</t>
        </is>
      </c>
      <c r="K218" s="229" t="n"/>
      <c r="L218" s="229" t="n"/>
      <c r="M218" s="229" t="n"/>
      <c r="N218" s="229" t="n"/>
      <c r="O218" s="229" t="n"/>
      <c r="P218" s="229" t="n"/>
      <c r="Q218" s="229" t="n"/>
      <c r="R218" s="229" t="n"/>
      <c r="S218" s="229" t="n"/>
      <c r="T218" s="229" t="n"/>
      <c r="U218" s="229" t="n"/>
      <c r="V218" s="229" t="n"/>
      <c r="W218" s="229" t="n"/>
      <c r="X218" s="229" t="n"/>
      <c r="Y218" s="229" t="n"/>
      <c r="Z218" s="229" t="n"/>
      <c r="AA218" s="229" t="n"/>
      <c r="AB218" s="229" t="n"/>
      <c r="AC218" s="229" t="n"/>
      <c r="AD218" s="229" t="n"/>
      <c r="AE218" s="229" t="n"/>
      <c r="AF218" s="229" t="n"/>
      <c r="AG218" s="229" t="n"/>
      <c r="AH218" s="229" t="n"/>
      <c r="AI218" s="229" t="n"/>
      <c r="AJ218" s="229" t="n"/>
    </row>
    <row r="219" customFormat="1" s="13">
      <c r="A219" s="11" t="inlineStr">
        <is>
          <t>#</t>
        </is>
      </c>
      <c r="B219" s="230" t="n"/>
      <c r="C219" s="229" t="n"/>
      <c r="D219" s="229" t="n"/>
      <c r="E219" s="229" t="n"/>
      <c r="F219" s="229" t="n"/>
      <c r="G219" s="229" t="n"/>
      <c r="H219" s="229" t="n"/>
      <c r="I219" s="229" t="n"/>
      <c r="J219" s="229" t="inlineStr">
        <is>
          <t>SR</t>
        </is>
      </c>
      <c r="K219" s="229" t="n"/>
      <c r="L219" s="229" t="n"/>
      <c r="M219" s="229" t="n"/>
      <c r="N219" s="229" t="n"/>
      <c r="O219" s="229" t="n"/>
      <c r="P219" s="229" t="n"/>
      <c r="Q219" s="229" t="n"/>
      <c r="R219" s="229" t="n"/>
      <c r="S219" s="229" t="n"/>
      <c r="T219" s="229" t="n"/>
      <c r="U219" s="229" t="n"/>
      <c r="V219" s="229" t="n"/>
      <c r="W219" s="229" t="n"/>
      <c r="X219" s="229" t="n"/>
      <c r="Y219" s="229" t="n"/>
      <c r="Z219" s="229" t="n"/>
      <c r="AA219" s="229" t="n"/>
      <c r="AB219" s="229" t="n"/>
      <c r="AC219" s="229" t="n"/>
      <c r="AD219" s="229" t="n"/>
      <c r="AE219" s="229" t="n"/>
      <c r="AF219" s="229" t="n"/>
      <c r="AG219" s="229" t="n"/>
      <c r="AH219" s="229" t="n"/>
      <c r="AI219" s="229" t="n"/>
      <c r="AJ219" s="229" t="n"/>
    </row>
    <row r="220" customFormat="1" s="13">
      <c r="A220" s="11" t="inlineStr">
        <is>
          <t>#</t>
        </is>
      </c>
      <c r="B220" s="230" t="n"/>
      <c r="C220" s="229" t="n"/>
      <c r="D220" s="229" t="n"/>
      <c r="E220" s="229" t="n"/>
      <c r="F220" s="229" t="n"/>
      <c r="G220" s="229" t="n"/>
      <c r="H220" s="229" t="n"/>
      <c r="I220" s="229" t="n"/>
      <c r="J220" s="229" t="inlineStr">
        <is>
          <t>ST</t>
        </is>
      </c>
      <c r="K220" s="229" t="n"/>
      <c r="L220" s="229" t="n"/>
      <c r="M220" s="229" t="n"/>
      <c r="N220" s="229" t="n"/>
      <c r="O220" s="229" t="n"/>
      <c r="P220" s="229" t="n"/>
      <c r="Q220" s="229" t="n"/>
      <c r="R220" s="229" t="n"/>
      <c r="S220" s="229" t="n"/>
      <c r="T220" s="229" t="n"/>
      <c r="U220" s="229" t="n"/>
      <c r="V220" s="229" t="n"/>
      <c r="W220" s="229" t="n"/>
      <c r="X220" s="229" t="n"/>
      <c r="Y220" s="229" t="n"/>
      <c r="Z220" s="229" t="n"/>
      <c r="AA220" s="229" t="n"/>
      <c r="AB220" s="229" t="n"/>
      <c r="AC220" s="229" t="n"/>
      <c r="AD220" s="229" t="n"/>
      <c r="AE220" s="229" t="n"/>
      <c r="AF220" s="229" t="n"/>
      <c r="AG220" s="229" t="n"/>
      <c r="AH220" s="229" t="n"/>
      <c r="AI220" s="229" t="n"/>
      <c r="AJ220" s="229" t="n"/>
    </row>
    <row r="221" customFormat="1" s="13">
      <c r="A221" s="11" t="inlineStr">
        <is>
          <t>#</t>
        </is>
      </c>
      <c r="B221" s="230" t="n"/>
      <c r="C221" s="229" t="n"/>
      <c r="D221" s="229" t="n"/>
      <c r="E221" s="229" t="n"/>
      <c r="F221" s="229" t="n"/>
      <c r="G221" s="229" t="n"/>
      <c r="H221" s="229" t="n"/>
      <c r="I221" s="229" t="n"/>
      <c r="J221" s="229" t="inlineStr">
        <is>
          <t>SV</t>
        </is>
      </c>
      <c r="K221" s="229" t="n"/>
      <c r="L221" s="229" t="n"/>
      <c r="M221" s="229" t="n"/>
      <c r="N221" s="229" t="n"/>
      <c r="O221" s="229" t="n"/>
      <c r="P221" s="229" t="n"/>
      <c r="Q221" s="229" t="n"/>
      <c r="R221" s="229" t="n"/>
      <c r="S221" s="229" t="n"/>
      <c r="T221" s="229" t="n"/>
      <c r="U221" s="229" t="n"/>
      <c r="V221" s="229" t="n"/>
      <c r="W221" s="229" t="n"/>
      <c r="X221" s="229" t="n"/>
      <c r="Y221" s="229" t="n"/>
      <c r="Z221" s="229" t="n"/>
      <c r="AA221" s="229" t="n"/>
      <c r="AB221" s="229" t="n"/>
      <c r="AC221" s="229" t="n"/>
      <c r="AD221" s="229" t="n"/>
      <c r="AE221" s="229" t="n"/>
      <c r="AF221" s="229" t="n"/>
      <c r="AG221" s="229" t="n"/>
      <c r="AH221" s="229" t="n"/>
      <c r="AI221" s="229" t="n"/>
      <c r="AJ221" s="229" t="n"/>
    </row>
    <row r="222" customFormat="1" s="13">
      <c r="A222" s="11" t="inlineStr">
        <is>
          <t>#</t>
        </is>
      </c>
      <c r="B222" s="230" t="n"/>
      <c r="C222" s="229" t="n"/>
      <c r="D222" s="229" t="n"/>
      <c r="E222" s="229" t="n"/>
      <c r="F222" s="229" t="n"/>
      <c r="G222" s="229" t="n"/>
      <c r="H222" s="229" t="n"/>
      <c r="I222" s="229" t="n"/>
      <c r="J222" s="229" t="inlineStr">
        <is>
          <t>SY</t>
        </is>
      </c>
      <c r="K222" s="229" t="n"/>
      <c r="L222" s="229" t="n"/>
      <c r="M222" s="229" t="n"/>
      <c r="N222" s="229" t="n"/>
      <c r="O222" s="229" t="n"/>
      <c r="P222" s="229" t="n"/>
      <c r="Q222" s="229" t="n"/>
      <c r="R222" s="229" t="n"/>
      <c r="S222" s="229" t="n"/>
      <c r="T222" s="229" t="n"/>
      <c r="U222" s="229" t="n"/>
      <c r="V222" s="229" t="n"/>
      <c r="W222" s="229" t="n"/>
      <c r="X222" s="229" t="n"/>
      <c r="Y222" s="229" t="n"/>
      <c r="Z222" s="229" t="n"/>
      <c r="AA222" s="229" t="n"/>
      <c r="AB222" s="229" t="n"/>
      <c r="AC222" s="229" t="n"/>
      <c r="AD222" s="229" t="n"/>
      <c r="AE222" s="229" t="n"/>
      <c r="AF222" s="229" t="n"/>
      <c r="AG222" s="229" t="n"/>
      <c r="AH222" s="229" t="n"/>
      <c r="AI222" s="229" t="n"/>
      <c r="AJ222" s="229" t="n"/>
    </row>
    <row r="223" customFormat="1" s="13">
      <c r="A223" s="11" t="inlineStr">
        <is>
          <t>#</t>
        </is>
      </c>
      <c r="B223" s="230" t="n"/>
      <c r="C223" s="229" t="n"/>
      <c r="D223" s="229" t="n"/>
      <c r="E223" s="229" t="n"/>
      <c r="F223" s="229" t="n"/>
      <c r="G223" s="229" t="n"/>
      <c r="H223" s="229" t="n"/>
      <c r="I223" s="229" t="n"/>
      <c r="J223" s="229" t="inlineStr">
        <is>
          <t>SZ</t>
        </is>
      </c>
      <c r="K223" s="229" t="n"/>
      <c r="L223" s="229" t="n"/>
      <c r="M223" s="229" t="n"/>
      <c r="N223" s="229" t="n"/>
      <c r="O223" s="229" t="n"/>
      <c r="P223" s="229" t="n"/>
      <c r="Q223" s="229" t="n"/>
      <c r="R223" s="229" t="n"/>
      <c r="S223" s="229" t="n"/>
      <c r="T223" s="229" t="n"/>
      <c r="U223" s="229" t="n"/>
      <c r="V223" s="229" t="n"/>
      <c r="W223" s="229" t="n"/>
      <c r="X223" s="229" t="n"/>
      <c r="Y223" s="229" t="n"/>
      <c r="Z223" s="229" t="n"/>
      <c r="AA223" s="229" t="n"/>
      <c r="AB223" s="229" t="n"/>
      <c r="AC223" s="229" t="n"/>
      <c r="AD223" s="229" t="n"/>
      <c r="AE223" s="229" t="n"/>
      <c r="AF223" s="229" t="n"/>
      <c r="AG223" s="229" t="n"/>
      <c r="AH223" s="229" t="n"/>
      <c r="AI223" s="229" t="n"/>
      <c r="AJ223" s="229" t="n"/>
    </row>
    <row r="224" customFormat="1" s="13">
      <c r="A224" s="11" t="inlineStr">
        <is>
          <t>#</t>
        </is>
      </c>
      <c r="B224" s="230" t="n"/>
      <c r="C224" s="229" t="n"/>
      <c r="D224" s="229" t="n"/>
      <c r="E224" s="229" t="n"/>
      <c r="F224" s="229" t="n"/>
      <c r="G224" s="229" t="n"/>
      <c r="H224" s="229" t="n"/>
      <c r="I224" s="229" t="n"/>
      <c r="J224" s="229" t="inlineStr">
        <is>
          <t>TC</t>
        </is>
      </c>
      <c r="K224" s="229" t="n"/>
      <c r="L224" s="229" t="n"/>
      <c r="M224" s="229" t="n"/>
      <c r="N224" s="229" t="n"/>
      <c r="O224" s="229" t="n"/>
      <c r="P224" s="229" t="n"/>
      <c r="Q224" s="229" t="n"/>
      <c r="R224" s="229" t="n"/>
      <c r="S224" s="229" t="n"/>
      <c r="T224" s="229" t="n"/>
      <c r="U224" s="229" t="n"/>
      <c r="V224" s="229" t="n"/>
      <c r="W224" s="229" t="n"/>
      <c r="X224" s="229" t="n"/>
      <c r="Y224" s="229" t="n"/>
      <c r="Z224" s="229" t="n"/>
      <c r="AA224" s="229" t="n"/>
      <c r="AB224" s="229" t="n"/>
      <c r="AC224" s="229" t="n"/>
      <c r="AD224" s="229" t="n"/>
      <c r="AE224" s="229" t="n"/>
      <c r="AF224" s="229" t="n"/>
      <c r="AG224" s="229" t="n"/>
      <c r="AH224" s="229" t="n"/>
      <c r="AI224" s="229" t="n"/>
      <c r="AJ224" s="229" t="n"/>
    </row>
    <row r="225" customFormat="1" s="13">
      <c r="A225" s="11" t="inlineStr">
        <is>
          <t>#</t>
        </is>
      </c>
      <c r="B225" s="230" t="n"/>
      <c r="C225" s="229" t="n"/>
      <c r="D225" s="229" t="n"/>
      <c r="E225" s="229" t="n"/>
      <c r="F225" s="229" t="n"/>
      <c r="G225" s="229" t="n"/>
      <c r="H225" s="229" t="n"/>
      <c r="I225" s="229" t="n"/>
      <c r="J225" s="229" t="inlineStr">
        <is>
          <t>TD</t>
        </is>
      </c>
      <c r="K225" s="229" t="n"/>
      <c r="L225" s="229" t="n"/>
      <c r="M225" s="229" t="n"/>
      <c r="N225" s="229" t="n"/>
      <c r="O225" s="229" t="n"/>
      <c r="P225" s="229" t="n"/>
      <c r="Q225" s="229" t="n"/>
      <c r="R225" s="229" t="n"/>
      <c r="S225" s="229" t="n"/>
      <c r="T225" s="229" t="n"/>
      <c r="U225" s="229" t="n"/>
      <c r="V225" s="229" t="n"/>
      <c r="W225" s="229" t="n"/>
      <c r="X225" s="229" t="n"/>
      <c r="Y225" s="229" t="n"/>
      <c r="Z225" s="229" t="n"/>
      <c r="AA225" s="229" t="n"/>
      <c r="AB225" s="229" t="n"/>
      <c r="AC225" s="229" t="n"/>
      <c r="AD225" s="229" t="n"/>
      <c r="AE225" s="229" t="n"/>
      <c r="AF225" s="229" t="n"/>
      <c r="AG225" s="229" t="n"/>
      <c r="AH225" s="229" t="n"/>
      <c r="AI225" s="229" t="n"/>
      <c r="AJ225" s="229" t="n"/>
    </row>
    <row r="226" customFormat="1" s="13">
      <c r="A226" s="11" t="inlineStr">
        <is>
          <t>#</t>
        </is>
      </c>
      <c r="B226" s="230" t="n"/>
      <c r="C226" s="229" t="n"/>
      <c r="D226" s="229" t="n"/>
      <c r="E226" s="229" t="n"/>
      <c r="F226" s="229" t="n"/>
      <c r="G226" s="229" t="n"/>
      <c r="H226" s="229" t="n"/>
      <c r="I226" s="229" t="n"/>
      <c r="J226" s="229" t="inlineStr">
        <is>
          <t>TF</t>
        </is>
      </c>
      <c r="K226" s="229" t="n"/>
      <c r="L226" s="229" t="n"/>
      <c r="M226" s="229" t="n"/>
      <c r="N226" s="229" t="n"/>
      <c r="O226" s="229" t="n"/>
      <c r="P226" s="229" t="n"/>
      <c r="Q226" s="229" t="n"/>
      <c r="R226" s="229" t="n"/>
      <c r="S226" s="229" t="n"/>
      <c r="T226" s="229" t="n"/>
      <c r="U226" s="229" t="n"/>
      <c r="V226" s="229" t="n"/>
      <c r="W226" s="229" t="n"/>
      <c r="X226" s="229" t="n"/>
      <c r="Y226" s="229" t="n"/>
      <c r="Z226" s="229" t="n"/>
      <c r="AA226" s="229" t="n"/>
      <c r="AB226" s="229" t="n"/>
      <c r="AC226" s="229" t="n"/>
      <c r="AD226" s="229" t="n"/>
      <c r="AE226" s="229" t="n"/>
      <c r="AF226" s="229" t="n"/>
      <c r="AG226" s="229" t="n"/>
      <c r="AH226" s="229" t="n"/>
      <c r="AI226" s="229" t="n"/>
      <c r="AJ226" s="229" t="n"/>
    </row>
    <row r="227" customFormat="1" s="13">
      <c r="A227" s="11" t="inlineStr">
        <is>
          <t>#</t>
        </is>
      </c>
      <c r="B227" s="230" t="n"/>
      <c r="C227" s="229" t="n"/>
      <c r="D227" s="229" t="n"/>
      <c r="E227" s="229" t="n"/>
      <c r="F227" s="229" t="n"/>
      <c r="G227" s="229" t="n"/>
      <c r="H227" s="229" t="n"/>
      <c r="I227" s="229" t="n"/>
      <c r="J227" s="229" t="inlineStr">
        <is>
          <t>TG</t>
        </is>
      </c>
      <c r="K227" s="229" t="n"/>
      <c r="L227" s="229" t="n"/>
      <c r="M227" s="229" t="n"/>
      <c r="N227" s="229" t="n"/>
      <c r="O227" s="229" t="n"/>
      <c r="P227" s="229" t="n"/>
      <c r="Q227" s="229" t="n"/>
      <c r="R227" s="229" t="n"/>
      <c r="S227" s="229" t="n"/>
      <c r="T227" s="229" t="n"/>
      <c r="U227" s="229" t="n"/>
      <c r="V227" s="229" t="n"/>
      <c r="W227" s="229" t="n"/>
      <c r="X227" s="229" t="n"/>
      <c r="Y227" s="229" t="n"/>
      <c r="Z227" s="229" t="n"/>
      <c r="AA227" s="229" t="n"/>
      <c r="AB227" s="229" t="n"/>
      <c r="AC227" s="229" t="n"/>
      <c r="AD227" s="229" t="n"/>
      <c r="AE227" s="229" t="n"/>
      <c r="AF227" s="229" t="n"/>
      <c r="AG227" s="229" t="n"/>
      <c r="AH227" s="229" t="n"/>
      <c r="AI227" s="229" t="n"/>
      <c r="AJ227" s="229" t="n"/>
    </row>
    <row r="228" customFormat="1" s="13">
      <c r="A228" s="11" t="inlineStr">
        <is>
          <t>#</t>
        </is>
      </c>
      <c r="B228" s="230" t="n"/>
      <c r="C228" s="229" t="n"/>
      <c r="D228" s="229" t="n"/>
      <c r="E228" s="229" t="n"/>
      <c r="F228" s="229" t="n"/>
      <c r="G228" s="229" t="n"/>
      <c r="H228" s="229" t="n"/>
      <c r="I228" s="229" t="n"/>
      <c r="J228" s="229" t="inlineStr">
        <is>
          <t>TH</t>
        </is>
      </c>
      <c r="K228" s="229" t="n"/>
      <c r="L228" s="229" t="n"/>
      <c r="M228" s="229" t="n"/>
      <c r="N228" s="229" t="n"/>
      <c r="O228" s="229" t="n"/>
      <c r="P228" s="229" t="n"/>
      <c r="Q228" s="229" t="n"/>
      <c r="R228" s="229" t="n"/>
      <c r="S228" s="229" t="n"/>
      <c r="T228" s="229" t="n"/>
      <c r="U228" s="229" t="n"/>
      <c r="V228" s="229" t="n"/>
      <c r="W228" s="229" t="n"/>
      <c r="X228" s="229" t="n"/>
      <c r="Y228" s="229" t="n"/>
      <c r="Z228" s="229" t="n"/>
      <c r="AA228" s="229" t="n"/>
      <c r="AB228" s="229" t="n"/>
      <c r="AC228" s="229" t="n"/>
      <c r="AD228" s="229" t="n"/>
      <c r="AE228" s="229" t="n"/>
      <c r="AF228" s="229" t="n"/>
      <c r="AG228" s="229" t="n"/>
      <c r="AH228" s="229" t="n"/>
      <c r="AI228" s="229" t="n"/>
      <c r="AJ228" s="229" t="n"/>
    </row>
    <row r="229" customFormat="1" s="13">
      <c r="A229" s="11" t="inlineStr">
        <is>
          <t>#</t>
        </is>
      </c>
      <c r="B229" s="230" t="n"/>
      <c r="C229" s="229" t="n"/>
      <c r="D229" s="229" t="n"/>
      <c r="E229" s="229" t="n"/>
      <c r="F229" s="229" t="n"/>
      <c r="G229" s="229" t="n"/>
      <c r="H229" s="229" t="n"/>
      <c r="I229" s="229" t="n"/>
      <c r="J229" s="229" t="inlineStr">
        <is>
          <t>TJ</t>
        </is>
      </c>
      <c r="K229" s="229" t="n"/>
      <c r="L229" s="229" t="n"/>
      <c r="M229" s="229" t="n"/>
      <c r="N229" s="229" t="n"/>
      <c r="O229" s="229" t="n"/>
      <c r="P229" s="229" t="n"/>
      <c r="Q229" s="229" t="n"/>
      <c r="R229" s="229" t="n"/>
      <c r="S229" s="229" t="n"/>
      <c r="T229" s="229" t="n"/>
      <c r="U229" s="229" t="n"/>
      <c r="V229" s="229" t="n"/>
      <c r="W229" s="229" t="n"/>
      <c r="X229" s="229" t="n"/>
      <c r="Y229" s="229" t="n"/>
      <c r="Z229" s="229" t="n"/>
      <c r="AA229" s="229" t="n"/>
      <c r="AB229" s="229" t="n"/>
      <c r="AC229" s="229" t="n"/>
      <c r="AD229" s="229" t="n"/>
      <c r="AE229" s="229" t="n"/>
      <c r="AF229" s="229" t="n"/>
      <c r="AG229" s="229" t="n"/>
      <c r="AH229" s="229" t="n"/>
      <c r="AI229" s="229" t="n"/>
      <c r="AJ229" s="229" t="n"/>
    </row>
    <row r="230" customFormat="1" s="13">
      <c r="A230" s="11" t="inlineStr">
        <is>
          <t>#</t>
        </is>
      </c>
      <c r="B230" s="230" t="n"/>
      <c r="C230" s="229" t="n"/>
      <c r="D230" s="229" t="n"/>
      <c r="E230" s="229" t="n"/>
      <c r="F230" s="229" t="n"/>
      <c r="G230" s="229" t="n"/>
      <c r="H230" s="229" t="n"/>
      <c r="I230" s="229" t="n"/>
      <c r="J230" s="229" t="inlineStr">
        <is>
          <t>TK</t>
        </is>
      </c>
      <c r="K230" s="229" t="n"/>
      <c r="L230" s="229" t="n"/>
      <c r="M230" s="229" t="n"/>
      <c r="N230" s="229" t="n"/>
      <c r="O230" s="229" t="n"/>
      <c r="P230" s="229" t="n"/>
      <c r="Q230" s="229" t="n"/>
      <c r="R230" s="229" t="n"/>
      <c r="S230" s="229" t="n"/>
      <c r="T230" s="229" t="n"/>
      <c r="U230" s="229" t="n"/>
      <c r="V230" s="229" t="n"/>
      <c r="W230" s="229" t="n"/>
      <c r="X230" s="229" t="n"/>
      <c r="Y230" s="229" t="n"/>
      <c r="Z230" s="229" t="n"/>
      <c r="AA230" s="229" t="n"/>
      <c r="AB230" s="229" t="n"/>
      <c r="AC230" s="229" t="n"/>
      <c r="AD230" s="229" t="n"/>
      <c r="AE230" s="229" t="n"/>
      <c r="AF230" s="229" t="n"/>
      <c r="AG230" s="229" t="n"/>
      <c r="AH230" s="229" t="n"/>
      <c r="AI230" s="229" t="n"/>
      <c r="AJ230" s="229" t="n"/>
    </row>
    <row r="231" customFormat="1" s="13">
      <c r="A231" s="11" t="inlineStr">
        <is>
          <t>#</t>
        </is>
      </c>
      <c r="B231" s="230" t="n"/>
      <c r="C231" s="229" t="n"/>
      <c r="D231" s="229" t="n"/>
      <c r="E231" s="229" t="n"/>
      <c r="F231" s="229" t="n"/>
      <c r="G231" s="229" t="n"/>
      <c r="H231" s="229" t="n"/>
      <c r="I231" s="229" t="n"/>
      <c r="J231" s="229" t="inlineStr">
        <is>
          <t>TL</t>
        </is>
      </c>
      <c r="K231" s="229" t="n"/>
      <c r="L231" s="229" t="n"/>
      <c r="M231" s="229" t="n"/>
      <c r="N231" s="229" t="n"/>
      <c r="O231" s="229" t="n"/>
      <c r="P231" s="229" t="n"/>
      <c r="Q231" s="229" t="n"/>
      <c r="R231" s="229" t="n"/>
      <c r="S231" s="229" t="n"/>
      <c r="T231" s="229" t="n"/>
      <c r="U231" s="229" t="n"/>
      <c r="V231" s="229" t="n"/>
      <c r="W231" s="229" t="n"/>
      <c r="X231" s="229" t="n"/>
      <c r="Y231" s="229" t="n"/>
      <c r="Z231" s="229" t="n"/>
      <c r="AA231" s="229" t="n"/>
      <c r="AB231" s="229" t="n"/>
      <c r="AC231" s="229" t="n"/>
      <c r="AD231" s="229" t="n"/>
      <c r="AE231" s="229" t="n"/>
      <c r="AF231" s="229" t="n"/>
      <c r="AG231" s="229" t="n"/>
      <c r="AH231" s="229" t="n"/>
      <c r="AI231" s="229" t="n"/>
      <c r="AJ231" s="229" t="n"/>
    </row>
    <row r="232" customFormat="1" s="13">
      <c r="A232" s="11" t="inlineStr">
        <is>
          <t>#</t>
        </is>
      </c>
      <c r="B232" s="230" t="n"/>
      <c r="C232" s="229" t="n"/>
      <c r="D232" s="229" t="n"/>
      <c r="E232" s="229" t="n"/>
      <c r="F232" s="229" t="n"/>
      <c r="G232" s="229" t="n"/>
      <c r="H232" s="229" t="n"/>
      <c r="I232" s="229" t="n"/>
      <c r="J232" s="229" t="inlineStr">
        <is>
          <t>TM</t>
        </is>
      </c>
      <c r="K232" s="229" t="n"/>
      <c r="L232" s="229" t="n"/>
      <c r="M232" s="229" t="n"/>
      <c r="N232" s="229" t="n"/>
      <c r="O232" s="229" t="n"/>
      <c r="P232" s="229" t="n"/>
      <c r="Q232" s="229" t="n"/>
      <c r="R232" s="229" t="n"/>
      <c r="S232" s="229" t="n"/>
      <c r="T232" s="229" t="n"/>
      <c r="U232" s="229" t="n"/>
      <c r="V232" s="229" t="n"/>
      <c r="W232" s="229" t="n"/>
      <c r="X232" s="229" t="n"/>
      <c r="Y232" s="229" t="n"/>
      <c r="Z232" s="229" t="n"/>
      <c r="AA232" s="229" t="n"/>
      <c r="AB232" s="229" t="n"/>
      <c r="AC232" s="229" t="n"/>
      <c r="AD232" s="229" t="n"/>
      <c r="AE232" s="229" t="n"/>
      <c r="AF232" s="229" t="n"/>
      <c r="AG232" s="229" t="n"/>
      <c r="AH232" s="229" t="n"/>
      <c r="AI232" s="229" t="n"/>
      <c r="AJ232" s="229" t="n"/>
    </row>
    <row r="233" customFormat="1" s="13">
      <c r="A233" s="11" t="inlineStr">
        <is>
          <t>#</t>
        </is>
      </c>
      <c r="B233" s="230" t="n"/>
      <c r="C233" s="229" t="n"/>
      <c r="D233" s="229" t="n"/>
      <c r="E233" s="229" t="n"/>
      <c r="F233" s="229" t="n"/>
      <c r="G233" s="229" t="n"/>
      <c r="H233" s="229" t="n"/>
      <c r="I233" s="229" t="n"/>
      <c r="J233" s="229" t="inlineStr">
        <is>
          <t>TN</t>
        </is>
      </c>
      <c r="K233" s="229" t="n"/>
      <c r="L233" s="229" t="n"/>
      <c r="M233" s="229" t="n"/>
      <c r="N233" s="229" t="n"/>
      <c r="O233" s="229" t="n"/>
      <c r="P233" s="229" t="n"/>
      <c r="Q233" s="229" t="n"/>
      <c r="R233" s="229" t="n"/>
      <c r="S233" s="229" t="n"/>
      <c r="T233" s="229" t="n"/>
      <c r="U233" s="229" t="n"/>
      <c r="V233" s="229" t="n"/>
      <c r="W233" s="229" t="n"/>
      <c r="X233" s="229" t="n"/>
      <c r="Y233" s="229" t="n"/>
      <c r="Z233" s="229" t="n"/>
      <c r="AA233" s="229" t="n"/>
      <c r="AB233" s="229" t="n"/>
      <c r="AC233" s="229" t="n"/>
      <c r="AD233" s="229" t="n"/>
      <c r="AE233" s="229" t="n"/>
      <c r="AF233" s="229" t="n"/>
      <c r="AG233" s="229" t="n"/>
      <c r="AH233" s="229" t="n"/>
      <c r="AI233" s="229" t="n"/>
      <c r="AJ233" s="229" t="n"/>
    </row>
    <row r="234" customFormat="1" s="13">
      <c r="A234" s="11" t="inlineStr">
        <is>
          <t>#</t>
        </is>
      </c>
      <c r="B234" s="230" t="n"/>
      <c r="C234" s="229" t="n"/>
      <c r="D234" s="229" t="n"/>
      <c r="E234" s="229" t="n"/>
      <c r="F234" s="229" t="n"/>
      <c r="G234" s="229" t="n"/>
      <c r="H234" s="229" t="n"/>
      <c r="I234" s="229" t="n"/>
      <c r="J234" s="229" t="inlineStr">
        <is>
          <t>TO</t>
        </is>
      </c>
      <c r="K234" s="229" t="n"/>
      <c r="L234" s="229" t="n"/>
      <c r="M234" s="229" t="n"/>
      <c r="N234" s="229" t="n"/>
      <c r="O234" s="229" t="n"/>
      <c r="P234" s="229" t="n"/>
      <c r="Q234" s="229" t="n"/>
      <c r="R234" s="229" t="n"/>
      <c r="S234" s="229" t="n"/>
      <c r="T234" s="229" t="n"/>
      <c r="U234" s="229" t="n"/>
      <c r="V234" s="229" t="n"/>
      <c r="W234" s="229" t="n"/>
      <c r="X234" s="229" t="n"/>
      <c r="Y234" s="229" t="n"/>
      <c r="Z234" s="229" t="n"/>
      <c r="AA234" s="229" t="n"/>
      <c r="AB234" s="229" t="n"/>
      <c r="AC234" s="229" t="n"/>
      <c r="AD234" s="229" t="n"/>
      <c r="AE234" s="229" t="n"/>
      <c r="AF234" s="229" t="n"/>
      <c r="AG234" s="229" t="n"/>
      <c r="AH234" s="229" t="n"/>
      <c r="AI234" s="229" t="n"/>
      <c r="AJ234" s="229" t="n"/>
    </row>
    <row r="235" customFormat="1" s="13">
      <c r="A235" s="11" t="inlineStr">
        <is>
          <t>#</t>
        </is>
      </c>
      <c r="B235" s="230" t="n"/>
      <c r="C235" s="229" t="n"/>
      <c r="D235" s="229" t="n"/>
      <c r="E235" s="229" t="n"/>
      <c r="F235" s="229" t="n"/>
      <c r="G235" s="229" t="n"/>
      <c r="H235" s="229" t="n"/>
      <c r="I235" s="229" t="n"/>
      <c r="J235" s="229" t="inlineStr">
        <is>
          <t>TR</t>
        </is>
      </c>
      <c r="K235" s="229" t="n"/>
      <c r="L235" s="229" t="n"/>
      <c r="M235" s="229" t="n"/>
      <c r="N235" s="229" t="n"/>
      <c r="O235" s="229" t="n"/>
      <c r="P235" s="229" t="n"/>
      <c r="Q235" s="229" t="n"/>
      <c r="R235" s="229" t="n"/>
      <c r="S235" s="229" t="n"/>
      <c r="T235" s="229" t="n"/>
      <c r="U235" s="229" t="n"/>
      <c r="V235" s="229" t="n"/>
      <c r="W235" s="229" t="n"/>
      <c r="X235" s="229" t="n"/>
      <c r="Y235" s="229" t="n"/>
      <c r="Z235" s="229" t="n"/>
      <c r="AA235" s="229" t="n"/>
      <c r="AB235" s="229" t="n"/>
      <c r="AC235" s="229" t="n"/>
      <c r="AD235" s="229" t="n"/>
      <c r="AE235" s="229" t="n"/>
      <c r="AF235" s="229" t="n"/>
      <c r="AG235" s="229" t="n"/>
      <c r="AH235" s="229" t="n"/>
      <c r="AI235" s="229" t="n"/>
      <c r="AJ235" s="229" t="n"/>
    </row>
    <row r="236" customFormat="1" s="13">
      <c r="A236" s="11" t="inlineStr">
        <is>
          <t>#</t>
        </is>
      </c>
      <c r="B236" s="230" t="n"/>
      <c r="C236" s="229" t="n"/>
      <c r="D236" s="229" t="n"/>
      <c r="E236" s="229" t="n"/>
      <c r="F236" s="229" t="n"/>
      <c r="G236" s="229" t="n"/>
      <c r="H236" s="229" t="n"/>
      <c r="I236" s="229" t="n"/>
      <c r="J236" s="229" t="inlineStr">
        <is>
          <t>TT</t>
        </is>
      </c>
      <c r="K236" s="229" t="n"/>
      <c r="L236" s="229" t="n"/>
      <c r="M236" s="229" t="n"/>
      <c r="N236" s="229" t="n"/>
      <c r="O236" s="229" t="n"/>
      <c r="P236" s="229" t="n"/>
      <c r="Q236" s="229" t="n"/>
      <c r="R236" s="229" t="n"/>
      <c r="S236" s="229" t="n"/>
      <c r="T236" s="229" t="n"/>
      <c r="U236" s="229" t="n"/>
      <c r="V236" s="229" t="n"/>
      <c r="W236" s="229" t="n"/>
      <c r="X236" s="229" t="n"/>
      <c r="Y236" s="229" t="n"/>
      <c r="Z236" s="229" t="n"/>
      <c r="AA236" s="229" t="n"/>
      <c r="AB236" s="229" t="n"/>
      <c r="AC236" s="229" t="n"/>
      <c r="AD236" s="229" t="n"/>
      <c r="AE236" s="229" t="n"/>
      <c r="AF236" s="229" t="n"/>
      <c r="AG236" s="229" t="n"/>
      <c r="AH236" s="229" t="n"/>
      <c r="AI236" s="229" t="n"/>
      <c r="AJ236" s="229" t="n"/>
    </row>
    <row r="237" customFormat="1" s="13">
      <c r="A237" s="11" t="inlineStr">
        <is>
          <t>#</t>
        </is>
      </c>
      <c r="B237" s="230" t="n"/>
      <c r="C237" s="229" t="n"/>
      <c r="D237" s="229" t="n"/>
      <c r="E237" s="229" t="n"/>
      <c r="F237" s="229" t="n"/>
      <c r="G237" s="229" t="n"/>
      <c r="H237" s="229" t="n"/>
      <c r="I237" s="229" t="n"/>
      <c r="J237" s="229" t="inlineStr">
        <is>
          <t>TV</t>
        </is>
      </c>
      <c r="K237" s="229" t="n"/>
      <c r="L237" s="229" t="n"/>
      <c r="M237" s="229" t="n"/>
      <c r="N237" s="229" t="n"/>
      <c r="O237" s="229" t="n"/>
      <c r="P237" s="229" t="n"/>
      <c r="Q237" s="229" t="n"/>
      <c r="R237" s="229" t="n"/>
      <c r="S237" s="229" t="n"/>
      <c r="T237" s="229" t="n"/>
      <c r="U237" s="229" t="n"/>
      <c r="V237" s="229" t="n"/>
      <c r="W237" s="229" t="n"/>
      <c r="X237" s="229" t="n"/>
      <c r="Y237" s="229" t="n"/>
      <c r="Z237" s="229" t="n"/>
      <c r="AA237" s="229" t="n"/>
      <c r="AB237" s="229" t="n"/>
      <c r="AC237" s="229" t="n"/>
      <c r="AD237" s="229" t="n"/>
      <c r="AE237" s="229" t="n"/>
      <c r="AF237" s="229" t="n"/>
      <c r="AG237" s="229" t="n"/>
      <c r="AH237" s="229" t="n"/>
      <c r="AI237" s="229" t="n"/>
      <c r="AJ237" s="229" t="n"/>
    </row>
    <row r="238" customFormat="1" s="13">
      <c r="A238" s="11" t="inlineStr">
        <is>
          <t>#</t>
        </is>
      </c>
      <c r="B238" s="230" t="n"/>
      <c r="C238" s="229" t="n"/>
      <c r="D238" s="229" t="n"/>
      <c r="E238" s="229" t="n"/>
      <c r="F238" s="229" t="n"/>
      <c r="G238" s="229" t="n"/>
      <c r="H238" s="229" t="n"/>
      <c r="I238" s="229" t="n"/>
      <c r="J238" s="229" t="inlineStr">
        <is>
          <t>TW</t>
        </is>
      </c>
      <c r="K238" s="229" t="n"/>
      <c r="L238" s="229" t="n"/>
      <c r="M238" s="229" t="n"/>
      <c r="N238" s="229" t="n"/>
      <c r="O238" s="229" t="n"/>
      <c r="P238" s="229" t="n"/>
      <c r="Q238" s="229" t="n"/>
      <c r="R238" s="229" t="n"/>
      <c r="S238" s="229" t="n"/>
      <c r="T238" s="229" t="n"/>
      <c r="U238" s="229" t="n"/>
      <c r="V238" s="229" t="n"/>
      <c r="W238" s="229" t="n"/>
      <c r="X238" s="229" t="n"/>
      <c r="Y238" s="229" t="n"/>
      <c r="Z238" s="229" t="n"/>
      <c r="AA238" s="229" t="n"/>
      <c r="AB238" s="229" t="n"/>
      <c r="AC238" s="229" t="n"/>
      <c r="AD238" s="229" t="n"/>
      <c r="AE238" s="229" t="n"/>
      <c r="AF238" s="229" t="n"/>
      <c r="AG238" s="229" t="n"/>
      <c r="AH238" s="229" t="n"/>
      <c r="AI238" s="229" t="n"/>
      <c r="AJ238" s="229" t="n"/>
    </row>
    <row r="239" customFormat="1" s="13">
      <c r="A239" s="11" t="inlineStr">
        <is>
          <t>#</t>
        </is>
      </c>
      <c r="B239" s="230" t="n"/>
      <c r="C239" s="229" t="n"/>
      <c r="D239" s="229" t="n"/>
      <c r="E239" s="229" t="n"/>
      <c r="F239" s="229" t="n"/>
      <c r="G239" s="229" t="n"/>
      <c r="H239" s="229" t="n"/>
      <c r="I239" s="229" t="n"/>
      <c r="J239" s="229" t="inlineStr">
        <is>
          <t>TZ</t>
        </is>
      </c>
      <c r="K239" s="229" t="n"/>
      <c r="L239" s="229" t="n"/>
      <c r="M239" s="229" t="n"/>
      <c r="N239" s="229" t="n"/>
      <c r="O239" s="229" t="n"/>
      <c r="P239" s="229" t="n"/>
      <c r="Q239" s="229" t="n"/>
      <c r="R239" s="229" t="n"/>
      <c r="S239" s="229" t="n"/>
      <c r="T239" s="229" t="n"/>
      <c r="U239" s="229" t="n"/>
      <c r="V239" s="229" t="n"/>
      <c r="W239" s="229" t="n"/>
      <c r="X239" s="229" t="n"/>
      <c r="Y239" s="229" t="n"/>
      <c r="Z239" s="229" t="n"/>
      <c r="AA239" s="229" t="n"/>
      <c r="AB239" s="229" t="n"/>
      <c r="AC239" s="229" t="n"/>
      <c r="AD239" s="229" t="n"/>
      <c r="AE239" s="229" t="n"/>
      <c r="AF239" s="229" t="n"/>
      <c r="AG239" s="229" t="n"/>
      <c r="AH239" s="229" t="n"/>
      <c r="AI239" s="229" t="n"/>
      <c r="AJ239" s="229" t="n"/>
    </row>
    <row r="240" customFormat="1" s="13">
      <c r="A240" s="11" t="inlineStr">
        <is>
          <t>#</t>
        </is>
      </c>
      <c r="B240" s="230" t="n"/>
      <c r="C240" s="229" t="n"/>
      <c r="D240" s="229" t="n"/>
      <c r="E240" s="229" t="n"/>
      <c r="F240" s="229" t="n"/>
      <c r="G240" s="229" t="n"/>
      <c r="H240" s="229" t="n"/>
      <c r="I240" s="229" t="n"/>
      <c r="J240" s="229" t="inlineStr">
        <is>
          <t>UA</t>
        </is>
      </c>
      <c r="K240" s="229" t="n"/>
      <c r="L240" s="229" t="n"/>
      <c r="M240" s="229" t="n"/>
      <c r="N240" s="229" t="n"/>
      <c r="O240" s="229" t="n"/>
      <c r="P240" s="229" t="n"/>
      <c r="Q240" s="229" t="n"/>
      <c r="R240" s="229" t="n"/>
      <c r="S240" s="229" t="n"/>
      <c r="T240" s="229" t="n"/>
      <c r="U240" s="229" t="n"/>
      <c r="V240" s="229" t="n"/>
      <c r="W240" s="229" t="n"/>
      <c r="X240" s="229" t="n"/>
      <c r="Y240" s="229" t="n"/>
      <c r="Z240" s="229" t="n"/>
      <c r="AA240" s="229" t="n"/>
      <c r="AB240" s="229" t="n"/>
      <c r="AC240" s="229" t="n"/>
      <c r="AD240" s="229" t="n"/>
      <c r="AE240" s="229" t="n"/>
      <c r="AF240" s="229" t="n"/>
      <c r="AG240" s="229" t="n"/>
      <c r="AH240" s="229" t="n"/>
      <c r="AI240" s="229" t="n"/>
      <c r="AJ240" s="229" t="n"/>
    </row>
    <row r="241" customFormat="1" s="13">
      <c r="A241" s="11" t="inlineStr">
        <is>
          <t>#</t>
        </is>
      </c>
      <c r="B241" s="230" t="n"/>
      <c r="C241" s="229" t="n"/>
      <c r="D241" s="229" t="n"/>
      <c r="E241" s="229" t="n"/>
      <c r="F241" s="229" t="n"/>
      <c r="G241" s="229" t="n"/>
      <c r="H241" s="229" t="n"/>
      <c r="I241" s="229" t="n"/>
      <c r="J241" s="229" t="inlineStr">
        <is>
          <t>UG</t>
        </is>
      </c>
      <c r="K241" s="229" t="n"/>
      <c r="L241" s="229" t="n"/>
      <c r="M241" s="229" t="n"/>
      <c r="N241" s="229" t="n"/>
      <c r="O241" s="229" t="n"/>
      <c r="P241" s="229" t="n"/>
      <c r="Q241" s="229" t="n"/>
      <c r="R241" s="229" t="n"/>
      <c r="S241" s="229" t="n"/>
      <c r="T241" s="229" t="n"/>
      <c r="U241" s="229" t="n"/>
      <c r="V241" s="229" t="n"/>
      <c r="W241" s="229" t="n"/>
      <c r="X241" s="229" t="n"/>
      <c r="Y241" s="229" t="n"/>
      <c r="Z241" s="229" t="n"/>
      <c r="AA241" s="229" t="n"/>
      <c r="AB241" s="229" t="n"/>
      <c r="AC241" s="229" t="n"/>
      <c r="AD241" s="229" t="n"/>
      <c r="AE241" s="229" t="n"/>
      <c r="AF241" s="229" t="n"/>
      <c r="AG241" s="229" t="n"/>
      <c r="AH241" s="229" t="n"/>
      <c r="AI241" s="229" t="n"/>
      <c r="AJ241" s="229" t="n"/>
    </row>
    <row r="242" customFormat="1" s="13">
      <c r="A242" s="11" t="inlineStr">
        <is>
          <t>#</t>
        </is>
      </c>
      <c r="B242" s="230" t="n"/>
      <c r="C242" s="229" t="n"/>
      <c r="D242" s="229" t="n"/>
      <c r="E242" s="229" t="n"/>
      <c r="F242" s="229" t="n"/>
      <c r="G242" s="229" t="n"/>
      <c r="H242" s="229" t="n"/>
      <c r="I242" s="229" t="n"/>
      <c r="J242" s="229" t="inlineStr">
        <is>
          <t>UM</t>
        </is>
      </c>
      <c r="K242" s="229" t="n"/>
      <c r="L242" s="229" t="n"/>
      <c r="M242" s="229" t="n"/>
      <c r="N242" s="229" t="n"/>
      <c r="O242" s="229" t="n"/>
      <c r="P242" s="229" t="n"/>
      <c r="Q242" s="229" t="n"/>
      <c r="R242" s="229" t="n"/>
      <c r="S242" s="229" t="n"/>
      <c r="T242" s="229" t="n"/>
      <c r="U242" s="229" t="n"/>
      <c r="V242" s="229" t="n"/>
      <c r="W242" s="229" t="n"/>
      <c r="X242" s="229" t="n"/>
      <c r="Y242" s="229" t="n"/>
      <c r="Z242" s="229" t="n"/>
      <c r="AA242" s="229" t="n"/>
      <c r="AB242" s="229" t="n"/>
      <c r="AC242" s="229" t="n"/>
      <c r="AD242" s="229" t="n"/>
      <c r="AE242" s="229" t="n"/>
      <c r="AF242" s="229" t="n"/>
      <c r="AG242" s="229" t="n"/>
      <c r="AH242" s="229" t="n"/>
      <c r="AI242" s="229" t="n"/>
      <c r="AJ242" s="229" t="n"/>
    </row>
    <row r="243" customFormat="1" s="13">
      <c r="A243" s="11" t="inlineStr">
        <is>
          <t>#</t>
        </is>
      </c>
      <c r="B243" s="230" t="n"/>
      <c r="C243" s="229" t="n"/>
      <c r="D243" s="229" t="n"/>
      <c r="E243" s="229" t="n"/>
      <c r="F243" s="229" t="n"/>
      <c r="G243" s="229" t="n"/>
      <c r="H243" s="229" t="n"/>
      <c r="I243" s="229" t="n"/>
      <c r="J243" s="229" t="inlineStr">
        <is>
          <t>US</t>
        </is>
      </c>
      <c r="K243" s="229" t="n"/>
      <c r="L243" s="229" t="n"/>
      <c r="M243" s="229" t="n"/>
      <c r="N243" s="229" t="n"/>
      <c r="O243" s="229" t="n"/>
      <c r="P243" s="229" t="n"/>
      <c r="Q243" s="229" t="n"/>
      <c r="R243" s="229" t="n"/>
      <c r="S243" s="229" t="n"/>
      <c r="T243" s="229" t="n"/>
      <c r="U243" s="229" t="n"/>
      <c r="V243" s="229" t="n"/>
      <c r="W243" s="229" t="n"/>
      <c r="X243" s="229" t="n"/>
      <c r="Y243" s="229" t="n"/>
      <c r="Z243" s="229" t="n"/>
      <c r="AA243" s="229" t="n"/>
      <c r="AB243" s="229" t="n"/>
      <c r="AC243" s="229" t="n"/>
      <c r="AD243" s="229" t="n"/>
      <c r="AE243" s="229" t="n"/>
      <c r="AF243" s="229" t="n"/>
      <c r="AG243" s="229" t="n"/>
      <c r="AH243" s="229" t="n"/>
      <c r="AI243" s="229" t="n"/>
      <c r="AJ243" s="229" t="n"/>
    </row>
    <row r="244" customFormat="1" s="13">
      <c r="A244" s="11" t="inlineStr">
        <is>
          <t>#</t>
        </is>
      </c>
      <c r="B244" s="230" t="n"/>
      <c r="C244" s="229" t="n"/>
      <c r="D244" s="229" t="n"/>
      <c r="E244" s="229" t="n"/>
      <c r="F244" s="229" t="n"/>
      <c r="G244" s="229" t="n"/>
      <c r="H244" s="229" t="n"/>
      <c r="I244" s="229" t="n"/>
      <c r="J244" s="229" t="inlineStr">
        <is>
          <t>UY</t>
        </is>
      </c>
      <c r="K244" s="229" t="n"/>
      <c r="L244" s="229" t="n"/>
      <c r="M244" s="229" t="n"/>
      <c r="N244" s="229" t="n"/>
      <c r="O244" s="229" t="n"/>
      <c r="P244" s="229" t="n"/>
      <c r="Q244" s="229" t="n"/>
      <c r="R244" s="229" t="n"/>
      <c r="S244" s="229" t="n"/>
      <c r="T244" s="229" t="n"/>
      <c r="U244" s="229" t="n"/>
      <c r="V244" s="229" t="n"/>
      <c r="W244" s="229" t="n"/>
      <c r="X244" s="229" t="n"/>
      <c r="Y244" s="229" t="n"/>
      <c r="Z244" s="229" t="n"/>
      <c r="AA244" s="229" t="n"/>
      <c r="AB244" s="229" t="n"/>
      <c r="AC244" s="229" t="n"/>
      <c r="AD244" s="229" t="n"/>
      <c r="AE244" s="229" t="n"/>
      <c r="AF244" s="229" t="n"/>
      <c r="AG244" s="229" t="n"/>
      <c r="AH244" s="229" t="n"/>
      <c r="AI244" s="229" t="n"/>
      <c r="AJ244" s="229" t="n"/>
    </row>
    <row r="245" customFormat="1" s="13">
      <c r="A245" s="11" t="inlineStr">
        <is>
          <t>#</t>
        </is>
      </c>
      <c r="B245" s="230" t="n"/>
      <c r="C245" s="229" t="n"/>
      <c r="D245" s="229" t="n"/>
      <c r="E245" s="229" t="n"/>
      <c r="F245" s="229" t="n"/>
      <c r="G245" s="229" t="n"/>
      <c r="H245" s="229" t="n"/>
      <c r="I245" s="229" t="n"/>
      <c r="J245" s="229" t="inlineStr">
        <is>
          <t>UZ</t>
        </is>
      </c>
      <c r="K245" s="229" t="n"/>
      <c r="L245" s="229" t="n"/>
      <c r="M245" s="229" t="n"/>
      <c r="N245" s="229" t="n"/>
      <c r="O245" s="229" t="n"/>
      <c r="P245" s="229" t="n"/>
      <c r="Q245" s="229" t="n"/>
      <c r="R245" s="229" t="n"/>
      <c r="S245" s="229" t="n"/>
      <c r="T245" s="229" t="n"/>
      <c r="U245" s="229" t="n"/>
      <c r="V245" s="229" t="n"/>
      <c r="W245" s="229" t="n"/>
      <c r="X245" s="229" t="n"/>
      <c r="Y245" s="229" t="n"/>
      <c r="Z245" s="229" t="n"/>
      <c r="AA245" s="229" t="n"/>
      <c r="AB245" s="229" t="n"/>
      <c r="AC245" s="229" t="n"/>
      <c r="AD245" s="229" t="n"/>
      <c r="AE245" s="229" t="n"/>
      <c r="AF245" s="229" t="n"/>
      <c r="AG245" s="229" t="n"/>
      <c r="AH245" s="229" t="n"/>
      <c r="AI245" s="229" t="n"/>
      <c r="AJ245" s="229" t="n"/>
    </row>
    <row r="246" customFormat="1" s="13">
      <c r="A246" s="11" t="inlineStr">
        <is>
          <t>#</t>
        </is>
      </c>
      <c r="B246" s="230" t="n"/>
      <c r="C246" s="229" t="n"/>
      <c r="D246" s="229" t="n"/>
      <c r="E246" s="229" t="n"/>
      <c r="F246" s="229" t="n"/>
      <c r="G246" s="229" t="n"/>
      <c r="H246" s="229" t="n"/>
      <c r="I246" s="229" t="n"/>
      <c r="J246" s="229" t="inlineStr">
        <is>
          <t>VA</t>
        </is>
      </c>
      <c r="K246" s="229" t="n"/>
      <c r="L246" s="229" t="n"/>
      <c r="M246" s="229" t="n"/>
      <c r="N246" s="229" t="n"/>
      <c r="O246" s="229" t="n"/>
      <c r="P246" s="229" t="n"/>
      <c r="Q246" s="229" t="n"/>
      <c r="R246" s="229" t="n"/>
      <c r="S246" s="229" t="n"/>
      <c r="T246" s="229" t="n"/>
      <c r="U246" s="229" t="n"/>
      <c r="V246" s="229" t="n"/>
      <c r="W246" s="229" t="n"/>
      <c r="X246" s="229" t="n"/>
      <c r="Y246" s="229" t="n"/>
      <c r="Z246" s="229" t="n"/>
      <c r="AA246" s="229" t="n"/>
      <c r="AB246" s="229" t="n"/>
      <c r="AC246" s="229" t="n"/>
      <c r="AD246" s="229" t="n"/>
      <c r="AE246" s="229" t="n"/>
      <c r="AF246" s="229" t="n"/>
      <c r="AG246" s="229" t="n"/>
      <c r="AH246" s="229" t="n"/>
      <c r="AI246" s="229" t="n"/>
      <c r="AJ246" s="229" t="n"/>
    </row>
    <row r="247" customFormat="1" s="13">
      <c r="A247" s="11" t="inlineStr">
        <is>
          <t>#</t>
        </is>
      </c>
      <c r="B247" s="230" t="n"/>
      <c r="C247" s="229" t="n"/>
      <c r="D247" s="229" t="n"/>
      <c r="E247" s="229" t="n"/>
      <c r="F247" s="229" t="n"/>
      <c r="G247" s="229" t="n"/>
      <c r="H247" s="229" t="n"/>
      <c r="I247" s="229" t="n"/>
      <c r="J247" s="229" t="inlineStr">
        <is>
          <t>VC</t>
        </is>
      </c>
      <c r="K247" s="229" t="n"/>
      <c r="L247" s="229" t="n"/>
      <c r="M247" s="229" t="n"/>
      <c r="N247" s="229" t="n"/>
      <c r="O247" s="229" t="n"/>
      <c r="P247" s="229" t="n"/>
      <c r="Q247" s="229" t="n"/>
      <c r="R247" s="229" t="n"/>
      <c r="S247" s="229" t="n"/>
      <c r="T247" s="229" t="n"/>
      <c r="U247" s="229" t="n"/>
      <c r="V247" s="229" t="n"/>
      <c r="W247" s="229" t="n"/>
      <c r="X247" s="229" t="n"/>
      <c r="Y247" s="229" t="n"/>
      <c r="Z247" s="229" t="n"/>
      <c r="AA247" s="229" t="n"/>
      <c r="AB247" s="229" t="n"/>
      <c r="AC247" s="229" t="n"/>
      <c r="AD247" s="229" t="n"/>
      <c r="AE247" s="229" t="n"/>
      <c r="AF247" s="229" t="n"/>
      <c r="AG247" s="229" t="n"/>
      <c r="AH247" s="229" t="n"/>
      <c r="AI247" s="229" t="n"/>
      <c r="AJ247" s="229" t="n"/>
    </row>
    <row r="248" customFormat="1" s="13">
      <c r="A248" s="11" t="inlineStr">
        <is>
          <t>#</t>
        </is>
      </c>
      <c r="B248" s="230" t="n"/>
      <c r="C248" s="229" t="n"/>
      <c r="D248" s="229" t="n"/>
      <c r="E248" s="229" t="n"/>
      <c r="F248" s="229" t="n"/>
      <c r="G248" s="229" t="n"/>
      <c r="H248" s="229" t="n"/>
      <c r="I248" s="229" t="n"/>
      <c r="J248" s="229" t="inlineStr">
        <is>
          <t>VE</t>
        </is>
      </c>
      <c r="K248" s="229" t="n"/>
      <c r="L248" s="229" t="n"/>
      <c r="M248" s="229" t="n"/>
      <c r="N248" s="229" t="n"/>
      <c r="O248" s="229" t="n"/>
      <c r="P248" s="229" t="n"/>
      <c r="Q248" s="229" t="n"/>
      <c r="R248" s="229" t="n"/>
      <c r="S248" s="229" t="n"/>
      <c r="T248" s="229" t="n"/>
      <c r="U248" s="229" t="n"/>
      <c r="V248" s="229" t="n"/>
      <c r="W248" s="229" t="n"/>
      <c r="X248" s="229" t="n"/>
      <c r="Y248" s="229" t="n"/>
      <c r="Z248" s="229" t="n"/>
      <c r="AA248" s="229" t="n"/>
      <c r="AB248" s="229" t="n"/>
      <c r="AC248" s="229" t="n"/>
      <c r="AD248" s="229" t="n"/>
      <c r="AE248" s="229" t="n"/>
      <c r="AF248" s="229" t="n"/>
      <c r="AG248" s="229" t="n"/>
      <c r="AH248" s="229" t="n"/>
      <c r="AI248" s="229" t="n"/>
      <c r="AJ248" s="229" t="n"/>
    </row>
    <row r="249" customFormat="1" s="13">
      <c r="A249" s="11" t="inlineStr">
        <is>
          <t>#</t>
        </is>
      </c>
      <c r="B249" s="230" t="n"/>
      <c r="C249" s="229" t="n"/>
      <c r="D249" s="229" t="n"/>
      <c r="E249" s="229" t="n"/>
      <c r="F249" s="229" t="n"/>
      <c r="G249" s="229" t="n"/>
      <c r="H249" s="229" t="n"/>
      <c r="I249" s="229" t="n"/>
      <c r="J249" s="229" t="inlineStr">
        <is>
          <t>VG</t>
        </is>
      </c>
      <c r="K249" s="229" t="n"/>
      <c r="L249" s="229" t="n"/>
      <c r="M249" s="229" t="n"/>
      <c r="N249" s="229" t="n"/>
      <c r="O249" s="229" t="n"/>
      <c r="P249" s="229" t="n"/>
      <c r="Q249" s="229" t="n"/>
      <c r="R249" s="229" t="n"/>
      <c r="S249" s="229" t="n"/>
      <c r="T249" s="229" t="n"/>
      <c r="U249" s="229" t="n"/>
      <c r="V249" s="229" t="n"/>
      <c r="W249" s="229" t="n"/>
      <c r="X249" s="229" t="n"/>
      <c r="Y249" s="229" t="n"/>
      <c r="Z249" s="229" t="n"/>
      <c r="AA249" s="229" t="n"/>
      <c r="AB249" s="229" t="n"/>
      <c r="AC249" s="229" t="n"/>
      <c r="AD249" s="229" t="n"/>
      <c r="AE249" s="229" t="n"/>
      <c r="AF249" s="229" t="n"/>
      <c r="AG249" s="229" t="n"/>
      <c r="AH249" s="229" t="n"/>
      <c r="AI249" s="229" t="n"/>
      <c r="AJ249" s="229" t="n"/>
    </row>
    <row r="250" customFormat="1" s="13">
      <c r="A250" s="11" t="inlineStr">
        <is>
          <t>#</t>
        </is>
      </c>
      <c r="B250" s="230" t="n"/>
      <c r="C250" s="229" t="n"/>
      <c r="D250" s="229" t="n"/>
      <c r="E250" s="229" t="n"/>
      <c r="F250" s="229" t="n"/>
      <c r="G250" s="229" t="n"/>
      <c r="H250" s="229" t="n"/>
      <c r="I250" s="229" t="n"/>
      <c r="J250" s="229" t="inlineStr">
        <is>
          <t>VI</t>
        </is>
      </c>
      <c r="K250" s="229" t="n"/>
      <c r="L250" s="229" t="n"/>
      <c r="M250" s="229" t="n"/>
      <c r="N250" s="229" t="n"/>
      <c r="O250" s="229" t="n"/>
      <c r="P250" s="229" t="n"/>
      <c r="Q250" s="229" t="n"/>
      <c r="R250" s="229" t="n"/>
      <c r="S250" s="229" t="n"/>
      <c r="T250" s="229" t="n"/>
      <c r="U250" s="229" t="n"/>
      <c r="V250" s="229" t="n"/>
      <c r="W250" s="229" t="n"/>
      <c r="X250" s="229" t="n"/>
      <c r="Y250" s="229" t="n"/>
      <c r="Z250" s="229" t="n"/>
      <c r="AA250" s="229" t="n"/>
      <c r="AB250" s="229" t="n"/>
      <c r="AC250" s="229" t="n"/>
      <c r="AD250" s="229" t="n"/>
      <c r="AE250" s="229" t="n"/>
      <c r="AF250" s="229" t="n"/>
      <c r="AG250" s="229" t="n"/>
      <c r="AH250" s="229" t="n"/>
      <c r="AI250" s="229" t="n"/>
      <c r="AJ250" s="229" t="n"/>
    </row>
    <row r="251" customFormat="1" s="13">
      <c r="A251" s="11" t="inlineStr">
        <is>
          <t>#</t>
        </is>
      </c>
      <c r="B251" s="230" t="n"/>
      <c r="C251" s="229" t="n"/>
      <c r="D251" s="229" t="n"/>
      <c r="E251" s="229" t="n"/>
      <c r="F251" s="229" t="n"/>
      <c r="G251" s="229" t="n"/>
      <c r="H251" s="229" t="n"/>
      <c r="I251" s="229" t="n"/>
      <c r="J251" s="229" t="inlineStr">
        <is>
          <t>VN</t>
        </is>
      </c>
      <c r="K251" s="229" t="n"/>
      <c r="L251" s="229" t="n"/>
      <c r="M251" s="229" t="n"/>
      <c r="N251" s="229" t="n"/>
      <c r="O251" s="229" t="n"/>
      <c r="P251" s="229" t="n"/>
      <c r="Q251" s="229" t="n"/>
      <c r="R251" s="229" t="n"/>
      <c r="S251" s="229" t="n"/>
      <c r="T251" s="229" t="n"/>
      <c r="U251" s="229" t="n"/>
      <c r="V251" s="229" t="n"/>
      <c r="W251" s="229" t="n"/>
      <c r="X251" s="229" t="n"/>
      <c r="Y251" s="229" t="n"/>
      <c r="Z251" s="229" t="n"/>
      <c r="AA251" s="229" t="n"/>
      <c r="AB251" s="229" t="n"/>
      <c r="AC251" s="229" t="n"/>
      <c r="AD251" s="229" t="n"/>
      <c r="AE251" s="229" t="n"/>
      <c r="AF251" s="229" t="n"/>
      <c r="AG251" s="229" t="n"/>
      <c r="AH251" s="229" t="n"/>
      <c r="AI251" s="229" t="n"/>
      <c r="AJ251" s="229" t="n"/>
    </row>
    <row r="252" customFormat="1" s="13">
      <c r="A252" s="11" t="inlineStr">
        <is>
          <t>#</t>
        </is>
      </c>
      <c r="B252" s="230" t="n"/>
      <c r="C252" s="229" t="n"/>
      <c r="D252" s="229" t="n"/>
      <c r="E252" s="229" t="n"/>
      <c r="F252" s="229" t="n"/>
      <c r="G252" s="229" t="n"/>
      <c r="H252" s="229" t="n"/>
      <c r="I252" s="229" t="n"/>
      <c r="J252" s="229" t="inlineStr">
        <is>
          <t>VU</t>
        </is>
      </c>
      <c r="K252" s="229" t="n"/>
      <c r="L252" s="229" t="n"/>
      <c r="M252" s="229" t="n"/>
      <c r="N252" s="229" t="n"/>
      <c r="O252" s="229" t="n"/>
      <c r="P252" s="229" t="n"/>
      <c r="Q252" s="229" t="n"/>
      <c r="R252" s="229" t="n"/>
      <c r="S252" s="229" t="n"/>
      <c r="T252" s="229" t="n"/>
      <c r="U252" s="229" t="n"/>
      <c r="V252" s="229" t="n"/>
      <c r="W252" s="229" t="n"/>
      <c r="X252" s="229" t="n"/>
      <c r="Y252" s="229" t="n"/>
      <c r="Z252" s="229" t="n"/>
      <c r="AA252" s="229" t="n"/>
      <c r="AB252" s="229" t="n"/>
      <c r="AC252" s="229" t="n"/>
      <c r="AD252" s="229" t="n"/>
      <c r="AE252" s="229" t="n"/>
      <c r="AF252" s="229" t="n"/>
      <c r="AG252" s="229" t="n"/>
      <c r="AH252" s="229" t="n"/>
      <c r="AI252" s="229" t="n"/>
      <c r="AJ252" s="229" t="n"/>
    </row>
    <row r="253" customFormat="1" s="13">
      <c r="A253" s="11" t="inlineStr">
        <is>
          <t>#</t>
        </is>
      </c>
      <c r="B253" s="230" t="n"/>
      <c r="C253" s="229" t="n"/>
      <c r="D253" s="229" t="n"/>
      <c r="E253" s="229" t="n"/>
      <c r="F253" s="229" t="n"/>
      <c r="G253" s="229" t="n"/>
      <c r="H253" s="229" t="n"/>
      <c r="I253" s="229" t="n"/>
      <c r="J253" s="229" t="inlineStr">
        <is>
          <t>WF</t>
        </is>
      </c>
      <c r="K253" s="229" t="n"/>
      <c r="L253" s="229" t="n"/>
      <c r="M253" s="229" t="n"/>
      <c r="N253" s="229" t="n"/>
      <c r="O253" s="229" t="n"/>
      <c r="P253" s="229" t="n"/>
      <c r="Q253" s="229" t="n"/>
      <c r="R253" s="229" t="n"/>
      <c r="S253" s="229" t="n"/>
      <c r="T253" s="229" t="n"/>
      <c r="U253" s="229" t="n"/>
      <c r="V253" s="229" t="n"/>
      <c r="W253" s="229" t="n"/>
      <c r="X253" s="229" t="n"/>
      <c r="Y253" s="229" t="n"/>
      <c r="Z253" s="229" t="n"/>
      <c r="AA253" s="229" t="n"/>
      <c r="AB253" s="229" t="n"/>
      <c r="AC253" s="229" t="n"/>
      <c r="AD253" s="229" t="n"/>
      <c r="AE253" s="229" t="n"/>
      <c r="AF253" s="229" t="n"/>
      <c r="AG253" s="229" t="n"/>
      <c r="AH253" s="229" t="n"/>
      <c r="AI253" s="229" t="n"/>
      <c r="AJ253" s="229" t="n"/>
    </row>
    <row r="254" customFormat="1" s="13">
      <c r="A254" s="11" t="inlineStr">
        <is>
          <t>#</t>
        </is>
      </c>
      <c r="B254" s="230" t="n"/>
      <c r="C254" s="229" t="n"/>
      <c r="D254" s="229" t="n"/>
      <c r="E254" s="229" t="n"/>
      <c r="F254" s="229" t="n"/>
      <c r="G254" s="229" t="n"/>
      <c r="H254" s="229" t="n"/>
      <c r="I254" s="229" t="n"/>
      <c r="J254" s="229" t="inlineStr">
        <is>
          <t>WS</t>
        </is>
      </c>
      <c r="K254" s="229" t="n"/>
      <c r="L254" s="229" t="n"/>
      <c r="M254" s="229" t="n"/>
      <c r="N254" s="229" t="n"/>
      <c r="O254" s="229" t="n"/>
      <c r="P254" s="229" t="n"/>
      <c r="Q254" s="229" t="n"/>
      <c r="R254" s="229" t="n"/>
      <c r="S254" s="229" t="n"/>
      <c r="T254" s="229" t="n"/>
      <c r="U254" s="229" t="n"/>
      <c r="V254" s="229" t="n"/>
      <c r="W254" s="229" t="n"/>
      <c r="X254" s="229" t="n"/>
      <c r="Y254" s="229" t="n"/>
      <c r="Z254" s="229" t="n"/>
      <c r="AA254" s="229" t="n"/>
      <c r="AB254" s="229" t="n"/>
      <c r="AC254" s="229" t="n"/>
      <c r="AD254" s="229" t="n"/>
      <c r="AE254" s="229" t="n"/>
      <c r="AF254" s="229" t="n"/>
      <c r="AG254" s="229" t="n"/>
      <c r="AH254" s="229" t="n"/>
      <c r="AI254" s="229" t="n"/>
      <c r="AJ254" s="229" t="n"/>
    </row>
    <row r="255" customFormat="1" s="13">
      <c r="A255" s="11" t="inlineStr">
        <is>
          <t>#</t>
        </is>
      </c>
      <c r="B255" s="230" t="n"/>
      <c r="C255" s="229" t="n"/>
      <c r="D255" s="229" t="n"/>
      <c r="E255" s="229" t="n"/>
      <c r="F255" s="229" t="n"/>
      <c r="G255" s="229" t="n"/>
      <c r="H255" s="229" t="n"/>
      <c r="I255" s="229" t="n"/>
      <c r="J255" s="229" t="inlineStr">
        <is>
          <t>YE</t>
        </is>
      </c>
      <c r="K255" s="229" t="n"/>
      <c r="L255" s="229" t="n"/>
      <c r="M255" s="229" t="n"/>
      <c r="N255" s="229" t="n"/>
      <c r="O255" s="229" t="n"/>
      <c r="P255" s="229" t="n"/>
      <c r="Q255" s="229" t="n"/>
      <c r="R255" s="229" t="n"/>
      <c r="S255" s="229" t="n"/>
      <c r="T255" s="229" t="n"/>
      <c r="U255" s="229" t="n"/>
      <c r="V255" s="229" t="n"/>
      <c r="W255" s="229" t="n"/>
      <c r="X255" s="229" t="n"/>
      <c r="Y255" s="229" t="n"/>
      <c r="Z255" s="229" t="n"/>
      <c r="AA255" s="229" t="n"/>
      <c r="AB255" s="229" t="n"/>
      <c r="AC255" s="229" t="n"/>
      <c r="AD255" s="229" t="n"/>
      <c r="AE255" s="229" t="n"/>
      <c r="AF255" s="229" t="n"/>
      <c r="AG255" s="229" t="n"/>
      <c r="AH255" s="229" t="n"/>
      <c r="AI255" s="229" t="n"/>
      <c r="AJ255" s="229" t="n"/>
    </row>
    <row r="256" ht="12" customFormat="1" customHeight="1" s="13" thickBot="1">
      <c r="A256" s="11" t="inlineStr">
        <is>
          <t>#</t>
        </is>
      </c>
      <c r="B256" s="232" t="n"/>
      <c r="C256" s="229" t="n"/>
      <c r="D256" s="229" t="n"/>
      <c r="E256" s="229" t="n"/>
      <c r="F256" s="229" t="n"/>
      <c r="G256" s="229" t="n"/>
      <c r="H256" s="229" t="n"/>
      <c r="I256" s="229" t="n"/>
      <c r="J256" s="229" t="inlineStr">
        <is>
          <t>YT</t>
        </is>
      </c>
      <c r="K256" s="229" t="n"/>
      <c r="L256" s="229" t="n"/>
      <c r="M256" s="229" t="n"/>
      <c r="N256" s="229" t="n"/>
      <c r="O256" s="229" t="n"/>
      <c r="P256" s="229" t="n"/>
      <c r="Q256" s="229" t="n"/>
      <c r="R256" s="229" t="n"/>
      <c r="S256" s="229" t="n"/>
      <c r="T256" s="229" t="n"/>
      <c r="U256" s="229" t="n"/>
      <c r="V256" s="229" t="n"/>
      <c r="W256" s="229" t="n"/>
      <c r="X256" s="229" t="n"/>
      <c r="Y256" s="229" t="n"/>
      <c r="Z256" s="229" t="n"/>
      <c r="AA256" s="229" t="n"/>
      <c r="AB256" s="229" t="n"/>
      <c r="AC256" s="229" t="n"/>
      <c r="AD256" s="229" t="n"/>
      <c r="AE256" s="229" t="n"/>
      <c r="AF256" s="229" t="n"/>
      <c r="AG256" s="229" t="n"/>
      <c r="AH256" s="229" t="n"/>
      <c r="AI256" s="229" t="n"/>
      <c r="AJ256" s="229" t="n"/>
    </row>
    <row r="257" customFormat="1" s="13">
      <c r="A257" s="11" t="inlineStr">
        <is>
          <t>#</t>
        </is>
      </c>
      <c r="B257" s="11" t="n"/>
      <c r="C257" s="229" t="n"/>
      <c r="D257" s="229" t="n"/>
      <c r="E257" s="229" t="n"/>
      <c r="F257" s="229" t="n"/>
      <c r="G257" s="229" t="n"/>
      <c r="H257" s="229" t="n"/>
      <c r="I257" s="229" t="n"/>
      <c r="J257" s="229" t="inlineStr">
        <is>
          <t>ZA</t>
        </is>
      </c>
      <c r="K257" s="229" t="n"/>
      <c r="L257" s="229" t="n"/>
      <c r="M257" s="229" t="n"/>
      <c r="N257" s="229" t="n"/>
      <c r="O257" s="229" t="n"/>
      <c r="P257" s="229" t="n"/>
      <c r="Q257" s="229" t="n"/>
      <c r="R257" s="229" t="n"/>
      <c r="S257" s="229" t="n"/>
      <c r="T257" s="229" t="n"/>
      <c r="U257" s="229" t="n"/>
      <c r="V257" s="229" t="n"/>
      <c r="W257" s="229" t="n"/>
      <c r="X257" s="229" t="n"/>
      <c r="Y257" s="229" t="n"/>
      <c r="Z257" s="229" t="n"/>
      <c r="AA257" s="229" t="n"/>
      <c r="AB257" s="229" t="n"/>
      <c r="AC257" s="229" t="n"/>
      <c r="AD257" s="229" t="n"/>
      <c r="AE257" s="229" t="n"/>
      <c r="AF257" s="229" t="n"/>
      <c r="AG257" s="229" t="n"/>
      <c r="AH257" s="229" t="n"/>
      <c r="AI257" s="229" t="n"/>
      <c r="AJ257" s="229" t="n"/>
    </row>
    <row r="258" ht="12" customFormat="1" customHeight="1" s="13" thickBot="1">
      <c r="A258" s="11" t="inlineStr">
        <is>
          <t>#</t>
        </is>
      </c>
      <c r="B258" s="11" t="n"/>
      <c r="C258" s="229" t="n"/>
      <c r="D258" s="233" t="n"/>
      <c r="E258" s="233" t="n"/>
      <c r="F258" s="233" t="n"/>
      <c r="G258" s="233" t="n"/>
      <c r="H258" s="233" t="n"/>
      <c r="I258" s="233" t="n"/>
      <c r="J258" s="229" t="inlineStr">
        <is>
          <t>ZM</t>
        </is>
      </c>
      <c r="K258" s="233" t="n"/>
      <c r="L258" s="233" t="n"/>
      <c r="M258" s="233" t="n"/>
      <c r="N258" s="229" t="n"/>
      <c r="O258" s="229" t="n"/>
      <c r="P258" s="229" t="n"/>
      <c r="Q258" s="229" t="n"/>
      <c r="R258" s="229" t="n"/>
      <c r="S258" s="229" t="n"/>
      <c r="T258" s="229" t="n"/>
      <c r="U258" s="229" t="n"/>
      <c r="V258" s="229" t="n"/>
      <c r="W258" s="229" t="n"/>
      <c r="X258" s="229" t="n"/>
      <c r="Y258" s="229" t="n"/>
      <c r="Z258" s="229" t="n"/>
      <c r="AA258" s="229" t="n"/>
      <c r="AB258" s="229" t="n"/>
      <c r="AC258" s="229" t="n"/>
      <c r="AD258" s="229" t="n"/>
      <c r="AE258" s="229" t="n"/>
      <c r="AF258" s="229" t="n"/>
      <c r="AG258" s="229" t="n"/>
      <c r="AH258" s="229" t="n"/>
      <c r="AI258" s="229" t="n"/>
      <c r="AJ258" s="229" t="n"/>
    </row>
    <row r="259" ht="12" customHeight="1" thickBot="1">
      <c r="B259" s="3" t="n"/>
      <c r="C259" s="229" t="n"/>
      <c r="D259" s="234" t="n"/>
      <c r="E259" s="234" t="n"/>
      <c r="F259" s="234" t="n"/>
      <c r="G259" s="234" t="n"/>
      <c r="H259" s="234" t="n"/>
      <c r="I259" s="234" t="n"/>
      <c r="J259" s="233" t="inlineStr">
        <is>
          <t>ZW</t>
        </is>
      </c>
      <c r="K259" s="234" t="n"/>
      <c r="L259" s="234" t="n"/>
      <c r="M259" s="234" t="n"/>
      <c r="N259" s="234" t="n"/>
      <c r="O259" s="234" t="n"/>
      <c r="P259" s="234" t="n"/>
      <c r="Q259" s="234" t="n"/>
      <c r="R259" s="229" t="n"/>
      <c r="S259" s="234" t="n"/>
      <c r="T259" s="234" t="n"/>
      <c r="U259" s="229" t="n"/>
      <c r="V259" s="229" t="n"/>
      <c r="W259" s="234" t="n"/>
      <c r="X259" s="234" t="n"/>
      <c r="Y259" s="234" t="n"/>
      <c r="Z259" s="234" t="n"/>
      <c r="AA259" s="234" t="n"/>
      <c r="AB259" s="234" t="n"/>
      <c r="AC259" s="234" t="n"/>
      <c r="AD259" s="234" t="n"/>
      <c r="AE259" s="234" t="n"/>
      <c r="AF259" s="234" t="n"/>
      <c r="AG259" s="234" t="n"/>
      <c r="AH259" s="234" t="n"/>
      <c r="AI259" s="234" t="n"/>
      <c r="AJ259" s="234" t="n"/>
    </row>
    <row r="260" ht="12" customHeight="1" thickBot="1">
      <c r="C260" s="14"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row r="271">
      <c r="C271" s="2" t="n"/>
    </row>
    <row r="272">
      <c r="C272"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2026-04-01T17:40:06Z</dcterms:modified>
  <cp:lastModifiedBy>Sascha Petsch</cp:lastModifiedBy>
  <cp:lastPrinted>2020-11-11T11:13:44Z</cp:lastPrinted>
</cp:coreProperties>
</file>