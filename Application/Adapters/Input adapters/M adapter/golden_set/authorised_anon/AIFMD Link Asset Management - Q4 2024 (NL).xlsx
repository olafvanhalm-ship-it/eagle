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490" yWindow="-3610" windowWidth="17380" windowHeight="13770" tabRatio="819" firstSheet="0" activeTab="0" autoFilterDateGrouping="1"/>
  </bookViews>
  <sheets>
    <sheet xmlns:r="http://schemas.openxmlformats.org/officeDocument/2006/relationships" name="Template" sheetId="1" state="visible" r:id="rId1"/>
    <sheet xmlns:r="http://schemas.openxmlformats.org/officeDocument/2006/relationships" name="#DOC InputRecords" sheetId="2" state="visible" r:id="rId2"/>
    <sheet xmlns:r="http://schemas.openxmlformats.org/officeDocument/2006/relationships" name="#DOC Reporting Obligation" sheetId="3" state="visible" r:id="rId3"/>
    <sheet xmlns:r="http://schemas.openxmlformats.org/officeDocument/2006/relationships" name="#DOC Reporting Code" sheetId="4" state="visible" r:id="rId4"/>
    <sheet xmlns:r="http://schemas.openxmlformats.org/officeDocument/2006/relationships" name="#DOC Annex II Tables" sheetId="5" state="visible" r:id="rId5"/>
    <sheet xmlns:r="http://schemas.openxmlformats.org/officeDocument/2006/relationships" name="#Validations" sheetId="6" state="visible" r:id="rId6"/>
  </sheets>
  <definedNames>
    <definedName name="AIF_external">Template!$B$219:$B$222</definedName>
    <definedName name="AIF_ID">Template!$B$29:$B$31</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'#Validations'!$C$6:$C$39</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 name="_xlnm.Print_Area" localSheetId="0">'Template'!$A$1:$AL$233</definedName>
    <definedName name="_xlnm._FilterDatabase" localSheetId="3" hidden="1">'#DOC Reporting Code'!$B$2:$P$51</definedName>
    <definedName name="_xlnm.Print_Titles" localSheetId="3">'#DOC Reporting Code'!$1:$2</definedName>
    <definedName name="_xlnm.Print_Area" localSheetId="3">'#DOC Reporting Code'!$E$1:$P$51</definedName>
    <definedName name="_xlnm._FilterDatabase" localSheetId="4" hidden="1">'#DOC Annex II Tables'!$B$1:$B$207</definedName>
    <definedName name="_xlnm.Print_Titles" localSheetId="5">'#Validations'!$1:$3</definedName>
    <definedName name="_xlnm.Print_Area" localSheetId="5">'#Validations'!$B$1:$AJ$201</definedName>
  </definedNames>
  <calcPr calcId="191029" fullCalcOnLoad="1" concurrentManualCount="20"/>
</workbook>
</file>

<file path=xl/styles.xml><?xml version="1.0" encoding="utf-8"?>
<styleSheet xmlns="http://schemas.openxmlformats.org/spreadsheetml/2006/main">
  <numFmts count="3">
    <numFmt numFmtId="164" formatCode="_ * #,##0.00_ ;_ * \-#,##0.00_ ;_ * &quot;-&quot;??_ ;_ @_ "/>
    <numFmt numFmtId="165" formatCode="#,##0.0000"/>
    <numFmt numFmtId="166" formatCode="yyyy\-mm\-dd;@"/>
  </numFmts>
  <fonts count="49">
    <font>
      <name val="Calibri"/>
      <family val="2"/>
      <color theme="1"/>
      <sz val="11"/>
      <scheme val="minor"/>
    </font>
    <font>
      <name val="Calibri"/>
      <family val="2"/>
      <color rgb="FF3F3F76"/>
      <sz val="11"/>
      <scheme val="minor"/>
    </font>
    <font>
      <name val="Calibri"/>
      <family val="2"/>
      <b val="1"/>
      <color theme="1"/>
      <sz val="8"/>
      <scheme val="minor"/>
    </font>
    <font>
      <name val="Calibri"/>
      <family val="2"/>
      <color theme="1"/>
      <sz val="8"/>
      <scheme val="minor"/>
    </font>
    <font>
      <name val="Arial"/>
      <family val="2"/>
      <color indexed="8"/>
      <sz val="10"/>
    </font>
    <font>
      <name val="Calibri"/>
      <family val="2"/>
      <color theme="0" tint="-0.499984740745262"/>
      <sz val="8"/>
      <scheme val="minor"/>
    </font>
    <font>
      <name val="Calibri"/>
      <family val="2"/>
      <color theme="0"/>
      <sz val="8"/>
      <scheme val="minor"/>
    </font>
    <font>
      <name val="Calibri"/>
      <family val="2"/>
      <b val="1"/>
      <color theme="0"/>
      <sz val="8"/>
      <scheme val="minor"/>
    </font>
    <font>
      <name val="Arial"/>
      <family val="2"/>
      <color theme="1"/>
      <sz val="10"/>
    </font>
    <font>
      <name val="Arial"/>
      <family val="2"/>
      <sz val="10"/>
    </font>
    <font>
      <name val="Calibri"/>
      <family val="2"/>
      <color theme="0"/>
      <sz val="14"/>
      <scheme val="minor"/>
    </font>
    <font>
      <name val="Calibri"/>
      <family val="2"/>
      <sz val="8"/>
      <scheme val="minor"/>
    </font>
    <font>
      <name val="Calibri"/>
      <family val="2"/>
      <b val="1"/>
      <sz val="8"/>
      <scheme val="minor"/>
    </font>
    <font>
      <name val="Calibri"/>
      <family val="2"/>
      <b val="1"/>
      <color rgb="FF0070C0"/>
      <sz val="8"/>
      <scheme val="minor"/>
    </font>
    <font>
      <name val="Calibri"/>
      <family val="2"/>
      <color rgb="FF3F3F76"/>
      <sz val="8"/>
      <scheme val="minor"/>
    </font>
    <font>
      <name val="Calibri"/>
      <family val="2"/>
      <b val="1"/>
      <color theme="8" tint="-0.249977111117893"/>
      <sz val="8"/>
      <scheme val="minor"/>
    </font>
    <font>
      <name val="Calibri"/>
      <family val="2"/>
      <b val="1"/>
      <color theme="4" tint="-0.249977111117893"/>
      <sz val="8"/>
      <scheme val="minor"/>
    </font>
    <font>
      <name val="Calibri"/>
      <family val="2"/>
      <color theme="10"/>
      <sz val="11"/>
      <u val="single"/>
      <scheme val="minor"/>
    </font>
    <font>
      <name val="Calibri"/>
      <family val="2"/>
      <b val="1"/>
      <color theme="0"/>
      <sz val="12"/>
      <scheme val="minor"/>
    </font>
    <font>
      <name val="Calibri"/>
      <family val="2"/>
      <sz val="12"/>
      <scheme val="minor"/>
    </font>
    <font>
      <name val="Calibri"/>
      <family val="2"/>
      <b val="1"/>
      <color rgb="FFFFFF00"/>
      <sz val="8"/>
      <scheme val="minor"/>
    </font>
    <font>
      <name val="Arial"/>
      <family val="2"/>
      <b val="1"/>
      <sz val="8"/>
    </font>
    <font>
      <name val="Arial"/>
      <family val="2"/>
      <sz val="8"/>
    </font>
    <font>
      <name val="Calibri"/>
      <family val="2"/>
      <color rgb="FF000000"/>
      <sz val="8"/>
      <scheme val="minor"/>
    </font>
    <font>
      <name val="Calibri"/>
      <family val="2"/>
      <color rgb="FFFFFF00"/>
      <sz val="8"/>
      <scheme val="minor"/>
    </font>
    <font>
      <name val="Lucida Grande"/>
      <color theme="1"/>
      <sz val="8"/>
    </font>
    <font>
      <name val="Calibri"/>
      <family val="2"/>
      <color theme="8" tint="-0.249977111117893"/>
      <sz val="8"/>
      <scheme val="minor"/>
    </font>
    <font>
      <name val="Calibri"/>
      <family val="2"/>
      <b val="1"/>
      <color theme="0"/>
      <sz val="8"/>
      <u val="single"/>
      <scheme val="minor"/>
    </font>
    <font>
      <name val="Calibri"/>
      <family val="2"/>
      <b val="1"/>
      <i val="1"/>
      <sz val="8"/>
      <scheme val="minor"/>
    </font>
    <font>
      <name val="Calibri"/>
      <family val="2"/>
      <color theme="8"/>
      <sz val="8"/>
      <scheme val="minor"/>
    </font>
    <font>
      <name val="Calibri"/>
      <family val="2"/>
      <b val="1"/>
      <color rgb="FFFFFF00"/>
      <sz val="10"/>
      <scheme val="minor"/>
    </font>
    <font>
      <name val="Calibri"/>
      <family val="2"/>
      <color rgb="FFFFFF00"/>
      <sz val="10"/>
      <u val="single"/>
      <scheme val="minor"/>
    </font>
    <font>
      <name val="Calibri"/>
      <family val="2"/>
      <b val="1"/>
      <sz val="10"/>
      <scheme val="minor"/>
    </font>
    <font>
      <name val="Calibri"/>
      <family val="2"/>
      <color rgb="FF262626"/>
      <sz val="8"/>
      <scheme val="minor"/>
    </font>
    <font>
      <name val="Calibri"/>
      <family val="2"/>
      <b val="1"/>
      <color theme="1" tint="0.249977111117893"/>
      <sz val="8"/>
      <scheme val="minor"/>
    </font>
    <font>
      <name val="Calibri"/>
      <family val="2"/>
      <b val="1"/>
      <color rgb="FF7030A0"/>
      <sz val="8"/>
      <u val="single"/>
      <scheme val="minor"/>
    </font>
    <font>
      <name val="Calibri"/>
      <family val="2"/>
      <b val="1"/>
      <color theme="0"/>
      <sz val="11"/>
      <scheme val="minor"/>
    </font>
    <font>
      <name val="Calibri"/>
      <family val="2"/>
      <color rgb="FFFFFF00"/>
      <sz val="8"/>
      <u val="single"/>
      <scheme val="minor"/>
    </font>
    <font>
      <name val="Calibri"/>
      <family val="2"/>
      <b val="1"/>
      <color rgb="FFFFFF00"/>
      <sz val="8"/>
      <u val="single"/>
      <scheme val="minor"/>
    </font>
    <font>
      <name val="Calibri"/>
      <family val="2"/>
      <color theme="10"/>
      <sz val="9"/>
      <u val="single"/>
      <scheme val="minor"/>
    </font>
    <font>
      <name val="Calibri"/>
      <family val="2"/>
      <strike val="1"/>
      <color rgb="FF000000"/>
      <sz val="8"/>
      <scheme val="minor"/>
    </font>
    <font>
      <name val="Calibri"/>
      <family val="2"/>
      <strike val="1"/>
      <color theme="1"/>
      <sz val="8"/>
      <scheme val="minor"/>
    </font>
    <font>
      <name val="Calibri"/>
      <family val="2"/>
      <color theme="1"/>
      <sz val="11"/>
      <scheme val="minor"/>
    </font>
    <font>
      <name val="Calibri"/>
      <family val="2"/>
      <sz val="10"/>
      <scheme val="minor"/>
    </font>
    <font>
      <name val="Calibri"/>
      <family val="2"/>
      <color theme="10"/>
      <sz val="10"/>
      <u val="single"/>
      <scheme val="minor"/>
    </font>
    <font>
      <name val="Calibri"/>
      <family val="2"/>
      <sz val="11"/>
      <u val="single"/>
      <scheme val="minor"/>
    </font>
    <font>
      <name val="Calibri"/>
      <family val="2"/>
      <color rgb="FF0070C0"/>
      <sz val="8"/>
      <scheme val="minor"/>
    </font>
    <font>
      <name val="Calibri"/>
      <family val="2"/>
      <color rgb="FF0070C0"/>
      <sz val="8"/>
      <u val="single"/>
      <scheme val="minor"/>
    </font>
    <font>
      <name val="Calibri"/>
      <family val="2"/>
      <color rgb="FFFF0000"/>
      <sz val="11"/>
      <scheme val="minor"/>
    </font>
  </fonts>
  <fills count="20">
    <fill>
      <patternFill/>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
        <bgColor indexed="64"/>
      </patternFill>
    </fill>
    <fill>
      <patternFill patternType="solid">
        <fgColor theme="2"/>
        <bgColor indexed="64"/>
      </patternFill>
    </fill>
    <fill>
      <patternFill patternType="solid">
        <fgColor rgb="FF002060"/>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theme="4" tint="0.7999511703848384"/>
        <bgColor indexed="64"/>
      </patternFill>
    </fill>
    <fill>
      <patternFill patternType="solid">
        <fgColor theme="8" tint="0.5999938962981048"/>
        <bgColor indexed="64"/>
      </patternFill>
    </fill>
    <fill>
      <patternFill patternType="solid">
        <fgColor theme="4" tint="0.5999938962981048"/>
        <bgColor indexed="64"/>
      </patternFill>
    </fill>
    <fill>
      <patternFill patternType="solid">
        <fgColor theme="4" tint="0.7999206518753624"/>
        <bgColor indexed="64"/>
      </patternFill>
    </fill>
    <fill>
      <patternFill patternType="solid">
        <fgColor rgb="FF7030A0"/>
        <bgColor indexed="64"/>
      </patternFill>
    </fill>
    <fill>
      <patternFill patternType="solid">
        <fgColor theme="0" tint="-0.3499862666707358"/>
        <bgColor indexed="64"/>
      </patternFill>
    </fill>
    <fill>
      <patternFill patternType="solid">
        <fgColor theme="5" tint="0.7999816888943144"/>
        <bgColor indexed="64"/>
      </patternFill>
    </fill>
    <fill>
      <patternFill patternType="solid">
        <fgColor theme="4" tint="0.3999755851924192"/>
        <bgColor indexed="64"/>
      </patternFill>
    </fill>
    <fill>
      <patternFill patternType="solid">
        <fgColor rgb="FFFFFF00"/>
        <bgColor indexed="64"/>
      </patternFill>
    </fill>
    <fill>
      <patternFill patternType="solid">
        <fgColor theme="0" tint="-0.0499893185216834"/>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right style="medium">
        <color theme="0"/>
      </right>
      <top style="medium">
        <color theme="0"/>
      </top>
      <bottom/>
      <diagonal/>
    </border>
  </borders>
  <cellStyleXfs count="7">
    <xf numFmtId="0" fontId="42" fillId="0" borderId="0"/>
    <xf numFmtId="0" fontId="1" fillId="2" borderId="1"/>
    <xf numFmtId="0" fontId="4" fillId="0" borderId="0"/>
    <xf numFmtId="0" fontId="8" fillId="0" borderId="0"/>
    <xf numFmtId="0" fontId="9" fillId="0" borderId="0"/>
    <xf numFmtId="0" fontId="17" fillId="0" borderId="0"/>
    <xf numFmtId="164" fontId="42" fillId="0" borderId="0"/>
  </cellStyleXfs>
  <cellXfs count="303">
    <xf numFmtId="0" fontId="0" fillId="0" borderId="0" pivotButton="0" quotePrefix="0" xfId="0"/>
    <xf numFmtId="0" fontId="3" fillId="0" borderId="0" pivotButton="0" quotePrefix="0" xfId="0"/>
    <xf numFmtId="0" fontId="3" fillId="0" borderId="0" applyAlignment="1" pivotButton="0" quotePrefix="0" xfId="0">
      <alignment horizontal="center"/>
    </xf>
    <xf numFmtId="0" fontId="5" fillId="0" borderId="0" pivotButton="0" quotePrefix="0" xfId="0"/>
    <xf numFmtId="0" fontId="5" fillId="3" borderId="0" pivotButton="0" quotePrefix="0" xfId="0"/>
    <xf numFmtId="0" fontId="3" fillId="3" borderId="0" pivotButton="0" quotePrefix="0" xfId="0"/>
    <xf numFmtId="0" fontId="6" fillId="3" borderId="0" pivotButton="0" quotePrefix="0" xfId="0"/>
    <xf numFmtId="0" fontId="7" fillId="3" borderId="0" pivotButton="0" quotePrefix="0" xfId="0"/>
    <xf numFmtId="0" fontId="7" fillId="3" borderId="3" pivotButton="0" quotePrefix="0" xfId="0"/>
    <xf numFmtId="0" fontId="7" fillId="3" borderId="3" applyAlignment="1" pivotButton="0" quotePrefix="0" xfId="0">
      <alignment horizontal="center"/>
    </xf>
    <xf numFmtId="0" fontId="7" fillId="3" borderId="4" pivotButton="0" quotePrefix="0" xfId="0"/>
    <xf numFmtId="0" fontId="5" fillId="4" borderId="0" pivotButton="0" quotePrefix="0" xfId="0"/>
    <xf numFmtId="0" fontId="3" fillId="4" borderId="0" applyAlignment="1" pivotButton="0" quotePrefix="0" xfId="0">
      <alignment horizontal="center"/>
    </xf>
    <xf numFmtId="0" fontId="3" fillId="4" borderId="0" pivotButton="0" quotePrefix="0" xfId="0"/>
    <xf numFmtId="0" fontId="3" fillId="4" borderId="6" applyAlignment="1" pivotButton="0" quotePrefix="0" xfId="0">
      <alignment horizontal="center"/>
    </xf>
    <xf numFmtId="0" fontId="10" fillId="3" borderId="0" pivotButton="0" quotePrefix="0" xfId="0"/>
    <xf numFmtId="0" fontId="3" fillId="3" borderId="0" applyAlignment="1" pivotButton="0" quotePrefix="0" xfId="0">
      <alignment horizontal="center"/>
    </xf>
    <xf numFmtId="0" fontId="11" fillId="0" borderId="0" applyAlignment="1" pivotButton="0" quotePrefix="0" xfId="0">
      <alignment horizontal="left"/>
    </xf>
    <xf numFmtId="0" fontId="12" fillId="0" borderId="0" applyAlignment="1" pivotButton="0" quotePrefix="0" xfId="0">
      <alignment horizontal="left"/>
    </xf>
    <xf numFmtId="0" fontId="0" fillId="4" borderId="0" pivotButton="0" quotePrefix="0" xfId="0"/>
    <xf numFmtId="0" fontId="19" fillId="0" borderId="0" applyAlignment="1" pivotButton="0" quotePrefix="0" xfId="0">
      <alignment wrapText="1"/>
    </xf>
    <xf numFmtId="0" fontId="11" fillId="0" borderId="0" pivotButton="0" quotePrefix="0" xfId="0"/>
    <xf numFmtId="0" fontId="7" fillId="3" borderId="17" applyAlignment="1" pivotButton="0" quotePrefix="0" xfId="0">
      <alignment horizontal="center" vertical="top" wrapText="1"/>
    </xf>
    <xf numFmtId="0" fontId="7" fillId="3" borderId="20" applyAlignment="1" pivotButton="0" quotePrefix="0" xfId="0">
      <alignment horizontal="left" vertical="top" wrapText="1"/>
    </xf>
    <xf numFmtId="0" fontId="7" fillId="3" borderId="22" applyAlignment="1" pivotButton="0" quotePrefix="0" xfId="0">
      <alignment horizontal="center" vertical="top" wrapText="1"/>
    </xf>
    <xf numFmtId="0" fontId="7" fillId="3" borderId="23" applyAlignment="1" pivotButton="0" quotePrefix="0" xfId="0">
      <alignment horizontal="left" vertical="top" wrapText="1"/>
    </xf>
    <xf numFmtId="0" fontId="7" fillId="3" borderId="24" applyAlignment="1" pivotButton="0" quotePrefix="0" xfId="0">
      <alignment horizontal="center" vertical="top" wrapText="1"/>
    </xf>
    <xf numFmtId="0" fontId="7" fillId="3" borderId="25" applyAlignment="1" pivotButton="0" quotePrefix="0" xfId="0">
      <alignment horizontal="center" vertical="top" wrapText="1"/>
    </xf>
    <xf numFmtId="0" fontId="7" fillId="3" borderId="26" applyAlignment="1" pivotButton="0" quotePrefix="0" xfId="0">
      <alignment horizontal="center" vertical="top" wrapText="1"/>
    </xf>
    <xf numFmtId="0" fontId="12" fillId="0" borderId="0" applyAlignment="1" pivotButton="0" quotePrefix="0" xfId="0">
      <alignment horizontal="left" vertical="top"/>
    </xf>
    <xf numFmtId="0" fontId="12" fillId="0" borderId="27" applyAlignment="1" pivotButton="0" quotePrefix="0" xfId="0">
      <alignment horizontal="center" vertical="center"/>
    </xf>
    <xf numFmtId="0" fontId="11" fillId="0" borderId="28" applyAlignment="1" pivotButton="0" quotePrefix="0" xfId="0">
      <alignment wrapText="1"/>
    </xf>
    <xf numFmtId="0" fontId="21" fillId="4" borderId="30" applyAlignment="1" pivotButton="0" quotePrefix="0" xfId="0">
      <alignment horizontal="center" vertical="center"/>
    </xf>
    <xf numFmtId="0" fontId="22" fillId="4" borderId="31" applyAlignment="1" pivotButton="0" quotePrefix="0" xfId="0">
      <alignment wrapText="1"/>
    </xf>
    <xf numFmtId="0" fontId="11" fillId="9" borderId="30" applyAlignment="1" pivotButton="0" quotePrefix="0" xfId="0">
      <alignment horizontal="center" wrapText="1"/>
    </xf>
    <xf numFmtId="0" fontId="11" fillId="9" borderId="2" applyAlignment="1" pivotButton="0" quotePrefix="0" xfId="0">
      <alignment horizontal="center" wrapText="1"/>
    </xf>
    <xf numFmtId="0" fontId="11" fillId="10" borderId="32" applyAlignment="1" pivotButton="0" quotePrefix="0" xfId="0">
      <alignment horizontal="center" wrapText="1"/>
    </xf>
    <xf numFmtId="0" fontId="11" fillId="11" borderId="33" applyAlignment="1" pivotButton="0" quotePrefix="0" xfId="0">
      <alignment horizontal="center" wrapText="1"/>
    </xf>
    <xf numFmtId="0" fontId="11" fillId="12" borderId="32" applyAlignment="1" pivotButton="0" quotePrefix="0" xfId="0">
      <alignment horizontal="center" wrapText="1"/>
    </xf>
    <xf numFmtId="0" fontId="12" fillId="0" borderId="34" applyAlignment="1" pivotButton="0" quotePrefix="0" xfId="0">
      <alignment horizontal="center" vertical="center"/>
    </xf>
    <xf numFmtId="0" fontId="11" fillId="0" borderId="35" applyAlignment="1" pivotButton="0" quotePrefix="0" xfId="0">
      <alignment wrapText="1"/>
    </xf>
    <xf numFmtId="0" fontId="21" fillId="4" borderId="34" applyAlignment="1" pivotButton="0" quotePrefix="0" xfId="0">
      <alignment horizontal="center" vertical="center"/>
    </xf>
    <xf numFmtId="0" fontId="22" fillId="4" borderId="36" applyAlignment="1" pivotButton="0" quotePrefix="0" xfId="0">
      <alignment wrapText="1"/>
    </xf>
    <xf numFmtId="0" fontId="11" fillId="10" borderId="34" applyAlignment="1" pivotButton="0" quotePrefix="0" xfId="0">
      <alignment horizontal="center" wrapText="1"/>
    </xf>
    <xf numFmtId="0" fontId="11" fillId="9" borderId="13" applyAlignment="1" pivotButton="0" quotePrefix="0" xfId="0">
      <alignment horizontal="center" wrapText="1"/>
    </xf>
    <xf numFmtId="0" fontId="11" fillId="10" borderId="35" applyAlignment="1" pivotButton="0" quotePrefix="0" xfId="0">
      <alignment horizontal="center" wrapText="1"/>
    </xf>
    <xf numFmtId="0" fontId="11" fillId="11" borderId="14" applyAlignment="1" pivotButton="0" quotePrefix="0" xfId="0">
      <alignment horizontal="center" wrapText="1"/>
    </xf>
    <xf numFmtId="0" fontId="11" fillId="12" borderId="35" applyAlignment="1" pivotButton="0" quotePrefix="0" xfId="0">
      <alignment horizontal="center" wrapText="1"/>
    </xf>
    <xf numFmtId="0" fontId="11" fillId="9" borderId="34" applyAlignment="1" pivotButton="0" quotePrefix="0" xfId="0">
      <alignment horizontal="center" wrapText="1"/>
    </xf>
    <xf numFmtId="0" fontId="11" fillId="10" borderId="13" applyAlignment="1" pivotButton="0" quotePrefix="0" xfId="0">
      <alignment horizontal="center" wrapText="1"/>
    </xf>
    <xf numFmtId="0" fontId="11" fillId="9" borderId="35" applyAlignment="1" pivotButton="0" quotePrefix="0" xfId="0">
      <alignment horizontal="center" wrapText="1"/>
    </xf>
    <xf numFmtId="0" fontId="11" fillId="13" borderId="35" applyAlignment="1" pivotButton="0" quotePrefix="0" xfId="0">
      <alignment horizontal="center" wrapText="1"/>
    </xf>
    <xf numFmtId="0" fontId="12" fillId="0" borderId="37" applyAlignment="1" pivotButton="0" quotePrefix="0" xfId="0">
      <alignment horizontal="center" vertical="center"/>
    </xf>
    <xf numFmtId="0" fontId="11" fillId="0" borderId="38" applyAlignment="1" pivotButton="0" quotePrefix="0" xfId="0">
      <alignment wrapText="1"/>
    </xf>
    <xf numFmtId="0" fontId="21" fillId="4" borderId="37" applyAlignment="1" pivotButton="0" quotePrefix="0" xfId="0">
      <alignment horizontal="center" vertical="center"/>
    </xf>
    <xf numFmtId="0" fontId="22" fillId="4" borderId="40" applyAlignment="1" pivotButton="0" quotePrefix="0" xfId="0">
      <alignment wrapText="1"/>
    </xf>
    <xf numFmtId="0" fontId="11" fillId="9" borderId="37" applyAlignment="1" pivotButton="0" quotePrefix="0" xfId="0">
      <alignment horizontal="center" wrapText="1"/>
    </xf>
    <xf numFmtId="0" fontId="11" fillId="9" borderId="41" applyAlignment="1" pivotButton="0" quotePrefix="0" xfId="0">
      <alignment horizontal="center" wrapText="1"/>
    </xf>
    <xf numFmtId="0" fontId="11" fillId="13" borderId="38" applyAlignment="1" pivotButton="0" quotePrefix="0" xfId="0">
      <alignment horizontal="center" wrapText="1"/>
    </xf>
    <xf numFmtId="0" fontId="11" fillId="11" borderId="42" applyAlignment="1" pivotButton="0" quotePrefix="0" xfId="0">
      <alignment horizontal="center" wrapText="1"/>
    </xf>
    <xf numFmtId="0" fontId="11" fillId="12" borderId="38" applyAlignment="1" pivotButton="0" quotePrefix="0" xfId="0">
      <alignment horizontal="center" wrapText="1"/>
    </xf>
    <xf numFmtId="0" fontId="12" fillId="0" borderId="0" applyAlignment="1" pivotButton="0" quotePrefix="0" xfId="0">
      <alignment horizontal="center" vertical="center"/>
    </xf>
    <xf numFmtId="0" fontId="11" fillId="0" borderId="0" applyAlignment="1" pivotButton="0" quotePrefix="0" xfId="0">
      <alignment wrapText="1"/>
    </xf>
    <xf numFmtId="0" fontId="12" fillId="0" borderId="0" applyAlignment="1" pivotButton="0" quotePrefix="0" xfId="0">
      <alignment vertical="center" wrapText="1"/>
    </xf>
    <xf numFmtId="0" fontId="11" fillId="0" borderId="0" applyAlignment="1" pivotButton="0" quotePrefix="0" xfId="0">
      <alignment horizontal="center" wrapText="1"/>
    </xf>
    <xf numFmtId="0" fontId="11" fillId="4" borderId="0" pivotButton="0" quotePrefix="0" xfId="0"/>
    <xf numFmtId="0" fontId="12" fillId="4" borderId="0" applyAlignment="1" pivotButton="0" quotePrefix="0" xfId="0">
      <alignment horizontal="left" vertical="top"/>
    </xf>
    <xf numFmtId="0" fontId="7" fillId="3" borderId="13" applyAlignment="1" pivotButton="0" quotePrefix="0" xfId="0">
      <alignment vertical="top" wrapText="1"/>
    </xf>
    <xf numFmtId="0" fontId="3" fillId="4" borderId="13" applyAlignment="1" pivotButton="0" quotePrefix="0" xfId="0">
      <alignment horizontal="left" wrapText="1"/>
    </xf>
    <xf numFmtId="0" fontId="11" fillId="4" borderId="13" applyAlignment="1" pivotButton="0" quotePrefix="0" xfId="4">
      <alignment horizontal="left" vertical="top" wrapText="1"/>
    </xf>
    <xf numFmtId="0" fontId="11" fillId="4" borderId="13" applyAlignment="1" pivotButton="0" quotePrefix="0" xfId="4">
      <alignment horizontal="left" wrapText="1"/>
    </xf>
    <xf numFmtId="0" fontId="7" fillId="3" borderId="16" applyAlignment="1" pivotButton="0" quotePrefix="0" xfId="0">
      <alignment horizontal="left" vertical="center" wrapText="1"/>
    </xf>
    <xf numFmtId="0" fontId="11" fillId="0" borderId="13" applyAlignment="1" pivotButton="0" quotePrefix="0" xfId="0">
      <alignment horizontal="left" vertical="center" wrapText="1"/>
    </xf>
    <xf numFmtId="0" fontId="20" fillId="3" borderId="16" applyAlignment="1" pivotButton="0" quotePrefix="0" xfId="0">
      <alignment horizontal="left" vertical="center" wrapText="1"/>
    </xf>
    <xf numFmtId="0" fontId="20" fillId="3" borderId="13" applyAlignment="1" pivotButton="0" quotePrefix="0" xfId="0">
      <alignment horizontal="center" vertical="top" wrapText="1"/>
    </xf>
    <xf numFmtId="0" fontId="3" fillId="4" borderId="13" applyAlignment="1" pivotButton="0" quotePrefix="0" xfId="0">
      <alignment vertical="top" wrapText="1"/>
    </xf>
    <xf numFmtId="0" fontId="26" fillId="0" borderId="13" applyAlignment="1" pivotButton="0" quotePrefix="0" xfId="0">
      <alignment horizontal="center" wrapText="1"/>
    </xf>
    <xf numFmtId="0" fontId="26" fillId="0" borderId="0" applyAlignment="1" pivotButton="0" quotePrefix="0" xfId="0">
      <alignment horizontal="center"/>
    </xf>
    <xf numFmtId="0" fontId="26" fillId="0" borderId="0" pivotButton="0" quotePrefix="0" xfId="0"/>
    <xf numFmtId="0" fontId="26" fillId="4" borderId="0" applyAlignment="1" pivotButton="0" quotePrefix="0" xfId="0">
      <alignment horizontal="center"/>
    </xf>
    <xf numFmtId="0" fontId="18" fillId="3" borderId="0" applyAlignment="1" pivotButton="0" quotePrefix="0" xfId="0">
      <alignment vertical="top"/>
    </xf>
    <xf numFmtId="0" fontId="18" fillId="3" borderId="0" applyAlignment="1" pivotButton="0" quotePrefix="0" xfId="0">
      <alignment horizontal="center" vertical="top" wrapText="1"/>
    </xf>
    <xf numFmtId="0" fontId="12" fillId="0" borderId="0" applyAlignment="1" pivotButton="0" quotePrefix="0" xfId="0">
      <alignment vertical="top"/>
    </xf>
    <xf numFmtId="0" fontId="7" fillId="3" borderId="0" applyAlignment="1" pivotButton="0" quotePrefix="0" xfId="0">
      <alignment vertical="top"/>
    </xf>
    <xf numFmtId="0" fontId="7" fillId="3" borderId="0" applyAlignment="1" pivotButton="0" quotePrefix="0" xfId="0">
      <alignment horizontal="center" vertical="top"/>
    </xf>
    <xf numFmtId="0" fontId="7" fillId="3" borderId="0" applyAlignment="1" pivotButton="0" quotePrefix="0" xfId="0">
      <alignment horizontal="center" vertical="top" wrapText="1"/>
    </xf>
    <xf numFmtId="0" fontId="7" fillId="3" borderId="0" applyAlignment="1" pivotButton="0" quotePrefix="0" xfId="0">
      <alignment vertical="top" wrapText="1"/>
    </xf>
    <xf numFmtId="0" fontId="2" fillId="0" borderId="0" applyAlignment="1" pivotButton="0" quotePrefix="0" xfId="0">
      <alignment vertical="top"/>
    </xf>
    <xf numFmtId="1" fontId="3" fillId="0" borderId="0" applyAlignment="1" pivotButton="0" quotePrefix="0" xfId="0">
      <alignment horizontal="center" vertical="top"/>
    </xf>
    <xf numFmtId="0" fontId="3" fillId="0" borderId="0" applyAlignment="1" pivotButton="0" quotePrefix="0" xfId="0">
      <alignment vertical="top"/>
    </xf>
    <xf numFmtId="0" fontId="11" fillId="0" borderId="0" applyAlignment="1" pivotButton="0" quotePrefix="0" xfId="0">
      <alignment horizontal="center" vertical="top" wrapText="1"/>
    </xf>
    <xf numFmtId="0" fontId="11" fillId="0" borderId="0" applyAlignment="1" pivotButton="0" quotePrefix="0" xfId="0">
      <alignment vertical="top" wrapText="1"/>
    </xf>
    <xf numFmtId="0" fontId="11" fillId="0" borderId="0" applyAlignment="1" pivotButton="0" quotePrefix="0" xfId="0">
      <alignment vertical="top"/>
    </xf>
    <xf numFmtId="1" fontId="6" fillId="3" borderId="0" applyAlignment="1" pivotButton="0" quotePrefix="0" xfId="0">
      <alignment horizontal="center" vertical="top"/>
    </xf>
    <xf numFmtId="0" fontId="6" fillId="3" borderId="0" applyAlignment="1" pivotButton="0" quotePrefix="0" xfId="0">
      <alignment vertical="top"/>
    </xf>
    <xf numFmtId="0" fontId="6" fillId="3" borderId="0" applyAlignment="1" pivotButton="0" quotePrefix="0" xfId="0">
      <alignment horizontal="center" vertical="top" wrapText="1"/>
    </xf>
    <xf numFmtId="0" fontId="24" fillId="3" borderId="0" applyAlignment="1" pivotButton="0" quotePrefix="0" xfId="0">
      <alignment vertical="top" wrapText="1"/>
    </xf>
    <xf numFmtId="0" fontId="6" fillId="3" borderId="0" applyAlignment="1" pivotButton="0" quotePrefix="0" xfId="0">
      <alignment vertical="top" wrapText="1"/>
    </xf>
    <xf numFmtId="1" fontId="3" fillId="0" borderId="0" applyAlignment="1" pivotButton="0" quotePrefix="0" xfId="0">
      <alignment horizontal="left" vertical="top"/>
    </xf>
    <xf numFmtId="0" fontId="12" fillId="0" borderId="0" applyAlignment="1" pivotButton="0" quotePrefix="0" xfId="0">
      <alignment vertical="top" wrapText="1"/>
    </xf>
    <xf numFmtId="1" fontId="29" fillId="3" borderId="0" applyAlignment="1" pivotButton="0" quotePrefix="0" xfId="0">
      <alignment horizontal="center" vertical="top"/>
    </xf>
    <xf numFmtId="0" fontId="29" fillId="3" borderId="0" applyAlignment="1" pivotButton="0" quotePrefix="0" xfId="0">
      <alignment vertical="top"/>
    </xf>
    <xf numFmtId="0" fontId="29" fillId="3" borderId="0" applyAlignment="1" pivotButton="0" quotePrefix="0" xfId="0">
      <alignment vertical="top" wrapText="1"/>
    </xf>
    <xf numFmtId="0" fontId="3" fillId="0" borderId="0" applyAlignment="1" pivotButton="0" quotePrefix="0" xfId="0">
      <alignment horizontal="center" vertical="top"/>
    </xf>
    <xf numFmtId="1" fontId="3" fillId="0" borderId="0" applyAlignment="1" pivotButton="0" quotePrefix="1" xfId="0">
      <alignment horizontal="center" vertical="top"/>
    </xf>
    <xf numFmtId="0" fontId="11" fillId="0" borderId="0" applyAlignment="1" pivotButton="0" quotePrefix="1" xfId="0">
      <alignment vertical="top" wrapText="1"/>
    </xf>
    <xf numFmtId="0" fontId="3" fillId="0" borderId="0" applyAlignment="1" pivotButton="0" quotePrefix="0" xfId="0">
      <alignment horizontal="center" vertical="top" wrapText="1"/>
    </xf>
    <xf numFmtId="1" fontId="7" fillId="3" borderId="0" applyAlignment="1" pivotButton="0" quotePrefix="0" xfId="0">
      <alignment horizontal="center" vertical="top"/>
    </xf>
    <xf numFmtId="1" fontId="11" fillId="0" borderId="0" applyAlignment="1" pivotButton="0" quotePrefix="0" xfId="0">
      <alignment horizontal="center" vertical="top"/>
    </xf>
    <xf numFmtId="0" fontId="11" fillId="0" borderId="0" applyAlignment="1" pivotButton="0" quotePrefix="0" xfId="0">
      <alignment horizontal="center" vertical="top"/>
    </xf>
    <xf numFmtId="0" fontId="30" fillId="3" borderId="0" applyAlignment="1" pivotButton="0" quotePrefix="0" xfId="0">
      <alignment horizontal="center" vertical="top"/>
    </xf>
    <xf numFmtId="0" fontId="31" fillId="3" borderId="0" applyAlignment="1" pivotButton="0" quotePrefix="0" xfId="5">
      <alignment vertical="top"/>
    </xf>
    <xf numFmtId="0" fontId="30" fillId="0" borderId="0" applyAlignment="1" pivotButton="0" quotePrefix="0" xfId="0">
      <alignment horizontal="center" vertical="top"/>
    </xf>
    <xf numFmtId="0" fontId="31" fillId="0" borderId="0" applyAlignment="1" pivotButton="0" quotePrefix="0" xfId="5">
      <alignment vertical="top"/>
    </xf>
    <xf numFmtId="0" fontId="18" fillId="0" borderId="0" applyAlignment="1" pivotButton="0" quotePrefix="0" xfId="0">
      <alignment vertical="top"/>
    </xf>
    <xf numFmtId="0" fontId="32" fillId="0" borderId="0" applyAlignment="1" pivotButton="0" quotePrefix="0" xfId="0">
      <alignment vertical="top"/>
    </xf>
    <xf numFmtId="0" fontId="18" fillId="0" borderId="0" applyAlignment="1" pivotButton="0" quotePrefix="0" xfId="0">
      <alignment horizontal="center" vertical="top"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3" fillId="0" borderId="0" applyAlignment="1" pivotButton="0" quotePrefix="0" xfId="0">
      <alignment vertical="center" wrapText="1"/>
    </xf>
    <xf numFmtId="0" fontId="6" fillId="3" borderId="0" applyAlignment="1" applyProtection="1" pivotButton="0" quotePrefix="0" xfId="0">
      <alignment horizontal="center" vertical="top" wrapText="1"/>
      <protection locked="0" hidden="0"/>
    </xf>
    <xf numFmtId="0" fontId="6" fillId="3" borderId="29" applyAlignment="1" applyProtection="1" pivotButton="0" quotePrefix="0" xfId="0">
      <alignment horizontal="center" vertical="top" wrapText="1"/>
      <protection locked="0" hidden="0"/>
    </xf>
    <xf numFmtId="0" fontId="11" fillId="4" borderId="52" applyAlignment="1" pivotButton="0" quotePrefix="0" xfId="0">
      <alignment horizontal="center" vertical="center"/>
    </xf>
    <xf numFmtId="0" fontId="11" fillId="4" borderId="49" applyAlignment="1" pivotButton="0" quotePrefix="0" xfId="0">
      <alignment horizontal="center" vertical="center"/>
    </xf>
    <xf numFmtId="0" fontId="11" fillId="4" borderId="45" applyAlignment="1" pivotButton="0" quotePrefix="0" xfId="0">
      <alignment horizontal="center" vertical="center"/>
    </xf>
    <xf numFmtId="0" fontId="11" fillId="4" borderId="50" applyAlignment="1" pivotButton="0" quotePrefix="0" xfId="0">
      <alignment horizontal="center" vertical="center"/>
    </xf>
    <xf numFmtId="0" fontId="11" fillId="4" borderId="46" applyAlignment="1" pivotButton="0" quotePrefix="0" xfId="0">
      <alignment horizontal="center" vertical="center"/>
    </xf>
    <xf numFmtId="0" fontId="11" fillId="4" borderId="0" applyAlignment="1" pivotButton="0" quotePrefix="0" xfId="0">
      <alignment horizontal="center" vertical="center"/>
    </xf>
    <xf numFmtId="0" fontId="11" fillId="0" borderId="50" applyAlignment="1" pivotButton="0" quotePrefix="0" xfId="0">
      <alignment horizontal="center" vertical="center"/>
    </xf>
    <xf numFmtId="0" fontId="11" fillId="0" borderId="51" applyAlignment="1" pivotButton="0" quotePrefix="0" xfId="0">
      <alignment horizontal="center" vertical="center"/>
    </xf>
    <xf numFmtId="0" fontId="3" fillId="16" borderId="0" applyAlignment="1" pivotButton="0" quotePrefix="0" xfId="0">
      <alignment horizontal="left"/>
    </xf>
    <xf numFmtId="0" fontId="11" fillId="16" borderId="0" applyAlignment="1" pivotButton="0" quotePrefix="0" xfId="0">
      <alignment horizontal="left"/>
    </xf>
    <xf numFmtId="0" fontId="39" fillId="0" borderId="0" applyAlignment="1" pivotButton="0" quotePrefix="0" xfId="5">
      <alignment horizontal="left"/>
    </xf>
    <xf numFmtId="0" fontId="39" fillId="0" borderId="0" applyAlignment="1" pivotButton="0" quotePrefix="0" xfId="5">
      <alignment horizontal="left"/>
    </xf>
    <xf numFmtId="0" fontId="3" fillId="0" borderId="0" applyAlignment="1" pivotButton="0" quotePrefix="0" xfId="0">
      <alignment vertical="top" wrapText="1"/>
    </xf>
    <xf numFmtId="0" fontId="12" fillId="0" borderId="0" applyAlignment="1" pivotButton="0" quotePrefix="1" xfId="0">
      <alignment horizontal="left"/>
    </xf>
    <xf numFmtId="0" fontId="23" fillId="0" borderId="0" applyAlignment="1" pivotButton="0" quotePrefix="0" xfId="0">
      <alignment horizontal="center" vertical="top" wrapText="1"/>
    </xf>
    <xf numFmtId="0" fontId="23" fillId="0" borderId="0" applyAlignment="1" pivotButton="0" quotePrefix="0" xfId="0">
      <alignment vertical="top" wrapText="1"/>
    </xf>
    <xf numFmtId="0" fontId="11" fillId="0" borderId="0" applyAlignment="1" applyProtection="1" pivotButton="0" quotePrefix="0" xfId="0">
      <alignment horizontal="left" vertical="top" wrapText="1"/>
      <protection locked="0" hidden="0"/>
    </xf>
    <xf numFmtId="0" fontId="3" fillId="0" borderId="0" applyAlignment="1" applyProtection="1" pivotButton="0" quotePrefix="0" xfId="0">
      <alignment horizontal="left" vertical="top" wrapText="1"/>
      <protection locked="0" hidden="0"/>
    </xf>
    <xf numFmtId="0" fontId="7" fillId="3" borderId="13" applyAlignment="1" pivotButton="0" quotePrefix="0" xfId="0">
      <alignment horizontal="left" vertical="top" wrapText="1"/>
    </xf>
    <xf numFmtId="0" fontId="3" fillId="0" borderId="13" applyAlignment="1" pivotButton="0" quotePrefix="0" xfId="0">
      <alignment horizontal="left" vertical="top" wrapText="1"/>
    </xf>
    <xf numFmtId="0" fontId="11" fillId="0" borderId="13" applyAlignment="1" pivotButton="0" quotePrefix="0" xfId="4">
      <alignment horizontal="left" vertical="top" wrapText="1"/>
    </xf>
    <xf numFmtId="0" fontId="3" fillId="4" borderId="0" applyAlignment="1" pivotButton="0" quotePrefix="0" xfId="0">
      <alignment horizontal="left" vertical="top"/>
    </xf>
    <xf numFmtId="0" fontId="3" fillId="0" borderId="13" applyAlignment="1" pivotButton="0" quotePrefix="0" xfId="0">
      <alignment horizontal="left" vertical="center"/>
    </xf>
    <xf numFmtId="0" fontId="41" fillId="0" borderId="13" applyAlignment="1" pivotButton="0" quotePrefix="0" xfId="0">
      <alignment horizontal="left" vertical="center"/>
    </xf>
    <xf numFmtId="0" fontId="23" fillId="0" borderId="13" applyAlignment="1" pivotButton="0" quotePrefix="0" xfId="0">
      <alignment horizontal="left" vertical="top"/>
    </xf>
    <xf numFmtId="0" fontId="3" fillId="0" borderId="44" applyAlignment="1" pivotButton="0" quotePrefix="0" xfId="0">
      <alignment horizontal="left" vertical="center"/>
    </xf>
    <xf numFmtId="0" fontId="2" fillId="0" borderId="44" applyAlignment="1" pivotButton="0" quotePrefix="0" xfId="0">
      <alignment horizontal="left" vertical="center"/>
    </xf>
    <xf numFmtId="0" fontId="2" fillId="0" borderId="13" applyAlignment="1" pivotButton="0" quotePrefix="0" xfId="0">
      <alignment horizontal="left" vertical="center"/>
    </xf>
    <xf numFmtId="0" fontId="11" fillId="0" borderId="13" applyAlignment="1" pivotButton="0" quotePrefix="0" xfId="0">
      <alignment vertical="center" wrapText="1"/>
    </xf>
    <xf numFmtId="0" fontId="12" fillId="0" borderId="13" applyAlignment="1" pivotButton="0" quotePrefix="0" xfId="0">
      <alignment vertical="center" wrapText="1"/>
    </xf>
    <xf numFmtId="0" fontId="12" fillId="0" borderId="13" applyAlignment="1" pivotButton="0" quotePrefix="0" xfId="0">
      <alignment horizontal="left" vertical="center" wrapText="1"/>
    </xf>
    <xf numFmtId="0" fontId="26" fillId="0" borderId="0" applyAlignment="1" pivotButton="0" quotePrefix="0" xfId="0">
      <alignment horizontal="center" wrapText="1"/>
    </xf>
    <xf numFmtId="0" fontId="3" fillId="4" borderId="0" applyAlignment="1" pivotButton="0" quotePrefix="0" xfId="0">
      <alignment vertical="top" wrapText="1"/>
    </xf>
    <xf numFmtId="0" fontId="7" fillId="3" borderId="2" applyAlignment="1" pivotButton="0" quotePrefix="0" xfId="0">
      <alignment vertical="top" wrapText="1"/>
    </xf>
    <xf numFmtId="0" fontId="3" fillId="0" borderId="0" applyAlignment="1" pivotButton="0" quotePrefix="0" xfId="0">
      <alignment horizontal="left" vertical="center"/>
    </xf>
    <xf numFmtId="0" fontId="7" fillId="17" borderId="0" applyAlignment="1" pivotButton="0" quotePrefix="0" xfId="0">
      <alignment vertical="top"/>
    </xf>
    <xf numFmtId="1" fontId="6" fillId="17" borderId="0" applyAlignment="1" pivotButton="0" quotePrefix="0" xfId="0">
      <alignment horizontal="center" vertical="top"/>
    </xf>
    <xf numFmtId="0" fontId="6" fillId="17" borderId="0" applyAlignment="1" pivotButton="0" quotePrefix="0" xfId="0">
      <alignment vertical="top"/>
    </xf>
    <xf numFmtId="0" fontId="6" fillId="17" borderId="0" applyAlignment="1" pivotButton="0" quotePrefix="0" xfId="0">
      <alignment horizontal="center" vertical="top" wrapText="1"/>
    </xf>
    <xf numFmtId="0" fontId="24" fillId="17" borderId="0" applyAlignment="1" pivotButton="0" quotePrefix="0" xfId="0">
      <alignment vertical="top" wrapText="1"/>
    </xf>
    <xf numFmtId="0" fontId="6" fillId="17" borderId="0" applyAlignment="1" pivotButton="0" quotePrefix="0" xfId="0">
      <alignment vertical="top" wrapText="1"/>
    </xf>
    <xf numFmtId="0" fontId="2" fillId="4" borderId="0" pivotButton="0" quotePrefix="0" xfId="0"/>
    <xf numFmtId="0" fontId="3" fillId="0" borderId="13" applyAlignment="1" pivotButton="0" quotePrefix="0" xfId="0">
      <alignment horizontal="left" vertical="center" wrapText="1"/>
    </xf>
    <xf numFmtId="0" fontId="41" fillId="0" borderId="13" applyAlignment="1" pivotButton="0" quotePrefix="0" xfId="0">
      <alignment horizontal="left" vertical="center" wrapText="1"/>
    </xf>
    <xf numFmtId="0" fontId="3" fillId="4" borderId="57" pivotButton="0" quotePrefix="0" xfId="0"/>
    <xf numFmtId="0" fontId="7" fillId="3" borderId="14" applyAlignment="1" pivotButton="0" quotePrefix="0" xfId="0">
      <alignment horizontal="center"/>
    </xf>
    <xf numFmtId="0" fontId="7" fillId="3" borderId="2" applyAlignment="1" pivotButton="0" quotePrefix="0" xfId="0">
      <alignment vertical="top"/>
    </xf>
    <xf numFmtId="0" fontId="7" fillId="3" borderId="2" applyAlignment="1" pivotButton="0" quotePrefix="0" xfId="0">
      <alignment horizontal="left" vertical="top" wrapText="1"/>
    </xf>
    <xf numFmtId="0" fontId="7" fillId="3" borderId="31" applyAlignment="1" pivotButton="0" quotePrefix="0" xfId="0">
      <alignment vertical="top"/>
    </xf>
    <xf numFmtId="0" fontId="40" fillId="0" borderId="13" applyAlignment="1" pivotButton="0" quotePrefix="0" xfId="0">
      <alignment horizontal="left" vertical="top"/>
    </xf>
    <xf numFmtId="0" fontId="17" fillId="4" borderId="0" pivotButton="0" quotePrefix="0" xfId="5"/>
    <xf numFmtId="0" fontId="7" fillId="4" borderId="0" applyAlignment="1" pivotButton="0" quotePrefix="0" xfId="0">
      <alignment horizontal="left" vertical="top"/>
    </xf>
    <xf numFmtId="0" fontId="11" fillId="4" borderId="0" applyAlignment="1" pivotButton="0" quotePrefix="0" xfId="0">
      <alignment horizontal="left" vertical="top"/>
    </xf>
    <xf numFmtId="0" fontId="12" fillId="4" borderId="0" applyAlignment="1" pivotButton="0" quotePrefix="1" xfId="0">
      <alignment horizontal="left" vertical="top"/>
    </xf>
    <xf numFmtId="0" fontId="35" fillId="4" borderId="0" applyAlignment="1" pivotButton="0" quotePrefix="0" xfId="5">
      <alignment horizontal="left" vertical="top"/>
    </xf>
    <xf numFmtId="0" fontId="17" fillId="4" borderId="0" applyAlignment="1" pivotButton="0" quotePrefix="0" xfId="5">
      <alignment horizontal="left" vertical="top"/>
    </xf>
    <xf numFmtId="0" fontId="17" fillId="4" borderId="55" applyAlignment="1" pivotButton="0" quotePrefix="0" xfId="5">
      <alignment horizontal="left" vertical="top" wrapText="1"/>
    </xf>
    <xf numFmtId="0" fontId="44" fillId="4" borderId="56" applyAlignment="1" pivotButton="0" quotePrefix="0" xfId="5">
      <alignment horizontal="left" vertical="top" wrapText="1"/>
    </xf>
    <xf numFmtId="0" fontId="34" fillId="15" borderId="0" applyAlignment="1" pivotButton="0" quotePrefix="0" xfId="0">
      <alignment horizontal="left" vertical="top"/>
    </xf>
    <xf numFmtId="0" fontId="3" fillId="0" borderId="0" applyAlignment="1" pivotButton="0" quotePrefix="0" xfId="0">
      <alignment horizontal="left" vertical="top"/>
    </xf>
    <xf numFmtId="0" fontId="7" fillId="3" borderId="0" applyAlignment="1" pivotButton="0" quotePrefix="0" xfId="0">
      <alignment horizontal="left" vertical="top"/>
    </xf>
    <xf numFmtId="0" fontId="7" fillId="17" borderId="0" applyAlignment="1" pivotButton="0" quotePrefix="0" xfId="0">
      <alignment horizontal="left" vertical="top"/>
    </xf>
    <xf numFmtId="0" fontId="2" fillId="0" borderId="0" applyAlignment="1" pivotButton="0" quotePrefix="0" xfId="0">
      <alignment horizontal="left" vertical="top"/>
    </xf>
    <xf numFmtId="0" fontId="13" fillId="5" borderId="0" applyAlignment="1" pivotButton="0" quotePrefix="0" xfId="0">
      <alignment horizontal="left" vertical="top"/>
    </xf>
    <xf numFmtId="0" fontId="13" fillId="5" borderId="0" applyAlignment="1" pivotButton="0" quotePrefix="1" xfId="0">
      <alignment horizontal="left" vertical="top"/>
    </xf>
    <xf numFmtId="0" fontId="13" fillId="0" borderId="0" applyAlignment="1" pivotButton="0" quotePrefix="0" xfId="0">
      <alignment horizontal="left" vertical="top"/>
    </xf>
    <xf numFmtId="0" fontId="3" fillId="0" borderId="0" applyAlignment="1" applyProtection="1" pivotButton="0" quotePrefix="0" xfId="0">
      <alignment horizontal="left" vertical="top"/>
      <protection locked="0" hidden="0"/>
    </xf>
    <xf numFmtId="0" fontId="3" fillId="0" borderId="0" applyAlignment="1" applyProtection="1" pivotButton="0" quotePrefix="1" xfId="0">
      <alignment horizontal="left" vertical="top"/>
      <protection locked="0" hidden="0"/>
    </xf>
    <xf numFmtId="0" fontId="15" fillId="5" borderId="0" applyAlignment="1" pivotButton="0" quotePrefix="0" xfId="0">
      <alignment horizontal="left" vertical="top"/>
    </xf>
    <xf numFmtId="0" fontId="16" fillId="5" borderId="0" applyAlignment="1" pivotButton="0" quotePrefix="0" xfId="0">
      <alignment horizontal="left" vertical="top"/>
    </xf>
    <xf numFmtId="0" fontId="14" fillId="2" borderId="1" applyAlignment="1" applyProtection="1" pivotButton="0" quotePrefix="0" xfId="1">
      <alignment horizontal="left" vertical="top"/>
      <protection locked="0" hidden="0"/>
    </xf>
    <xf numFmtId="4" fontId="3" fillId="0" borderId="0" applyAlignment="1" applyProtection="1" pivotButton="0" quotePrefix="0" xfId="6">
      <alignment horizontal="right" vertical="top"/>
      <protection locked="0" hidden="0"/>
    </xf>
    <xf numFmtId="3" fontId="3" fillId="0" borderId="0" applyAlignment="1" applyProtection="1" pivotButton="0" quotePrefix="0" xfId="6">
      <alignment horizontal="left" vertical="top"/>
      <protection locked="0" hidden="0"/>
    </xf>
    <xf numFmtId="4" fontId="3" fillId="0" borderId="0" applyAlignment="1" applyProtection="1" pivotButton="0" quotePrefix="0" xfId="6">
      <alignment horizontal="left" vertical="top"/>
      <protection locked="0" hidden="0"/>
    </xf>
    <xf numFmtId="4" fontId="3" fillId="0" borderId="0" applyAlignment="1" applyProtection="1" pivotButton="0" quotePrefix="0" xfId="0">
      <alignment horizontal="right" vertical="top"/>
      <protection locked="0" hidden="0"/>
    </xf>
    <xf numFmtId="3" fontId="3" fillId="0" borderId="0" applyAlignment="1" applyProtection="1" pivotButton="0" quotePrefix="0" xfId="6">
      <alignment horizontal="right" vertical="top"/>
      <protection locked="0" hidden="0"/>
    </xf>
    <xf numFmtId="0" fontId="11" fillId="0" borderId="0" applyAlignment="1" applyProtection="1" pivotButton="0" quotePrefix="0" xfId="4">
      <alignment horizontal="left" vertical="top" wrapText="1"/>
      <protection locked="0" hidden="0"/>
    </xf>
    <xf numFmtId="164" fontId="3" fillId="0" borderId="0" applyAlignment="1" applyProtection="1" pivotButton="0" quotePrefix="0" xfId="6">
      <alignment horizontal="left" vertical="top"/>
      <protection locked="0" hidden="0"/>
    </xf>
    <xf numFmtId="0" fontId="16" fillId="5" borderId="0" applyAlignment="1" pivotButton="0" quotePrefix="1" xfId="0">
      <alignment horizontal="left" vertical="top"/>
    </xf>
    <xf numFmtId="0" fontId="16" fillId="0" borderId="0" applyAlignment="1" pivotButton="0" quotePrefix="0" xfId="0">
      <alignment horizontal="left" vertical="top"/>
    </xf>
    <xf numFmtId="4" fontId="3" fillId="0" borderId="0" applyAlignment="1" applyProtection="1" pivotButton="0" quotePrefix="0" xfId="6">
      <alignment vertical="top"/>
      <protection locked="0" hidden="0"/>
    </xf>
    <xf numFmtId="164" fontId="3" fillId="0" borderId="0" applyAlignment="1" applyProtection="1" pivotButton="0" quotePrefix="0" xfId="6">
      <alignment horizontal="left" vertical="top"/>
      <protection locked="0" hidden="0"/>
    </xf>
    <xf numFmtId="0" fontId="7" fillId="14" borderId="0" applyAlignment="1" pivotButton="0" quotePrefix="0" xfId="0">
      <alignment horizontal="left" vertical="top"/>
    </xf>
    <xf numFmtId="0" fontId="2" fillId="14" borderId="0" applyAlignment="1" pivotButton="0" quotePrefix="0" xfId="0">
      <alignment horizontal="left" vertical="top"/>
    </xf>
    <xf numFmtId="0" fontId="7" fillId="3" borderId="0" applyAlignment="1" pivotButton="0" quotePrefix="0" xfId="4">
      <alignment horizontal="left" vertical="top" wrapText="1"/>
    </xf>
    <xf numFmtId="0" fontId="13" fillId="6" borderId="0" applyAlignment="1" pivotButton="0" quotePrefix="0" xfId="0">
      <alignment horizontal="left" vertical="top"/>
    </xf>
    <xf numFmtId="0" fontId="11" fillId="0" borderId="0" applyAlignment="1" applyProtection="1" pivotButton="0" quotePrefix="0" xfId="0">
      <alignment horizontal="left" vertical="top"/>
      <protection locked="0" hidden="0"/>
    </xf>
    <xf numFmtId="2" fontId="11" fillId="0" borderId="0" applyAlignment="1" applyProtection="1" pivotButton="0" quotePrefix="0" xfId="0">
      <alignment horizontal="right" vertical="top"/>
      <protection locked="0" hidden="0"/>
    </xf>
    <xf numFmtId="2" fontId="11" fillId="0" borderId="0" applyAlignment="1" applyProtection="1" pivotButton="0" quotePrefix="0" xfId="6">
      <alignment horizontal="right" vertical="top"/>
      <protection locked="0" hidden="0"/>
    </xf>
    <xf numFmtId="0" fontId="7" fillId="0" borderId="0" applyAlignment="1" pivotButton="0" quotePrefix="0" xfId="0">
      <alignment horizontal="left" vertical="top"/>
    </xf>
    <xf numFmtId="0" fontId="7" fillId="3" borderId="14" applyAlignment="1" pivotButton="0" quotePrefix="0" xfId="0">
      <alignment horizontal="left" vertical="top"/>
    </xf>
    <xf numFmtId="0" fontId="7" fillId="3" borderId="13" applyAlignment="1" pivotButton="0" quotePrefix="0" xfId="0">
      <alignment horizontal="left" vertical="top"/>
    </xf>
    <xf numFmtId="0" fontId="13" fillId="5" borderId="15" applyAlignment="1" pivotButton="0" quotePrefix="0" xfId="0">
      <alignment horizontal="left" vertical="top"/>
    </xf>
    <xf numFmtId="0" fontId="13" fillId="5" borderId="16" applyAlignment="1" pivotButton="0" quotePrefix="0" xfId="0">
      <alignment horizontal="left" vertical="top"/>
    </xf>
    <xf numFmtId="0" fontId="7" fillId="17" borderId="13" applyAlignment="1" pivotButton="0" quotePrefix="0" xfId="0">
      <alignment horizontal="left" vertical="top"/>
    </xf>
    <xf numFmtId="0" fontId="13" fillId="5" borderId="16" applyAlignment="1" pivotButton="0" quotePrefix="1" xfId="0">
      <alignment horizontal="left" vertical="top"/>
    </xf>
    <xf numFmtId="0" fontId="3" fillId="0" borderId="0" applyAlignment="1" applyProtection="1" pivotButton="0" quotePrefix="0" xfId="6">
      <alignment horizontal="left" vertical="top"/>
      <protection locked="0" hidden="0"/>
    </xf>
    <xf numFmtId="4" fontId="3" fillId="0" borderId="2" applyAlignment="1" applyProtection="1" pivotButton="0" quotePrefix="0" xfId="6">
      <alignment horizontal="right" vertical="top"/>
      <protection locked="0" hidden="0"/>
    </xf>
    <xf numFmtId="0" fontId="3" fillId="0" borderId="0" applyAlignment="1" applyProtection="1" pivotButton="0" quotePrefix="0" xfId="0">
      <alignment horizontal="right" vertical="top"/>
      <protection locked="0" hidden="0"/>
    </xf>
    <xf numFmtId="0" fontId="11" fillId="0" borderId="0" applyAlignment="1" pivotButton="0" quotePrefix="0" xfId="0">
      <alignment horizontal="left" vertical="top"/>
    </xf>
    <xf numFmtId="0" fontId="7" fillId="8" borderId="0" applyAlignment="1" pivotButton="0" quotePrefix="0" xfId="0">
      <alignment horizontal="left" vertical="top"/>
    </xf>
    <xf numFmtId="0" fontId="3" fillId="8" borderId="0" applyAlignment="1" pivotButton="0" quotePrefix="0" xfId="0">
      <alignment horizontal="left" vertical="top"/>
    </xf>
    <xf numFmtId="165" fontId="3" fillId="0" borderId="0" applyAlignment="1" applyProtection="1" pivotButton="0" quotePrefix="0" xfId="6">
      <alignment horizontal="left" vertical="top"/>
      <protection locked="0" hidden="0"/>
    </xf>
    <xf numFmtId="0" fontId="7" fillId="7" borderId="0" applyAlignment="1" pivotButton="0" quotePrefix="0" xfId="0">
      <alignment horizontal="left" vertical="top"/>
    </xf>
    <xf numFmtId="0" fontId="3" fillId="7" borderId="0" applyAlignment="1" pivotButton="0" quotePrefix="0" xfId="0">
      <alignment horizontal="left" vertical="top"/>
    </xf>
    <xf numFmtId="0" fontId="5" fillId="4" borderId="3" pivotButton="0" quotePrefix="0" xfId="0"/>
    <xf numFmtId="0" fontId="5" fillId="4" borderId="5" applyAlignment="1" pivotButton="0" quotePrefix="0" xfId="0">
      <alignment horizontal="center"/>
    </xf>
    <xf numFmtId="0" fontId="5" fillId="4" borderId="0" applyAlignment="1" pivotButton="0" quotePrefix="0" xfId="0">
      <alignment horizontal="center"/>
    </xf>
    <xf numFmtId="0" fontId="5" fillId="4" borderId="8" pivotButton="0" quotePrefix="0" xfId="0"/>
    <xf numFmtId="0" fontId="5" fillId="4" borderId="0" applyAlignment="1" pivotButton="0" quotePrefix="1" xfId="0">
      <alignment horizontal="center"/>
    </xf>
    <xf numFmtId="0" fontId="5" fillId="4" borderId="9" pivotButton="0" quotePrefix="0" xfId="0"/>
    <xf numFmtId="0" fontId="5" fillId="4" borderId="7" applyAlignment="1" pivotButton="0" quotePrefix="0" xfId="0">
      <alignment horizontal="center"/>
    </xf>
    <xf numFmtId="0" fontId="5" fillId="0" borderId="0" applyAlignment="1" pivotButton="0" quotePrefix="0" xfId="0">
      <alignment horizontal="center"/>
    </xf>
    <xf numFmtId="166" fontId="3" fillId="0" borderId="0" applyAlignment="1" applyProtection="1" pivotButton="0" quotePrefix="1" xfId="0">
      <alignment horizontal="left" vertical="top"/>
      <protection locked="0" hidden="0"/>
    </xf>
    <xf numFmtId="166" fontId="3" fillId="0" borderId="0" applyAlignment="1" applyProtection="1" pivotButton="0" quotePrefix="0" xfId="0">
      <alignment horizontal="left" vertical="top"/>
      <protection locked="0" hidden="0"/>
    </xf>
    <xf numFmtId="0" fontId="11" fillId="0" borderId="0" applyAlignment="1" applyProtection="1" pivotButton="0" quotePrefix="1" xfId="0">
      <alignment horizontal="left" vertical="top"/>
      <protection locked="0" hidden="0"/>
    </xf>
    <xf numFmtId="4" fontId="3" fillId="19" borderId="0" applyAlignment="1" applyProtection="1" pivotButton="0" quotePrefix="0" xfId="6">
      <alignment horizontal="right" vertical="top"/>
      <protection locked="0" hidden="0"/>
    </xf>
    <xf numFmtId="4" fontId="3" fillId="6" borderId="0" applyAlignment="1" applyProtection="1" pivotButton="0" quotePrefix="0" xfId="6">
      <alignment horizontal="right" vertical="top"/>
      <protection locked="0" hidden="0"/>
    </xf>
    <xf numFmtId="4" fontId="2" fillId="19" borderId="0" applyAlignment="1" applyProtection="1" pivotButton="0" quotePrefix="0" xfId="6">
      <alignment horizontal="right" vertical="top"/>
      <protection locked="0" hidden="0"/>
    </xf>
    <xf numFmtId="4" fontId="2" fillId="6" borderId="0" applyAlignment="1" applyProtection="1" pivotButton="0" quotePrefix="0" xfId="6">
      <alignment horizontal="right" vertical="top"/>
      <protection locked="0" hidden="0"/>
    </xf>
    <xf numFmtId="4" fontId="3" fillId="18" borderId="0" applyAlignment="1" applyProtection="1" pivotButton="0" quotePrefix="0" xfId="6">
      <alignment horizontal="right" vertical="top"/>
      <protection locked="0" hidden="0"/>
    </xf>
    <xf numFmtId="4" fontId="46" fillId="0" borderId="0" applyAlignment="1" applyProtection="1" pivotButton="0" quotePrefix="0" xfId="6">
      <alignment horizontal="right" vertical="top"/>
      <protection locked="0" hidden="0"/>
    </xf>
    <xf numFmtId="4" fontId="46" fillId="19" borderId="0" applyAlignment="1" applyProtection="1" pivotButton="0" quotePrefix="0" xfId="6">
      <alignment horizontal="right" vertical="top"/>
      <protection locked="0" hidden="0"/>
    </xf>
    <xf numFmtId="4" fontId="46" fillId="6" borderId="0" applyAlignment="1" applyProtection="1" pivotButton="0" quotePrefix="0" xfId="6">
      <alignment horizontal="right" vertical="top"/>
      <protection locked="0" hidden="0"/>
    </xf>
    <xf numFmtId="4" fontId="3" fillId="0" borderId="0" applyAlignment="1" applyProtection="1" pivotButton="0" quotePrefix="0" xfId="6">
      <alignment horizontal="center" vertical="top"/>
      <protection locked="0" hidden="0"/>
    </xf>
    <xf numFmtId="4" fontId="47" fillId="0" borderId="0" applyAlignment="1" applyProtection="1" pivotButton="0" quotePrefix="0" xfId="6">
      <alignment horizontal="center" vertical="top"/>
      <protection locked="0" hidden="0"/>
    </xf>
    <xf numFmtId="4" fontId="46" fillId="0" borderId="0" applyAlignment="1" applyProtection="1" pivotButton="0" quotePrefix="0" xfId="6">
      <alignment horizontal="center" vertical="top"/>
      <protection locked="0" hidden="0"/>
    </xf>
    <xf numFmtId="0" fontId="3" fillId="0" borderId="0" applyAlignment="1" applyProtection="1" pivotButton="0" quotePrefix="0" xfId="0">
      <alignment horizontal="center" vertical="top"/>
      <protection locked="0" hidden="0"/>
    </xf>
    <xf numFmtId="0" fontId="47" fillId="0" borderId="0" applyAlignment="1" applyProtection="1" pivotButton="0" quotePrefix="0" xfId="0">
      <alignment horizontal="center" vertical="top"/>
      <protection locked="0" hidden="0"/>
    </xf>
    <xf numFmtId="4" fontId="2" fillId="0" borderId="0" applyAlignment="1" pivotButton="0" quotePrefix="0" xfId="0">
      <alignment horizontal="left" vertical="top"/>
    </xf>
    <xf numFmtId="4" fontId="13" fillId="0" borderId="0" applyAlignment="1" applyProtection="1" pivotButton="0" quotePrefix="0" xfId="6">
      <alignment horizontal="right" vertical="top"/>
      <protection locked="0" hidden="0"/>
    </xf>
    <xf numFmtId="4" fontId="3" fillId="18" borderId="0" applyAlignment="1" applyProtection="1" pivotButton="0" quotePrefix="0" xfId="6">
      <alignment vertical="top"/>
      <protection locked="0" hidden="0"/>
    </xf>
    <xf numFmtId="4" fontId="3" fillId="0" borderId="0" applyAlignment="1" applyProtection="1" pivotButton="0" quotePrefix="0" xfId="6">
      <alignment horizontal="right" vertical="top"/>
      <protection locked="0" hidden="0"/>
    </xf>
    <xf numFmtId="4" fontId="2" fillId="0" borderId="0" applyAlignment="1" applyProtection="1" pivotButton="0" quotePrefix="0" xfId="6">
      <alignment vertical="top"/>
      <protection locked="0" hidden="0"/>
    </xf>
    <xf numFmtId="0" fontId="3" fillId="0" borderId="0" applyAlignment="1" applyProtection="1" pivotButton="0" quotePrefix="0" xfId="0">
      <alignment horizontal="left"/>
      <protection locked="0" hidden="0"/>
    </xf>
    <xf numFmtId="4" fontId="46" fillId="18" borderId="0" applyAlignment="1" applyProtection="1" pivotButton="0" quotePrefix="0" xfId="6">
      <alignment horizontal="right" vertical="top"/>
      <protection locked="0" hidden="0"/>
    </xf>
    <xf numFmtId="0" fontId="32" fillId="4" borderId="53" applyAlignment="1" pivotButton="0" quotePrefix="0" xfId="0">
      <alignment horizontal="left" vertical="top" wrapText="1"/>
    </xf>
    <xf numFmtId="0" fontId="32" fillId="4" borderId="54" applyAlignment="1" pivotButton="0" quotePrefix="0" xfId="0">
      <alignment horizontal="left" vertical="top" wrapText="1"/>
    </xf>
    <xf numFmtId="0" fontId="43" fillId="4" borderId="17" applyAlignment="1" pivotButton="0" quotePrefix="0" xfId="0">
      <alignment horizontal="left" vertical="top" wrapText="1"/>
    </xf>
    <xf numFmtId="0" fontId="32" fillId="4" borderId="18" applyAlignment="1" pivotButton="0" quotePrefix="0" xfId="0">
      <alignment horizontal="left" vertical="top" wrapText="1"/>
    </xf>
    <xf numFmtId="0" fontId="18" fillId="3" borderId="17" applyAlignment="1" pivotButton="0" quotePrefix="0" xfId="0">
      <alignment horizontal="center" vertical="center" wrapText="1"/>
    </xf>
    <xf numFmtId="0" fontId="18" fillId="3" borderId="18" applyAlignment="1" pivotButton="0" quotePrefix="0" xfId="0">
      <alignment horizontal="center" vertical="center" wrapText="1"/>
    </xf>
    <xf numFmtId="0" fontId="18" fillId="3" borderId="19" applyAlignment="1" pivotButton="0" quotePrefix="0" xfId="0">
      <alignment horizontal="center" vertical="center" wrapText="1"/>
    </xf>
    <xf numFmtId="0" fontId="7" fillId="4" borderId="21" applyAlignment="1" pivotButton="0" quotePrefix="0" xfId="0">
      <alignment horizontal="center" wrapText="1"/>
    </xf>
    <xf numFmtId="0" fontId="7" fillId="4" borderId="29" applyAlignment="1" pivotButton="0" quotePrefix="0" xfId="0">
      <alignment horizontal="center" wrapText="1"/>
    </xf>
    <xf numFmtId="0" fontId="7" fillId="4" borderId="39" applyAlignment="1" pivotButton="0" quotePrefix="0" xfId="0">
      <alignment horizontal="center" wrapText="1"/>
    </xf>
    <xf numFmtId="0" fontId="36" fillId="3" borderId="47" applyAlignment="1" pivotButton="0" quotePrefix="0" xfId="0">
      <alignment horizontal="center" vertical="center"/>
    </xf>
    <xf numFmtId="0" fontId="36" fillId="3" borderId="48" applyAlignment="1" pivotButton="0" quotePrefix="0" xfId="0">
      <alignment horizontal="center" vertical="center"/>
    </xf>
    <xf numFmtId="0" fontId="7" fillId="3" borderId="13" applyAlignment="1" pivotButton="0" quotePrefix="0" xfId="0">
      <alignment horizontal="center"/>
    </xf>
    <xf numFmtId="0" fontId="7" fillId="3" borderId="0" applyAlignment="1" pivotButton="0" quotePrefix="0" xfId="0">
      <alignment horizontal="center" wrapText="1"/>
    </xf>
    <xf numFmtId="0" fontId="7" fillId="3" borderId="43" applyAlignment="1" pivotButton="0" quotePrefix="0" xfId="0">
      <alignment horizontal="center" wrapText="1"/>
    </xf>
    <xf numFmtId="0" fontId="7" fillId="3" borderId="31" applyAlignment="1" pivotButton="0" quotePrefix="0" xfId="4">
      <alignment horizontal="center" wrapText="1"/>
    </xf>
    <xf numFmtId="0" fontId="7" fillId="3" borderId="33" applyAlignment="1" pivotButton="0" quotePrefix="0" xfId="4">
      <alignment horizontal="center" wrapText="1"/>
    </xf>
    <xf numFmtId="0" fontId="7" fillId="3" borderId="31" applyAlignment="1" pivotButton="0" quotePrefix="0" xfId="0">
      <alignment horizontal="center" wrapText="1"/>
    </xf>
    <xf numFmtId="0" fontId="7" fillId="3" borderId="33" applyAlignment="1" pivotButton="0" quotePrefix="0" xfId="0">
      <alignment horizontal="center" wrapText="1"/>
    </xf>
    <xf numFmtId="0" fontId="7" fillId="3" borderId="36" applyAlignment="1" pivotButton="0" quotePrefix="0" xfId="0">
      <alignment horizontal="center" wrapText="1"/>
    </xf>
    <xf numFmtId="0" fontId="7" fillId="3" borderId="14" applyAlignment="1" pivotButton="0" quotePrefix="0" xfId="0">
      <alignment horizontal="center" wrapText="1"/>
    </xf>
    <xf numFmtId="0" fontId="7" fillId="3" borderId="10" applyAlignment="1" pivotButton="0" quotePrefix="0" xfId="0">
      <alignment horizontal="center"/>
    </xf>
    <xf numFmtId="0" fontId="7" fillId="3" borderId="11" applyAlignment="1" pivotButton="0" quotePrefix="0" xfId="0">
      <alignment horizontal="center"/>
    </xf>
    <xf numFmtId="0" fontId="7" fillId="3" borderId="12" applyAlignment="1" pivotButton="0" quotePrefix="0" xfId="0">
      <alignment horizontal="center"/>
    </xf>
    <xf numFmtId="0" fontId="32" fillId="4" borderId="58" applyAlignment="1" pivotButton="0" quotePrefix="0" xfId="0">
      <alignment horizontal="left" vertical="top" wrapText="1"/>
    </xf>
    <xf numFmtId="0" fontId="0" fillId="0" borderId="54" pivotButton="0" quotePrefix="0" xfId="0"/>
    <xf numFmtId="0" fontId="43" fillId="4" borderId="39" applyAlignment="1" pivotButton="0" quotePrefix="0" xfId="0">
      <alignment horizontal="left" vertical="top" wrapText="1"/>
    </xf>
    <xf numFmtId="0" fontId="0" fillId="0" borderId="18" pivotButton="0" quotePrefix="0" xfId="0"/>
    <xf numFmtId="0" fontId="36" fillId="3" borderId="63" applyAlignment="1" pivotButton="0" quotePrefix="0" xfId="0">
      <alignment horizontal="center" vertical="center"/>
    </xf>
    <xf numFmtId="0" fontId="0" fillId="0" borderId="48" pivotButton="0" quotePrefix="0" xfId="0"/>
    <xf numFmtId="0" fontId="18" fillId="3" borderId="39" applyAlignment="1" pivotButton="0" quotePrefix="0" xfId="0">
      <alignment horizontal="center" vertical="center" wrapText="1"/>
    </xf>
    <xf numFmtId="0" fontId="0" fillId="0" borderId="19" pivotButton="0" quotePrefix="0" xfId="0"/>
    <xf numFmtId="0" fontId="7" fillId="4" borderId="61" applyAlignment="1" pivotButton="0" quotePrefix="0" xfId="0">
      <alignment horizontal="center" wrapText="1"/>
    </xf>
    <xf numFmtId="0" fontId="0" fillId="0" borderId="29" pivotButton="0" quotePrefix="0" xfId="0"/>
    <xf numFmtId="0" fontId="0" fillId="0" borderId="39" pivotButton="0" quotePrefix="0" xfId="0"/>
    <xf numFmtId="0" fontId="0" fillId="0" borderId="65" pivotButton="0" quotePrefix="0" xfId="0"/>
    <xf numFmtId="0" fontId="0" fillId="0" borderId="14" pivotButton="0" quotePrefix="0" xfId="0"/>
    <xf numFmtId="0" fontId="0" fillId="0" borderId="43" pivotButton="0" quotePrefix="0" xfId="0"/>
    <xf numFmtId="0" fontId="7" fillId="3" borderId="66" applyAlignment="1" pivotButton="0" quotePrefix="0" xfId="4">
      <alignment horizontal="center" wrapText="1"/>
    </xf>
    <xf numFmtId="0" fontId="0" fillId="0" borderId="33" pivotButton="0" quotePrefix="0" xfId="0"/>
    <xf numFmtId="0" fontId="7" fillId="3" borderId="66" applyAlignment="1" pivotButton="0" quotePrefix="0" xfId="0">
      <alignment horizontal="center" wrapText="1"/>
    </xf>
    <xf numFmtId="0" fontId="7" fillId="3" borderId="13" applyAlignment="1" pivotButton="0" quotePrefix="0" xfId="0">
      <alignment horizontal="center" wrapText="1"/>
    </xf>
    <xf numFmtId="0" fontId="7" fillId="3" borderId="4" applyAlignment="1" pivotButton="0" quotePrefix="0" xfId="0">
      <alignment horizontal="center"/>
    </xf>
    <xf numFmtId="0" fontId="0" fillId="0" borderId="11" pivotButton="0" quotePrefix="0" xfId="0"/>
    <xf numFmtId="0" fontId="0" fillId="0" borderId="12" pivotButton="0" quotePrefix="0" xfId="0"/>
  </cellXfs>
  <cellStyles count="7">
    <cellStyle name="Standard" xfId="0" builtinId="0"/>
    <cellStyle name="Eingabe" xfId="1" builtinId="20"/>
    <cellStyle name="Standaard 2" xfId="2"/>
    <cellStyle name="Standaard 3" xfId="3"/>
    <cellStyle name="Normal 2" xfId="4"/>
    <cellStyle name="Link" xfId="5" builtinId="8"/>
    <cellStyle name="Komma" xfId="6"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19050</colOff>
      <row>3</row>
      <rowOff>2303</rowOff>
    </from>
    <to>
      <col>2</col>
      <colOff>2111375</colOff>
      <row>5</row>
      <rowOff>626550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244850" y="408703"/>
          <a:ext cx="2089150" cy="128782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47625</colOff>
      <row>1</row>
      <rowOff>155575</rowOff>
    </from>
    <to>
      <col>27</col>
      <colOff>121458</colOff>
      <row>53</row>
      <rowOff>181341</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625" y="523875"/>
          <a:ext cx="17390283" cy="960156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rive.google.com/uc?export=download&amp;id=1Mj1tj58ePTEZfzPFo0YqTqo5o8ZlrJiF"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drive.google.com/uc?export=download&amp;id=1GXd9-b0XVCeg8Kw8Oto6XuCPDuGKR7Q7" TargetMode="External" Id="rId1"/><Relationship Type="http://schemas.openxmlformats.org/officeDocument/2006/relationships/hyperlink" Target="https://drive.google.com/file/d/1q2hZVC9r_erLflJQ_ixjh9Ht0WXBVCa_/view?usp=sharing" TargetMode="External" Id="rId2"/></Relationships>
</file>

<file path=xl/worksheets/_rels/sheet3.xml.rels><Relationships xmlns="http://schemas.openxmlformats.org/package/2006/relationships"><Relationship Type="http://schemas.openxmlformats.org/officeDocument/2006/relationships/hyperlink" Target="https://www.esma.europa.eu/document/consultation-paper-esma%E2%80%99s-guidelines-aifmd-reporting-obligations-under-articles-3-and-24" TargetMode="External" Id="rId1"/><Relationship Type="http://schemas.openxmlformats.org/officeDocument/2006/relationships/drawing" Target="/xl/drawings/drawing2.xml" Id="rId2"/></Relationships>
</file>

<file path=xl/worksheets/sheet1.xml><?xml version="1.0" encoding="utf-8"?>
<worksheet xmlns="http://schemas.openxmlformats.org/spreadsheetml/2006/main">
  <sheetPr>
    <tabColor theme="4" tint="-0.499984740745262"/>
    <outlinePr summaryBelow="1" summaryRight="1"/>
    <pageSetUpPr/>
  </sheetPr>
  <dimension ref="A1:AM233"/>
  <sheetViews>
    <sheetView tabSelected="1" topLeftCell="AI1" zoomScale="80" zoomScaleNormal="80" workbookViewId="0">
      <selection activeCell="AL30" sqref="AL30"/>
    </sheetView>
  </sheetViews>
  <sheetFormatPr baseColWidth="10" defaultColWidth="0" defaultRowHeight="11.25" zeroHeight="1"/>
  <cols>
    <col width="24.140625" customWidth="1" style="181" min="1" max="1"/>
    <col width="22" bestFit="1" customWidth="1" style="181" min="2" max="2"/>
    <col width="37.42578125" customWidth="1" style="181" min="3" max="3"/>
    <col width="27.140625" customWidth="1" style="181" min="4" max="4"/>
    <col width="32.5703125" customWidth="1" style="181" min="5" max="5"/>
    <col width="25.85546875" customWidth="1" style="181" min="6" max="6"/>
    <col width="24" customWidth="1" style="181" min="7" max="7"/>
    <col width="23.140625" customWidth="1" style="181" min="8" max="8"/>
    <col width="36.42578125" customWidth="1" style="181" min="9" max="9"/>
    <col width="34.140625" customWidth="1" style="181" min="10" max="10"/>
    <col width="29.140625" customWidth="1" style="181" min="11" max="11"/>
    <col width="28.85546875" customWidth="1" style="181" min="12" max="12"/>
    <col width="30.85546875" customWidth="1" style="181" min="13" max="13"/>
    <col width="31.140625" customWidth="1" style="181" min="14" max="14"/>
    <col width="30.140625" bestFit="1" customWidth="1" style="181" min="15" max="15"/>
    <col width="31.140625" customWidth="1" style="181" min="16" max="16"/>
    <col width="18.85546875" customWidth="1" style="181" min="17" max="17"/>
    <col width="27.42578125" customWidth="1" style="181" min="18" max="18"/>
    <col width="23.85546875" bestFit="1" customWidth="1" style="181" min="19" max="19"/>
    <col width="27.85546875" bestFit="1" customWidth="1" style="181" min="20" max="20"/>
    <col width="20" customWidth="1" style="181" min="21" max="21"/>
    <col width="17.85546875" bestFit="1" customWidth="1" style="181" min="22" max="22"/>
    <col width="14.42578125" bestFit="1" customWidth="1" style="181" min="23" max="23"/>
    <col width="34.140625" customWidth="1" style="181" min="24" max="24"/>
    <col width="9.42578125" bestFit="1" customWidth="1" style="181" min="25" max="25"/>
    <col width="14.85546875" bestFit="1" customWidth="1" style="181" min="26" max="26"/>
    <col width="16.85546875" bestFit="1" customWidth="1" style="181" min="27" max="27"/>
    <col width="31.5703125" bestFit="1" customWidth="1" style="181" min="28" max="28"/>
    <col width="26.140625" bestFit="1" customWidth="1" style="181" min="29" max="29"/>
    <col width="19.5703125" bestFit="1" customWidth="1" style="181" min="30" max="30"/>
    <col width="21.85546875" bestFit="1" customWidth="1" style="181" min="31" max="31"/>
    <col width="20.140625" bestFit="1" customWidth="1" style="181" min="32" max="32"/>
    <col width="23.85546875" bestFit="1" customWidth="1" style="181" min="33" max="33"/>
    <col width="39.42578125" bestFit="1" customWidth="1" style="181" min="34" max="34"/>
    <col width="20.42578125" customWidth="1" style="181" min="35" max="35"/>
    <col width="40" bestFit="1" customWidth="1" style="181" min="36" max="36"/>
    <col width="24.85546875" bestFit="1" customWidth="1" style="181" min="37" max="37"/>
    <col width="29.5703125" bestFit="1" customWidth="1" style="181" min="38" max="39"/>
    <col width="12.42578125" bestFit="1" customWidth="1" style="181" min="40" max="40"/>
    <col width="8.85546875" customWidth="1" style="181" min="41" max="41"/>
    <col hidden="1" width="8.85546875" customWidth="1" style="181" min="42" max="16384"/>
  </cols>
  <sheetData>
    <row r="1" customFormat="1" s="143">
      <c r="A1" s="66" t="inlineStr">
        <is>
          <t># Copyright Matterhorn Reporting Services.</t>
        </is>
      </c>
      <c r="D1" s="173" t="n"/>
      <c r="E1" s="173" t="n"/>
    </row>
    <row r="2" customFormat="1" s="174">
      <c r="A2" s="174" t="inlineStr">
        <is>
          <t>INPUT_FORMAT</t>
        </is>
      </c>
      <c r="B2" s="174" t="inlineStr">
        <is>
          <t>AIFMD</t>
        </is>
      </c>
      <c r="C2" s="174" t="inlineStr">
        <is>
          <t>V1</t>
        </is>
      </c>
      <c r="D2" s="66" t="n"/>
      <c r="E2" s="66" t="n"/>
    </row>
    <row r="3" ht="12" customFormat="1" customHeight="1" s="174" thickBot="1">
      <c r="A3" s="66" t="n"/>
      <c r="B3" s="175" t="n"/>
      <c r="C3" s="176" t="n"/>
      <c r="D3" s="66" t="n"/>
      <c r="E3" s="176" t="n"/>
    </row>
    <row r="4" ht="38.25" customFormat="1" customHeight="1" s="174">
      <c r="A4" s="282" t="inlineStr">
        <is>
          <t xml:space="preserve"># FULL TEMPLATE
Registered (a.k.a. Light) funds might also be able to use the light template: </t>
        </is>
      </c>
      <c r="B4" s="283" t="n"/>
      <c r="C4" s="176" t="n"/>
      <c r="D4" s="177" t="n"/>
      <c r="E4" s="176" t="n"/>
    </row>
    <row r="5" ht="15" customFormat="1" customHeight="1" s="174">
      <c r="A5" s="178" t="inlineStr">
        <is>
          <t># click here to download</t>
        </is>
      </c>
      <c r="B5" s="179" t="n"/>
      <c r="C5" s="176" t="n"/>
      <c r="D5" s="66" t="n"/>
      <c r="E5" s="176" t="n"/>
    </row>
    <row r="6" ht="50.25" customFormat="1" customHeight="1" s="174" thickBot="1">
      <c r="A6" s="284" t="inlineStr">
        <is>
          <t># In case of any questions please contact us:
- support@matterhorn-rs.com
- +31 85 401 82 56</t>
        </is>
      </c>
      <c r="B6" s="285" t="n"/>
      <c r="C6" s="176" t="n"/>
      <c r="D6" s="66" t="n"/>
      <c r="E6" s="176" t="n"/>
    </row>
    <row r="7" customFormat="1" s="174">
      <c r="A7" s="66" t="n"/>
      <c r="B7" s="175" t="n"/>
      <c r="C7" s="176" t="n"/>
      <c r="D7" s="66" t="n"/>
      <c r="E7" s="176" t="n"/>
    </row>
    <row r="8" customFormat="1" s="180">
      <c r="A8" s="180" t="inlineStr">
        <is>
          <t>#START QUESTIONS FOR MANAGER (AIFM) REPORT</t>
        </is>
      </c>
      <c r="E8" s="180" t="inlineStr">
        <is>
          <t>#START QUESTIONS FOR MANAGER (AIFM) REPORT</t>
        </is>
      </c>
      <c r="J8" s="180" t="inlineStr">
        <is>
          <t>#START QUESTIONS FOR MANAGER (AIFM) REPORT</t>
        </is>
      </c>
      <c r="P8" s="180" t="inlineStr">
        <is>
          <t>#START QUESTIONS FOR MANAGER (AIFM) REPORT</t>
        </is>
      </c>
      <c r="U8" s="180" t="inlineStr">
        <is>
          <t>#START QUESTIONS FOR MANAGER (AIFM) REPORT</t>
        </is>
      </c>
    </row>
    <row r="9"/>
    <row r="10" customFormat="1" s="184">
      <c r="A10" s="182" t="inlineStr">
        <is>
          <t>#AIFM</t>
        </is>
      </c>
      <c r="B10" s="182" t="inlineStr">
        <is>
          <t>Filing Type</t>
        </is>
      </c>
      <c r="C10" s="182" t="inlineStr">
        <is>
          <t>AIFM Content Type</t>
        </is>
      </c>
      <c r="D10" s="183" t="inlineStr">
        <is>
          <t>(Legacy) Reporting Period Start Date</t>
        </is>
      </c>
      <c r="E10" s="182" t="inlineStr">
        <is>
          <t>Reporting Period End Date</t>
        </is>
      </c>
      <c r="F10" s="182" t="inlineStr">
        <is>
          <t>Reporting Period Type</t>
        </is>
      </c>
      <c r="G10" s="182" t="inlineStr">
        <is>
          <t>Reporting Period Year</t>
        </is>
      </c>
      <c r="H10" s="182" t="inlineStr">
        <is>
          <t>Change in AIFM Reporting Obligation Frequency Code</t>
        </is>
      </c>
      <c r="I10" s="182" t="inlineStr">
        <is>
          <t>Change in AIFM Reporting Obligation contents Code</t>
        </is>
      </c>
      <c r="J10" s="182" t="inlineStr">
        <is>
          <t>Change in AIFM Reporting Obligation Quarter</t>
        </is>
      </c>
      <c r="K10" s="182" t="inlineStr">
        <is>
          <t>Last Reporting Flag</t>
        </is>
      </c>
      <c r="L10" s="182" t="inlineStr">
        <is>
          <t>AIFM Reporting Code</t>
        </is>
      </c>
      <c r="M10" s="182" t="inlineStr">
        <is>
          <t>AIFM Jurisdiction</t>
        </is>
      </c>
      <c r="N10" s="182" t="inlineStr">
        <is>
          <t>AIFM Name</t>
        </is>
      </c>
      <c r="O10" s="183" t="inlineStr">
        <is>
          <t>(Legacy) AIFM EEA Flag</t>
        </is>
      </c>
      <c r="P10" s="182" t="inlineStr">
        <is>
          <t>AIFM no reporting flag (Nothing to report)</t>
        </is>
      </c>
      <c r="Q10" s="182" t="inlineStr">
        <is>
          <t>AIFM LEI Code</t>
        </is>
      </c>
      <c r="R10" s="182" t="inlineStr">
        <is>
          <t>AIFM BIC Code</t>
        </is>
      </c>
    </row>
    <row r="11" customFormat="1" s="187">
      <c r="A11" s="185" t="inlineStr">
        <is>
          <t>#AIFM fieldnumbers →</t>
        </is>
      </c>
      <c r="B11" s="185" t="n">
        <v>4</v>
      </c>
      <c r="C11" s="185" t="n">
        <v>5</v>
      </c>
      <c r="D11" s="185" t="n">
        <v>6</v>
      </c>
      <c r="E11" s="185" t="n">
        <v>7</v>
      </c>
      <c r="F11" s="186" t="inlineStr">
        <is>
          <t>8, 6, 7</t>
        </is>
      </c>
      <c r="G11" s="186" t="inlineStr">
        <is>
          <t>9, 6, 7</t>
        </is>
      </c>
      <c r="H11" s="185" t="n">
        <v>10</v>
      </c>
      <c r="I11" s="185" t="n">
        <v>11</v>
      </c>
      <c r="J11" s="185" t="n">
        <v>12</v>
      </c>
      <c r="K11" s="185" t="n">
        <v>13</v>
      </c>
      <c r="L11" s="185" t="n">
        <v>16</v>
      </c>
      <c r="M11" s="186" t="inlineStr">
        <is>
          <t>17, 20</t>
        </is>
      </c>
      <c r="N11" s="185" t="n">
        <v>19</v>
      </c>
      <c r="O11" s="185" t="n">
        <v>20</v>
      </c>
      <c r="P11" s="185" t="n">
        <v>21</v>
      </c>
      <c r="Q11" s="185" t="n">
        <v>22</v>
      </c>
      <c r="R11" s="185" t="n">
        <v>23</v>
      </c>
    </row>
    <row r="12" customFormat="1" s="188">
      <c r="A12" s="181" t="inlineStr">
        <is>
          <t>AIFM</t>
        </is>
      </c>
      <c r="C12" s="188" t="n">
        <v>3</v>
      </c>
      <c r="D12" s="189" t="n"/>
      <c r="E12" s="189" t="n"/>
      <c r="F12" s="188" t="inlineStr">
        <is>
          <t>Q4</t>
        </is>
      </c>
      <c r="G12" s="188" t="n">
        <v>2024</v>
      </c>
      <c r="L12" s="188" t="n">
        <v>9</v>
      </c>
      <c r="M12" s="188" t="inlineStr">
        <is>
          <t>HK</t>
        </is>
      </c>
      <c r="N12" s="188" t="inlineStr">
        <is>
          <t>Blue Ridge Partners</t>
        </is>
      </c>
      <c r="Q12" s="188" t="inlineStr">
        <is>
          <t>72110TVBDIVUZZPQK530</t>
        </is>
      </c>
    </row>
    <row r="13">
      <c r="E13" s="189" t="n"/>
    </row>
    <row r="14">
      <c r="A14" s="182" t="inlineStr">
        <is>
          <t>#AIFM_NATIONAL_CODE</t>
        </is>
      </c>
      <c r="B14" s="182" t="inlineStr">
        <is>
          <t>AIFM Reporting Member State</t>
        </is>
      </c>
      <c r="C14" s="182" t="inlineStr">
        <is>
          <t>AIFM National Code</t>
        </is>
      </c>
      <c r="D14" s="182" t="inlineStr">
        <is>
          <t>Old AIFM Reporting Member State</t>
        </is>
      </c>
      <c r="E14" s="182" t="inlineStr">
        <is>
          <t>Old AIFM National Code</t>
        </is>
      </c>
      <c r="F14" s="182" t="inlineStr">
        <is>
          <t>Custom National Code</t>
        </is>
      </c>
    </row>
    <row r="15" customFormat="1" s="187">
      <c r="A15" s="185" t="inlineStr">
        <is>
          <t>#AIFM fieldnumbers →</t>
        </is>
      </c>
      <c r="B15" s="185" t="n">
        <v>1</v>
      </c>
      <c r="C15" s="185" t="n">
        <v>18</v>
      </c>
      <c r="D15" s="185" t="n">
        <v>24</v>
      </c>
      <c r="E15" s="185" t="n">
        <v>25</v>
      </c>
      <c r="F15" s="190" t="inlineStr">
        <is>
          <t>CNC</t>
        </is>
      </c>
    </row>
    <row r="16" ht="12.75" customFormat="1" customHeight="1" s="188">
      <c r="A16" s="188" t="inlineStr">
        <is>
          <t>AIFM_NATIONAL_CODE</t>
        </is>
      </c>
      <c r="B16" s="188" t="inlineStr">
        <is>
          <t>NL</t>
        </is>
      </c>
      <c r="C16" s="188" t="inlineStr">
        <is>
          <t>ZWW489</t>
        </is>
      </c>
    </row>
    <row r="17" customFormat="1" s="188"/>
    <row r="18">
      <c r="A18" s="182" t="inlineStr">
        <is>
          <t>#AIFM_ASSUMPTION</t>
        </is>
      </c>
      <c r="B18" s="182" t="inlineStr">
        <is>
          <t>Question Number</t>
        </is>
      </c>
      <c r="C18" s="182" t="inlineStr">
        <is>
          <t>Assumption Description</t>
        </is>
      </c>
    </row>
    <row r="19">
      <c r="A19" s="185" t="inlineStr">
        <is>
          <t>#AIFM fieldnumbers →</t>
        </is>
      </c>
      <c r="B19" s="185" t="n">
        <v>14</v>
      </c>
      <c r="C19" s="185" t="n">
        <v>15</v>
      </c>
    </row>
    <row r="20" ht="15" customFormat="1" customHeight="1" s="188">
      <c r="A20" s="188" t="inlineStr">
        <is>
          <t>AIFM_ASSUMPTION</t>
        </is>
      </c>
      <c r="B20" s="256" t="n">
        <v>7</v>
      </c>
      <c r="C20" s="256" t="inlineStr">
        <is>
          <t>The presented data of this AIFMD reporting for the fund is based on the last official calculated NAV of the fund as of 30.09.2024.</t>
        </is>
      </c>
      <c r="D20" s="256" t="n"/>
    </row>
    <row r="21" customFormat="1" s="188"/>
    <row r="22" customFormat="1" s="188"/>
    <row r="23" customFormat="1" s="188"/>
    <row r="24" customFormat="1" s="188"/>
    <row r="25" customFormat="1" s="180">
      <c r="A25" s="180" t="inlineStr">
        <is>
          <t>#START QUESTIONS FOR FUND (AIF) REPORT(S)</t>
        </is>
      </c>
      <c r="E25" s="180" t="inlineStr">
        <is>
          <t>#START QUESTIONS FOR FUND (AIF) REPORT</t>
        </is>
      </c>
      <c r="J25" s="180" t="inlineStr">
        <is>
          <t>#START QUESTIONS FOR FUND (AIF) REPORT</t>
        </is>
      </c>
      <c r="P25" s="180" t="inlineStr">
        <is>
          <t>#START QUESTIONS FOR FUND (AIF) REPORT</t>
        </is>
      </c>
      <c r="U25" s="180" t="inlineStr">
        <is>
          <t>#START QUESTIONS FOR FUND (AIF) REPORT</t>
        </is>
      </c>
    </row>
    <row r="26"/>
    <row r="27" customFormat="1" s="184">
      <c r="A27" s="182" t="inlineStr">
        <is>
          <t>#AIF</t>
        </is>
      </c>
      <c r="B27" s="182" t="inlineStr">
        <is>
          <t>Custom AIF Identification</t>
        </is>
      </c>
      <c r="C27" s="182" t="inlineStr">
        <is>
          <t>Filing Type</t>
        </is>
      </c>
      <c r="D27" s="182" t="inlineStr">
        <is>
          <t>AIF Content Type</t>
        </is>
      </c>
      <c r="E27" s="183" t="inlineStr">
        <is>
          <t>(Legacy) Reporting Period Start Date</t>
        </is>
      </c>
      <c r="F27" s="183" t="inlineStr">
        <is>
          <t>(Legacy) Reporting Period End Date</t>
        </is>
      </c>
      <c r="G27" s="182" t="inlineStr">
        <is>
          <t>Reporting Period Type</t>
        </is>
      </c>
      <c r="H27" s="183" t="inlineStr">
        <is>
          <t>(Legacy) Reporting Period Year</t>
        </is>
      </c>
      <c r="I27" s="182" t="inlineStr">
        <is>
          <t>Change in AIF Reporting Obligation Frequency Code</t>
        </is>
      </c>
      <c r="J27" s="182" t="inlineStr">
        <is>
          <t>Change in AIF Reporting Obligation contents Code</t>
        </is>
      </c>
      <c r="K27" s="182" t="inlineStr">
        <is>
          <t>Change in AIF Reporting Obligation Quarter</t>
        </is>
      </c>
      <c r="L27" s="182" t="inlineStr">
        <is>
          <t>Last reporting flag</t>
        </is>
      </c>
      <c r="M27" s="182" t="inlineStr">
        <is>
          <t>AIF Name</t>
        </is>
      </c>
      <c r="N27" s="183" t="inlineStr">
        <is>
          <t>(Legacy) AIF EEA Flag</t>
        </is>
      </c>
      <c r="O27" s="182" t="inlineStr">
        <is>
          <t>AIF reporting code</t>
        </is>
      </c>
      <c r="P27" s="182" t="inlineStr">
        <is>
          <t>Domicile of the AIF</t>
        </is>
      </c>
      <c r="Q27" s="182" t="inlineStr">
        <is>
          <t>Inception Date of AIF</t>
        </is>
      </c>
      <c r="R27" s="182" t="inlineStr">
        <is>
          <t>AIF No Reporting Flag (Nothing to report)</t>
        </is>
      </c>
      <c r="S27" s="182" t="inlineStr">
        <is>
          <t>AIF LEI code</t>
        </is>
      </c>
      <c r="T27" s="182" t="inlineStr">
        <is>
          <t>AIF ISIN code</t>
        </is>
      </c>
      <c r="U27" s="182" t="inlineStr">
        <is>
          <t>AIF CUSIP code</t>
        </is>
      </c>
      <c r="V27" s="182" t="inlineStr">
        <is>
          <t>AIF Sedol code</t>
        </is>
      </c>
      <c r="W27" s="182" t="inlineStr">
        <is>
          <t>AIF Bloomberg code</t>
        </is>
      </c>
      <c r="X27" s="182" t="inlineStr">
        <is>
          <t>AIF Reuters code</t>
        </is>
      </c>
      <c r="Y27" s="182" t="inlineStr">
        <is>
          <t>AIF ECB code</t>
        </is>
      </c>
      <c r="Z27" s="183" t="inlineStr">
        <is>
          <t>(Legacy) Master feeder status</t>
        </is>
      </c>
      <c r="AA27" s="182" t="inlineStr">
        <is>
          <t>Base currency of the AIF</t>
        </is>
      </c>
      <c r="AB27" s="182" t="inlineStr">
        <is>
          <t>Total AuM amount of the AIF in base currency</t>
        </is>
      </c>
      <c r="AC27" s="182" t="inlineStr">
        <is>
          <t>Total Net Asset Value of the AIF (NAV)</t>
        </is>
      </c>
      <c r="AD27" s="182" t="inlineStr">
        <is>
          <t>First funding source country</t>
        </is>
      </c>
      <c r="AE27" s="182" t="inlineStr">
        <is>
          <t>Second funding source country</t>
        </is>
      </c>
      <c r="AF27" s="182" t="inlineStr">
        <is>
          <t>Third funding source country</t>
        </is>
      </c>
      <c r="AG27" s="182" t="inlineStr">
        <is>
          <t>Number of transactions under HFT</t>
        </is>
      </c>
      <c r="AH27" s="182" t="inlineStr">
        <is>
          <t>Market value of buys and sells in base currency under HFT</t>
        </is>
      </c>
      <c r="AI27" s="182" t="inlineStr">
        <is>
          <t>Typical deal / position size</t>
        </is>
      </c>
      <c r="AJ27" s="182" t="inlineStr">
        <is>
          <t>Beneficially owned percentage by top 5 beneficial owners</t>
        </is>
      </c>
      <c r="AK27" s="182" t="inlineStr">
        <is>
          <t>Expected annual investment return percentage</t>
        </is>
      </c>
      <c r="AL27" s="182" t="inlineStr">
        <is>
          <t>Investor Concentration NAV percentage by retail investors</t>
        </is>
      </c>
      <c r="AM27" s="182" t="inlineStr">
        <is>
          <t>Total number of open positions</t>
        </is>
      </c>
    </row>
    <row r="28" customFormat="1" s="187">
      <c r="A28" s="185" t="inlineStr">
        <is>
          <t>#AIF fieldnumbers →</t>
        </is>
      </c>
      <c r="B28" s="191" t="inlineStr">
        <is>
          <t>AIF_ID</t>
        </is>
      </c>
      <c r="C28" s="185" t="n">
        <v>4</v>
      </c>
      <c r="D28" s="185" t="n">
        <v>5</v>
      </c>
      <c r="E28" s="185" t="n">
        <v>6</v>
      </c>
      <c r="F28" s="185" t="n">
        <v>7</v>
      </c>
      <c r="G28" s="186" t="inlineStr">
        <is>
          <t>8, 6, 7</t>
        </is>
      </c>
      <c r="H28" s="185" t="n">
        <v>9</v>
      </c>
      <c r="I28" s="185" t="n">
        <v>10</v>
      </c>
      <c r="J28" s="185" t="n">
        <v>11</v>
      </c>
      <c r="K28" s="185" t="n">
        <v>12</v>
      </c>
      <c r="L28" s="185" t="n">
        <v>13</v>
      </c>
      <c r="M28" s="185" t="n">
        <v>18</v>
      </c>
      <c r="N28" s="185" t="n">
        <v>19</v>
      </c>
      <c r="O28" s="185" t="n">
        <v>20</v>
      </c>
      <c r="P28" s="186" t="inlineStr">
        <is>
          <t>21, 19</t>
        </is>
      </c>
      <c r="Q28" s="185" t="n">
        <v>22</v>
      </c>
      <c r="R28" s="185" t="n">
        <v>23</v>
      </c>
      <c r="S28" s="185" t="n">
        <v>24</v>
      </c>
      <c r="T28" s="185" t="n">
        <v>25</v>
      </c>
      <c r="U28" s="185" t="n">
        <v>26</v>
      </c>
      <c r="V28" s="185" t="n">
        <v>27</v>
      </c>
      <c r="W28" s="185" t="n">
        <v>28</v>
      </c>
      <c r="X28" s="185" t="n">
        <v>29</v>
      </c>
      <c r="Y28" s="185" t="n">
        <v>30</v>
      </c>
      <c r="Z28" s="185" t="n">
        <v>41</v>
      </c>
      <c r="AA28" s="185" t="n">
        <v>49</v>
      </c>
      <c r="AB28" s="185" t="n">
        <v>48</v>
      </c>
      <c r="AC28" s="185" t="n">
        <v>53</v>
      </c>
      <c r="AD28" s="185" t="n">
        <v>54</v>
      </c>
      <c r="AE28" s="185" t="n">
        <v>55</v>
      </c>
      <c r="AF28" s="185" t="n">
        <v>56</v>
      </c>
      <c r="AG28" s="185" t="n">
        <v>62</v>
      </c>
      <c r="AH28" s="185" t="n">
        <v>63</v>
      </c>
      <c r="AI28" s="185" t="n">
        <v>113</v>
      </c>
      <c r="AJ28" s="185" t="n">
        <v>118</v>
      </c>
      <c r="AK28" s="185" t="n">
        <v>137</v>
      </c>
      <c r="AL28" s="186" t="inlineStr">
        <is>
          <t>120, 119</t>
        </is>
      </c>
      <c r="AM28" s="185" t="n">
        <v>218</v>
      </c>
    </row>
    <row r="29" customFormat="1" s="188">
      <c r="A29" s="188" t="inlineStr">
        <is>
          <t>AIF</t>
        </is>
      </c>
      <c r="B29" s="192" t="inlineStr">
        <is>
          <t>Delta Value Fund</t>
        </is>
      </c>
      <c r="C29" s="188" t="inlineStr">
        <is>
          <t>INIT</t>
        </is>
      </c>
      <c r="D29" s="188" t="n">
        <v>2</v>
      </c>
      <c r="M29" s="188" t="inlineStr">
        <is>
          <t>Delta Value Fund</t>
        </is>
      </c>
      <c r="O29" s="188" t="n">
        <v>45</v>
      </c>
      <c r="Q29" s="235" t="n">
        <v>44958</v>
      </c>
      <c r="S29" s="188" t="inlineStr">
        <is>
          <t>6171N9XUY41IBLJH7550</t>
        </is>
      </c>
      <c r="Z29" s="189" t="n"/>
      <c r="AA29" s="188" t="inlineStr">
        <is>
          <t>HKD</t>
        </is>
      </c>
      <c r="AB29" s="254">
        <f>1000000*241214</f>
        <v/>
      </c>
      <c r="AC29" s="254">
        <f>1000000*172133</f>
        <v/>
      </c>
      <c r="AG29" s="194" t="n"/>
      <c r="AH29" s="195" t="n"/>
      <c r="AJ29" s="242" t="n">
        <v>10</v>
      </c>
      <c r="AK29" s="196" t="n"/>
      <c r="AL29" s="254" t="n">
        <v>84.72</v>
      </c>
      <c r="AM29" s="197" t="n"/>
    </row>
    <row r="30" customFormat="1" s="188">
      <c r="E30" s="189" t="n"/>
      <c r="F30" s="189" t="n"/>
      <c r="H30" s="189" t="n"/>
      <c r="Q30" s="235" t="n"/>
      <c r="Z30" s="189" t="n"/>
      <c r="AB30" s="254" t="n"/>
      <c r="AC30" s="254" t="n"/>
      <c r="AG30" s="194" t="n"/>
      <c r="AH30" s="195" t="n"/>
      <c r="AJ30" s="254" t="n"/>
      <c r="AK30" s="196" t="n"/>
      <c r="AL30" s="254" t="n"/>
      <c r="AM30" s="197" t="n"/>
    </row>
    <row r="31" customFormat="1" s="188">
      <c r="E31" s="189" t="n"/>
      <c r="F31" s="189" t="n"/>
      <c r="H31" s="189" t="n"/>
      <c r="Q31" s="235" t="n"/>
      <c r="Z31" s="189" t="n"/>
      <c r="AB31" s="254" t="n"/>
      <c r="AC31" s="254" t="n"/>
      <c r="AG31" s="194" t="n"/>
      <c r="AH31" s="195" t="n"/>
      <c r="AJ31" s="254" t="n"/>
      <c r="AK31" s="196" t="n"/>
      <c r="AL31" s="254" t="n"/>
      <c r="AM31" s="197" t="n"/>
    </row>
    <row r="32">
      <c r="A32" s="182" t="inlineStr">
        <is>
          <t>#AIF_NATIONAL_CODE</t>
        </is>
      </c>
      <c r="B32" s="182" t="inlineStr">
        <is>
          <t>Custom AIF Identification</t>
        </is>
      </c>
      <c r="C32" s="182" t="inlineStr">
        <is>
          <t>AIF Reporting Member State</t>
        </is>
      </c>
      <c r="D32" s="182" t="inlineStr">
        <is>
          <t>AIF National Code</t>
        </is>
      </c>
      <c r="E32" s="182" t="inlineStr">
        <is>
          <t>Old AIF Reporting Member State</t>
        </is>
      </c>
      <c r="F32" s="182" t="inlineStr">
        <is>
          <t>Old AIF National Code</t>
        </is>
      </c>
    </row>
    <row r="33" customFormat="1" s="187">
      <c r="A33" s="185" t="inlineStr">
        <is>
          <t>#AIF fieldnumbers →</t>
        </is>
      </c>
      <c r="B33" s="191" t="inlineStr">
        <is>
          <t>AIF_ID</t>
        </is>
      </c>
      <c r="C33" s="186" t="inlineStr">
        <is>
          <t>1, 43</t>
        </is>
      </c>
      <c r="D33" s="186" t="inlineStr">
        <is>
          <t>17, 44</t>
        </is>
      </c>
      <c r="E33" s="185" t="n">
        <v>31</v>
      </c>
      <c r="F33" s="185" t="n">
        <v>32</v>
      </c>
    </row>
    <row r="34" customFormat="1" s="188">
      <c r="A34" s="188" t="inlineStr">
        <is>
          <t>AIF_NATIONAL_CODE</t>
        </is>
      </c>
      <c r="B34" s="188" t="inlineStr">
        <is>
          <t>Delta Value Fund</t>
        </is>
      </c>
      <c r="C34" s="188" t="inlineStr">
        <is>
          <t>NL</t>
        </is>
      </c>
      <c r="D34" s="188" t="n">
        <v>50032901</v>
      </c>
    </row>
    <row r="35" customFormat="1" s="188"/>
    <row r="36" customFormat="1" s="188"/>
    <row r="37">
      <c r="A37" s="182" t="inlineStr">
        <is>
          <t>#AIF_ASSUMPTION</t>
        </is>
      </c>
      <c r="B37" s="182" t="inlineStr">
        <is>
          <t>Custom AIF Identification</t>
        </is>
      </c>
      <c r="C37" s="182" t="inlineStr">
        <is>
          <t>Question Number</t>
        </is>
      </c>
      <c r="D37" s="182" t="inlineStr">
        <is>
          <t>Assumption Description</t>
        </is>
      </c>
    </row>
    <row r="38">
      <c r="A38" s="185" t="inlineStr">
        <is>
          <t>#AIF fieldnumbers →</t>
        </is>
      </c>
      <c r="B38" s="191" t="inlineStr">
        <is>
          <t>AIF_ID</t>
        </is>
      </c>
      <c r="C38" s="185" t="n">
        <v>14</v>
      </c>
      <c r="D38" s="185" t="n">
        <v>15</v>
      </c>
    </row>
    <row r="39" customFormat="1" s="188"/>
    <row r="40" customFormat="1" s="188"/>
    <row r="41" customFormat="1" s="188"/>
    <row r="42" customFormat="1" s="188"/>
    <row r="43" customFormat="1" s="188"/>
    <row r="44">
      <c r="A44" s="182" t="inlineStr">
        <is>
          <t>#SHARE_CLASS</t>
        </is>
      </c>
      <c r="B44" s="182" t="inlineStr">
        <is>
          <t>Custom AIF Identification</t>
        </is>
      </c>
      <c r="C44" s="182" t="inlineStr">
        <is>
          <t>Share class national code</t>
        </is>
      </c>
      <c r="D44" s="182" t="inlineStr">
        <is>
          <t>Share class ISIN code</t>
        </is>
      </c>
      <c r="E44" s="182" t="inlineStr">
        <is>
          <t>Share class SEDOL code</t>
        </is>
      </c>
      <c r="F44" s="182" t="inlineStr">
        <is>
          <t>Share class CUSIP code</t>
        </is>
      </c>
      <c r="G44" s="182" t="inlineStr">
        <is>
          <t>Share class Bloomberg code</t>
        </is>
      </c>
      <c r="H44" s="182" t="inlineStr">
        <is>
          <t>Share class Reuters code</t>
        </is>
      </c>
      <c r="I44" s="182" t="inlineStr">
        <is>
          <t>Share class name</t>
        </is>
      </c>
      <c r="J44" s="184" t="n"/>
      <c r="K44" s="184" t="n"/>
      <c r="L44" s="184" t="n"/>
      <c r="M44" s="184" t="n"/>
    </row>
    <row r="45">
      <c r="A45" s="185" t="inlineStr">
        <is>
          <t>#AIF fieldnumbers →</t>
        </is>
      </c>
      <c r="B45" s="191" t="inlineStr">
        <is>
          <t>AIF_ID</t>
        </is>
      </c>
      <c r="C45" s="185" t="n">
        <v>34</v>
      </c>
      <c r="D45" s="185" t="n">
        <v>35</v>
      </c>
      <c r="E45" s="185" t="n">
        <v>36</v>
      </c>
      <c r="F45" s="185" t="n">
        <v>37</v>
      </c>
      <c r="G45" s="185" t="n">
        <v>38</v>
      </c>
      <c r="H45" s="185" t="n">
        <v>39</v>
      </c>
      <c r="I45" s="185" t="n">
        <v>40</v>
      </c>
    </row>
    <row r="46" customFormat="1" s="188">
      <c r="C46" s="189" t="n"/>
      <c r="D46" s="189" t="n"/>
      <c r="E46" s="189" t="n"/>
      <c r="F46" s="189" t="n"/>
      <c r="G46" s="189" t="n"/>
      <c r="H46" s="189" t="n"/>
    </row>
    <row r="47" customFormat="1" s="188">
      <c r="C47" s="189" t="n"/>
      <c r="D47" s="189" t="n"/>
      <c r="E47" s="189" t="n"/>
      <c r="F47" s="189" t="n"/>
      <c r="G47" s="189" t="n"/>
      <c r="H47" s="189" t="n"/>
    </row>
    <row r="48" customFormat="1" s="188">
      <c r="C48" s="189" t="n"/>
      <c r="D48" s="189" t="n"/>
      <c r="E48" s="189" t="n"/>
      <c r="F48" s="189" t="n"/>
      <c r="G48" s="189" t="n"/>
      <c r="H48" s="189" t="n"/>
    </row>
    <row r="49" customFormat="1" s="188">
      <c r="C49" s="189" t="n"/>
      <c r="D49" s="189" t="n"/>
      <c r="E49" s="189" t="n"/>
      <c r="F49" s="189" t="n"/>
      <c r="G49" s="189" t="n"/>
      <c r="H49" s="189" t="n"/>
    </row>
    <row r="50" customFormat="1" s="188">
      <c r="C50" s="189" t="n"/>
      <c r="D50" s="189" t="n"/>
      <c r="E50" s="189" t="n"/>
      <c r="F50" s="189" t="n"/>
      <c r="G50" s="189" t="n"/>
      <c r="H50" s="189" t="n"/>
    </row>
    <row r="51">
      <c r="A51" s="182" t="inlineStr">
        <is>
          <t>#PRIME_BROKER</t>
        </is>
      </c>
      <c r="B51" s="182" t="inlineStr">
        <is>
          <t>Custom AIF Identification</t>
        </is>
      </c>
      <c r="C51" s="182" t="inlineStr">
        <is>
          <t>Prime Broker Name</t>
        </is>
      </c>
      <c r="D51" s="182" t="inlineStr">
        <is>
          <t>Prime Broker LEI Code</t>
        </is>
      </c>
      <c r="E51" s="182" t="inlineStr">
        <is>
          <t xml:space="preserve">Prime Broker BIC Code </t>
        </is>
      </c>
    </row>
    <row r="52">
      <c r="A52" s="185" t="inlineStr">
        <is>
          <t>#AIF fieldnumbers →</t>
        </is>
      </c>
      <c r="B52" s="191" t="inlineStr">
        <is>
          <t>AIF_ID</t>
        </is>
      </c>
      <c r="C52" s="185" t="n">
        <v>45</v>
      </c>
      <c r="D52" s="185" t="n">
        <v>46</v>
      </c>
      <c r="E52" s="185" t="n">
        <v>47</v>
      </c>
    </row>
    <row r="53" customFormat="1" s="188"/>
    <row r="54" customFormat="1" s="188"/>
    <row r="55">
      <c r="A55" s="182" t="inlineStr">
        <is>
          <t>#STRATEGYv2</t>
        </is>
      </c>
      <c r="B55" s="182" t="inlineStr">
        <is>
          <t>Custom AIF Identification</t>
        </is>
      </c>
      <c r="C55" s="182" t="inlineStr">
        <is>
          <t>Investment strategy code</t>
        </is>
      </c>
      <c r="D55" s="182" t="inlineStr">
        <is>
          <t>Share in NAV (%)</t>
        </is>
      </c>
      <c r="E55" s="182" t="inlineStr">
        <is>
          <t>Description for strategy type Other</t>
        </is>
      </c>
      <c r="F55" s="184" t="n"/>
      <c r="G55" s="184" t="n"/>
      <c r="H55" s="184" t="n"/>
      <c r="I55" s="184" t="n"/>
      <c r="J55" s="184" t="n"/>
      <c r="K55" s="184" t="n"/>
      <c r="L55" s="184" t="n"/>
    </row>
    <row r="56">
      <c r="A56" s="185" t="inlineStr">
        <is>
          <t>#AIF fieldnumbers →</t>
        </is>
      </c>
      <c r="B56" s="191" t="inlineStr">
        <is>
          <t>AIF_ID</t>
        </is>
      </c>
      <c r="C56" s="186" t="inlineStr">
        <is>
          <t>58, 57</t>
        </is>
      </c>
      <c r="D56" s="185" t="n">
        <v>60</v>
      </c>
      <c r="E56" s="185" t="n">
        <v>61</v>
      </c>
    </row>
    <row r="57" customFormat="1" s="188">
      <c r="A57" s="188" t="inlineStr">
        <is>
          <t>STRATEGYv2</t>
        </is>
      </c>
      <c r="B57" s="188" t="inlineStr">
        <is>
          <t>Delta Value Fund</t>
        </is>
      </c>
      <c r="C57" s="188" t="inlineStr">
        <is>
          <t>COML_REST</t>
        </is>
      </c>
      <c r="D57" s="203" t="n">
        <v>100</v>
      </c>
      <c r="E57" s="139" t="n"/>
    </row>
    <row r="58" customFormat="1" s="188">
      <c r="D58" s="203" t="n"/>
      <c r="E58" s="139" t="n"/>
    </row>
    <row r="59" customFormat="1" s="188">
      <c r="D59" s="203" t="n"/>
      <c r="E59" s="139" t="n"/>
    </row>
    <row r="60" customFormat="1" s="184">
      <c r="A60" s="182" t="inlineStr">
        <is>
          <t>#POSITION</t>
        </is>
      </c>
      <c r="B60" s="182" t="inlineStr">
        <is>
          <t>Custom AIF Identification</t>
        </is>
      </c>
      <c r="C60" s="182" t="inlineStr">
        <is>
          <t>Sub-Asset Type of Position</t>
        </is>
      </c>
      <c r="D60" s="183" t="inlineStr">
        <is>
          <t>(Legacy) Instrument Code Type</t>
        </is>
      </c>
      <c r="E60" s="182" t="inlineStr">
        <is>
          <t>Instrument Name</t>
        </is>
      </c>
      <c r="F60" s="182" t="inlineStr">
        <is>
          <t>Instrument ISIN Code</t>
        </is>
      </c>
      <c r="G60" s="182" t="inlineStr">
        <is>
          <t>Market Type Code</t>
        </is>
      </c>
      <c r="H60" s="182" t="inlineStr">
        <is>
          <t xml:space="preserve">Market Identifier Code (MIC) </t>
        </is>
      </c>
      <c r="I60" s="182" t="inlineStr">
        <is>
          <t>AII Exchange Product Code</t>
        </is>
      </c>
      <c r="J60" s="182" t="inlineStr">
        <is>
          <t>AII Derivative Type</t>
        </is>
      </c>
      <c r="K60" s="182" t="inlineStr">
        <is>
          <t>AII Put/Call Identifier</t>
        </is>
      </c>
      <c r="L60" s="182" t="inlineStr">
        <is>
          <t>AII exercise/maturity/expiry/delivery/prompt date</t>
        </is>
      </c>
      <c r="M60" s="182" t="inlineStr">
        <is>
          <t>AII Strike Price</t>
        </is>
      </c>
      <c r="N60" s="182" t="inlineStr">
        <is>
          <t>Long / Short</t>
        </is>
      </c>
      <c r="O60" s="182" t="inlineStr">
        <is>
          <t>Position value (Article 2 AIFMD)</t>
        </is>
      </c>
      <c r="P60" s="182" t="inlineStr">
        <is>
          <t>Net Asset Value (NAV)</t>
        </is>
      </c>
      <c r="Q60" s="182" t="inlineStr">
        <is>
          <t>Hedging % for short position</t>
        </is>
      </c>
      <c r="R60" s="182" t="inlineStr">
        <is>
          <t>Counterparty Type</t>
        </is>
      </c>
      <c r="S60" s="182" t="inlineStr">
        <is>
          <t>Counterparty Name</t>
        </is>
      </c>
      <c r="T60" s="182" t="inlineStr">
        <is>
          <t>Counterparty LEI Code</t>
        </is>
      </c>
      <c r="U60" s="182" t="inlineStr">
        <is>
          <t>Counterparty BIC Code</t>
        </is>
      </c>
      <c r="V60" s="182" t="inlineStr">
        <is>
          <t>Currency of the exposure</t>
        </is>
      </c>
      <c r="W60" s="182" t="inlineStr">
        <is>
          <t>Region</t>
        </is>
      </c>
      <c r="X60" s="182" t="inlineStr">
        <is>
          <t>Gross value of exposure</t>
        </is>
      </c>
    </row>
    <row r="61" customFormat="1" s="201">
      <c r="A61" s="191" t="inlineStr">
        <is>
          <t>#AIF fieldnumbers →</t>
        </is>
      </c>
      <c r="B61" s="191" t="inlineStr">
        <is>
          <t>AIF_ID</t>
        </is>
      </c>
      <c r="C61" s="200" t="inlineStr">
        <is>
          <t>65, 41, 95, 96, 104, 121</t>
        </is>
      </c>
      <c r="D61" s="191" t="n">
        <v>66</v>
      </c>
      <c r="E61" s="200" t="inlineStr">
        <is>
          <t>67, 42</t>
        </is>
      </c>
      <c r="F61" s="191" t="n">
        <v>68</v>
      </c>
      <c r="G61" s="200" t="inlineStr">
        <is>
          <t>106, 115</t>
        </is>
      </c>
      <c r="H61" s="200" t="inlineStr">
        <is>
          <t>69, 107, 116</t>
        </is>
      </c>
      <c r="I61" s="191" t="n">
        <v>70</v>
      </c>
      <c r="J61" s="191" t="n">
        <v>71</v>
      </c>
      <c r="K61" s="191" t="n">
        <v>72</v>
      </c>
      <c r="L61" s="191" t="n">
        <v>73</v>
      </c>
      <c r="M61" s="191" t="n">
        <v>74</v>
      </c>
      <c r="N61" s="200" t="inlineStr">
        <is>
          <t>75, 124</t>
        </is>
      </c>
      <c r="O61" s="200" t="inlineStr">
        <is>
          <t>48, 76, 86-93, 98, 108, 117, 123-124, 129-130</t>
        </is>
      </c>
      <c r="P61" s="200" t="inlineStr">
        <is>
          <t>53, 78-85, 165, 171</t>
        </is>
      </c>
      <c r="Q61" s="191" t="n">
        <v>77</v>
      </c>
      <c r="R61" s="200" t="n">
        <v>172</v>
      </c>
      <c r="S61" s="200" t="inlineStr">
        <is>
          <t>100, 110, 162, 168</t>
        </is>
      </c>
      <c r="T61" s="200" t="inlineStr">
        <is>
          <t>101, 111, 163, 169</t>
        </is>
      </c>
      <c r="U61" s="200" t="inlineStr">
        <is>
          <t>102, 112, 164, 170</t>
        </is>
      </c>
      <c r="V61" s="191" t="n">
        <v>128</v>
      </c>
      <c r="W61" s="191" t="inlineStr">
        <is>
          <t>78-93</t>
        </is>
      </c>
      <c r="X61" s="191" t="n">
        <v>122</v>
      </c>
    </row>
    <row r="62" customFormat="1" s="188">
      <c r="A62" s="188" t="inlineStr">
        <is>
          <t>#ignore this line</t>
        </is>
      </c>
      <c r="B62" s="188" t="inlineStr">
        <is>
          <t>Delta Value Fund</t>
        </is>
      </c>
      <c r="C62" s="198" t="inlineStr">
        <is>
          <t>PHY_RES_COML</t>
        </is>
      </c>
      <c r="E62" s="188" t="inlineStr">
        <is>
          <t>Goodwill</t>
        </is>
      </c>
      <c r="H62" s="189" t="n"/>
      <c r="L62" s="236" t="n"/>
      <c r="M62" s="203" t="n"/>
      <c r="N62" s="188" t="inlineStr">
        <is>
          <t>L</t>
        </is>
      </c>
      <c r="O62" s="202">
        <f>1000000*0</f>
        <v/>
      </c>
      <c r="P62" s="202">
        <f>1000000*0</f>
        <v/>
      </c>
      <c r="Q62" s="254" t="n"/>
      <c r="V62" s="188" t="inlineStr">
        <is>
          <t>HKD</t>
        </is>
      </c>
      <c r="W62" s="188" t="inlineStr">
        <is>
          <t>ASIAPACIFIC</t>
        </is>
      </c>
      <c r="X62" s="203" t="n"/>
    </row>
    <row r="63" customFormat="1" s="188">
      <c r="A63" s="188" t="inlineStr">
        <is>
          <t>POSITION</t>
        </is>
      </c>
      <c r="B63" s="188" t="inlineStr">
        <is>
          <t>Delta Value Fund</t>
        </is>
      </c>
      <c r="C63" s="198" t="inlineStr">
        <is>
          <t>PHY_RES_COML</t>
        </is>
      </c>
      <c r="E63" s="188" t="inlineStr">
        <is>
          <t>Derivative position</t>
        </is>
      </c>
      <c r="H63" s="189" t="n"/>
      <c r="L63" s="236" t="n"/>
      <c r="M63" s="203" t="n"/>
      <c r="N63" s="188" t="inlineStr">
        <is>
          <t>L</t>
        </is>
      </c>
      <c r="O63" s="202">
        <f>1000000*231128</f>
        <v/>
      </c>
      <c r="P63" s="202">
        <f>1000000*231128</f>
        <v/>
      </c>
      <c r="Q63" s="254" t="n"/>
      <c r="V63" s="188" t="inlineStr">
        <is>
          <t>HKD</t>
        </is>
      </c>
      <c r="W63" s="188" t="inlineStr">
        <is>
          <t>ASIAPACIFIC</t>
        </is>
      </c>
      <c r="X63" s="203" t="n"/>
    </row>
    <row r="64" customFormat="1" s="188">
      <c r="A64" s="188" t="inlineStr">
        <is>
          <t>POSITION</t>
        </is>
      </c>
      <c r="B64" s="188" t="inlineStr">
        <is>
          <t>Delta Value Fund</t>
        </is>
      </c>
      <c r="C64" s="198" t="inlineStr">
        <is>
          <t>PHY_RES_COML</t>
        </is>
      </c>
      <c r="E64" s="188" t="inlineStr">
        <is>
          <t>Fund of funds allocation</t>
        </is>
      </c>
      <c r="H64" s="189" t="n"/>
      <c r="L64" s="236" t="n"/>
      <c r="M64" s="203" t="n"/>
      <c r="N64" s="188" t="inlineStr">
        <is>
          <t>L</t>
        </is>
      </c>
      <c r="O64" s="202">
        <f>1000000*1820</f>
        <v/>
      </c>
      <c r="P64" s="202">
        <f>1000000*1820</f>
        <v/>
      </c>
      <c r="Q64" s="254" t="n"/>
      <c r="V64" s="188" t="inlineStr">
        <is>
          <t>HKD</t>
        </is>
      </c>
      <c r="W64" s="188" t="inlineStr">
        <is>
          <t>ASIAPACIFIC</t>
        </is>
      </c>
      <c r="X64" s="203" t="n"/>
    </row>
    <row r="65" customFormat="1" s="188">
      <c r="A65" s="188" t="inlineStr">
        <is>
          <t>POSITION</t>
        </is>
      </c>
      <c r="B65" s="188" t="inlineStr">
        <is>
          <t>Delta Value Fund</t>
        </is>
      </c>
      <c r="C65" s="198" t="inlineStr">
        <is>
          <t>PHY_RES_COML</t>
        </is>
      </c>
      <c r="E65" s="188" t="inlineStr">
        <is>
          <t>Infrastructure investment</t>
        </is>
      </c>
      <c r="H65" s="189" t="n"/>
      <c r="L65" s="236" t="n"/>
      <c r="M65" s="203" t="n"/>
      <c r="N65" s="188" t="inlineStr">
        <is>
          <t>L</t>
        </is>
      </c>
      <c r="O65" s="202">
        <f>1000000*1378</f>
        <v/>
      </c>
      <c r="P65" s="202">
        <f>1000000*1378</f>
        <v/>
      </c>
      <c r="Q65" s="254" t="n"/>
      <c r="V65" s="188" t="inlineStr">
        <is>
          <t>HKD</t>
        </is>
      </c>
      <c r="W65" s="188" t="inlineStr">
        <is>
          <t>ASIAPACIFIC</t>
        </is>
      </c>
      <c r="X65" s="203" t="n"/>
    </row>
    <row r="66" customFormat="1" s="188">
      <c r="A66" s="188" t="inlineStr">
        <is>
          <t>POSITION</t>
        </is>
      </c>
      <c r="B66" s="188" t="inlineStr">
        <is>
          <t>Delta Value Fund</t>
        </is>
      </c>
      <c r="C66" s="198" t="inlineStr">
        <is>
          <t>OTH_OTH_OTHR</t>
        </is>
      </c>
      <c r="E66" s="188" t="inlineStr">
        <is>
          <t>Financial assets at amortised cost</t>
        </is>
      </c>
      <c r="H66" s="189" t="n"/>
      <c r="L66" s="236" t="n"/>
      <c r="M66" s="203" t="n"/>
      <c r="N66" s="188" t="inlineStr">
        <is>
          <t>L</t>
        </is>
      </c>
      <c r="O66" s="202" t="n">
        <v>0</v>
      </c>
      <c r="P66" s="202" t="n">
        <v>0</v>
      </c>
      <c r="Q66" s="254" t="n"/>
      <c r="V66" s="188" t="inlineStr">
        <is>
          <t>HKD</t>
        </is>
      </c>
      <c r="W66" s="188" t="inlineStr">
        <is>
          <t>ASIAPACIFIC</t>
        </is>
      </c>
      <c r="X66" s="203" t="n"/>
    </row>
    <row r="67" customFormat="1" s="188">
      <c r="A67" s="188" t="inlineStr">
        <is>
          <t>POSITION</t>
        </is>
      </c>
      <c r="B67" s="188" t="inlineStr">
        <is>
          <t>Delta Value Fund</t>
        </is>
      </c>
      <c r="C67" s="198" t="inlineStr">
        <is>
          <t>OTH_OTH_OTHR</t>
        </is>
      </c>
      <c r="E67" s="188" t="inlineStr">
        <is>
          <t>Deposits and prepayments</t>
        </is>
      </c>
      <c r="H67" s="189" t="n"/>
      <c r="L67" s="236" t="n"/>
      <c r="M67" s="203" t="n"/>
      <c r="N67" s="188" t="inlineStr">
        <is>
          <t>L</t>
        </is>
      </c>
      <c r="O67" s="202">
        <f>1000000*158</f>
        <v/>
      </c>
      <c r="P67" s="202">
        <f>1000000*158</f>
        <v/>
      </c>
      <c r="Q67" s="254" t="n"/>
      <c r="V67" s="188" t="inlineStr">
        <is>
          <t>HKD</t>
        </is>
      </c>
      <c r="W67" s="188" t="inlineStr">
        <is>
          <t>ASIAPACIFIC</t>
        </is>
      </c>
      <c r="X67" s="203" t="n"/>
    </row>
    <row r="68" customFormat="1" s="188">
      <c r="A68" s="188" t="inlineStr">
        <is>
          <t>POSITION</t>
        </is>
      </c>
      <c r="B68" s="188" t="inlineStr">
        <is>
          <t>Delta Value Fund</t>
        </is>
      </c>
      <c r="C68" s="198" t="inlineStr">
        <is>
          <t>OTH_OTH_OTHR</t>
        </is>
      </c>
      <c r="E68" s="188" t="inlineStr">
        <is>
          <t>Derivative financial instruments</t>
        </is>
      </c>
      <c r="H68" s="189" t="n"/>
      <c r="L68" s="236" t="n"/>
      <c r="M68" s="203" t="n"/>
      <c r="N68" s="188" t="inlineStr">
        <is>
          <t>L</t>
        </is>
      </c>
      <c r="O68" s="202">
        <f>1000000*253</f>
        <v/>
      </c>
      <c r="P68" s="202">
        <f>1000000*253</f>
        <v/>
      </c>
      <c r="Q68" s="254" t="n"/>
      <c r="V68" s="188" t="inlineStr">
        <is>
          <t>HKD</t>
        </is>
      </c>
      <c r="W68" s="188" t="inlineStr">
        <is>
          <t>ASIAPACIFIC</t>
        </is>
      </c>
      <c r="X68" s="203" t="n"/>
    </row>
    <row r="69" customFormat="1" s="188">
      <c r="A69" s="188" t="inlineStr">
        <is>
          <t>POSITION</t>
        </is>
      </c>
      <c r="B69" s="188" t="inlineStr">
        <is>
          <t>Delta Value Fund</t>
        </is>
      </c>
      <c r="C69" s="198" t="inlineStr">
        <is>
          <t>OTH_OTH_OTHR</t>
        </is>
      </c>
      <c r="E69" s="188" t="inlineStr">
        <is>
          <t>Trade and other receivables</t>
        </is>
      </c>
      <c r="H69" s="189" t="n"/>
      <c r="L69" s="236" t="n"/>
      <c r="M69" s="203" t="n"/>
      <c r="N69" s="188" t="inlineStr">
        <is>
          <t>L</t>
        </is>
      </c>
      <c r="O69" s="202">
        <f>1000000*1278</f>
        <v/>
      </c>
      <c r="P69" s="202">
        <f>1000000*1278</f>
        <v/>
      </c>
      <c r="Q69" s="254" t="n"/>
      <c r="V69" s="188" t="inlineStr">
        <is>
          <t>HKD</t>
        </is>
      </c>
      <c r="W69" s="188" t="inlineStr">
        <is>
          <t>ASIAPACIFIC</t>
        </is>
      </c>
      <c r="X69" s="203" t="n"/>
    </row>
    <row r="70" customFormat="1" s="188">
      <c r="A70" s="188" t="inlineStr">
        <is>
          <t>POSITION</t>
        </is>
      </c>
      <c r="B70" s="188" t="inlineStr">
        <is>
          <t>Delta Value Fund</t>
        </is>
      </c>
      <c r="C70" s="198" t="inlineStr">
        <is>
          <t>SEC_CSH_OTHD</t>
        </is>
      </c>
      <c r="E70" s="188" t="inlineStr">
        <is>
          <t>Bank deposits</t>
        </is>
      </c>
      <c r="H70" s="189" t="n"/>
      <c r="L70" s="236" t="n"/>
      <c r="M70" s="203" t="n"/>
      <c r="N70" s="188" t="inlineStr">
        <is>
          <t>L</t>
        </is>
      </c>
      <c r="O70" s="202">
        <f>1000000*2462</f>
        <v/>
      </c>
      <c r="P70" s="202">
        <f>1000000*2462</f>
        <v/>
      </c>
      <c r="Q70" s="254" t="n"/>
      <c r="V70" s="188" t="inlineStr">
        <is>
          <t>HKD</t>
        </is>
      </c>
      <c r="W70" s="188" t="inlineStr">
        <is>
          <t>ASIAPACIFIC</t>
        </is>
      </c>
      <c r="X70" s="203" t="n"/>
    </row>
    <row r="71" customFormat="1" s="188">
      <c r="A71" s="188" t="inlineStr">
        <is>
          <t>POSITION</t>
        </is>
      </c>
      <c r="B71" s="188" t="inlineStr">
        <is>
          <t>Delta Value Fund</t>
        </is>
      </c>
      <c r="C71" s="198" t="inlineStr">
        <is>
          <t>SEC_CSH_OTHC</t>
        </is>
      </c>
      <c r="E71" s="188" t="inlineStr">
        <is>
          <t>Cash and cash equivalents</t>
        </is>
      </c>
      <c r="H71" s="189" t="n"/>
      <c r="L71" s="236" t="n"/>
      <c r="M71" s="203" t="n"/>
      <c r="N71" s="188" t="inlineStr">
        <is>
          <t>L</t>
        </is>
      </c>
      <c r="O71" s="202">
        <f>1000000*2737</f>
        <v/>
      </c>
      <c r="P71" s="202">
        <f>1000000*2737</f>
        <v/>
      </c>
      <c r="Q71" s="254" t="n"/>
      <c r="V71" s="188" t="inlineStr">
        <is>
          <t>HKD</t>
        </is>
      </c>
      <c r="W71" s="188" t="inlineStr">
        <is>
          <t>ASIAPACIFIC</t>
        </is>
      </c>
      <c r="X71" s="203" t="n"/>
    </row>
    <row r="72" customFormat="1" s="188">
      <c r="A72" s="188" t="inlineStr">
        <is>
          <t>POSITION</t>
        </is>
      </c>
      <c r="B72" s="188" t="inlineStr">
        <is>
          <t>Delta Value Fund</t>
        </is>
      </c>
      <c r="C72" s="198" t="inlineStr">
        <is>
          <t>PHY_RES_COML</t>
        </is>
      </c>
      <c r="E72" s="188" t="inlineStr">
        <is>
          <t>Non-controlling interests</t>
        </is>
      </c>
      <c r="H72" s="189" t="n"/>
      <c r="L72" s="236" t="n"/>
      <c r="M72" s="203" t="n"/>
      <c r="N72" s="188" t="inlineStr">
        <is>
          <t>L</t>
        </is>
      </c>
      <c r="O72" s="202" t="n">
        <v>0</v>
      </c>
      <c r="P72" s="253">
        <f>1000000*684</f>
        <v/>
      </c>
      <c r="Q72" s="254" t="n"/>
      <c r="V72" s="188" t="inlineStr">
        <is>
          <t>HKD</t>
        </is>
      </c>
      <c r="W72" s="188" t="inlineStr">
        <is>
          <t>ASIAPACIFIC</t>
        </is>
      </c>
      <c r="X72" s="203" t="n"/>
    </row>
    <row r="73" customFormat="1" s="188">
      <c r="A73" s="188" t="inlineStr">
        <is>
          <t>POSITION</t>
        </is>
      </c>
      <c r="B73" s="188" t="inlineStr">
        <is>
          <t>Delta Value Fund</t>
        </is>
      </c>
      <c r="C73" s="198" t="inlineStr">
        <is>
          <t>OTH_OTH_OTHR</t>
        </is>
      </c>
      <c r="E73" s="188" t="inlineStr">
        <is>
          <t>Total Liabilities</t>
        </is>
      </c>
      <c r="H73" s="189" t="n"/>
      <c r="L73" s="236" t="n"/>
      <c r="M73" s="203" t="n"/>
      <c r="N73" s="188" t="inlineStr">
        <is>
          <t>S</t>
        </is>
      </c>
      <c r="O73" s="202">
        <f>1000000*0</f>
        <v/>
      </c>
      <c r="P73" s="202">
        <f>1000000*-69765</f>
        <v/>
      </c>
      <c r="Q73" s="254" t="n"/>
      <c r="V73" s="188" t="inlineStr">
        <is>
          <t>HKD</t>
        </is>
      </c>
      <c r="W73" s="188" t="inlineStr">
        <is>
          <t>ASIAPACIFIC</t>
        </is>
      </c>
      <c r="X73" s="203" t="n"/>
    </row>
    <row r="74" customFormat="1" s="188">
      <c r="C74" s="198" t="n"/>
      <c r="H74" s="189" t="n"/>
      <c r="L74" s="236" t="n"/>
      <c r="M74" s="203" t="n"/>
      <c r="O74" s="255">
        <f>SUM(O62:O73)</f>
        <v/>
      </c>
      <c r="P74" s="255">
        <f>SUM(P62:P73)</f>
        <v/>
      </c>
      <c r="Q74" s="254" t="n"/>
      <c r="X74" s="203" t="n"/>
    </row>
    <row r="75" customFormat="1" s="188">
      <c r="C75" s="198" t="n"/>
      <c r="H75" s="189" t="n"/>
      <c r="L75" s="236" t="n"/>
      <c r="M75" s="203" t="n"/>
      <c r="O75" s="202" t="n"/>
      <c r="P75" s="202" t="n"/>
      <c r="Q75" s="254" t="n"/>
      <c r="X75" s="203" t="n"/>
    </row>
    <row r="76" customFormat="1" s="205">
      <c r="A76" s="204" t="inlineStr">
        <is>
          <t>#END OF TEMPLATE FOR REGISTERED/LIGHT/3(3)(d) FUNDS</t>
        </is>
      </c>
      <c r="B76" s="204" t="n"/>
      <c r="C76" s="204" t="n"/>
      <c r="D76" s="204" t="n"/>
      <c r="E76" s="204" t="inlineStr">
        <is>
          <t>#END OF TEMPLATE FOR REGISTERED/LIGHT/3(3)(d) FUNDS</t>
        </is>
      </c>
      <c r="F76" s="204" t="n"/>
      <c r="G76" s="204" t="n"/>
      <c r="H76" s="204" t="n"/>
      <c r="I76" s="204" t="n"/>
      <c r="J76" s="204" t="inlineStr">
        <is>
          <t>#END OF TEMPLATE FOR REGISTERED/LIGHT/3(3)(d) FUNDS</t>
        </is>
      </c>
      <c r="K76" s="204" t="n"/>
      <c r="L76" s="204" t="n"/>
      <c r="M76" s="204" t="n"/>
      <c r="N76" s="204" t="n"/>
      <c r="P76" s="204" t="inlineStr">
        <is>
          <t>#END OF TEMPLATE FOR REGISTERED/LIGHT/3(3)(d) FUNDS</t>
        </is>
      </c>
      <c r="U76" s="204" t="inlineStr">
        <is>
          <t>#END OF TEMPLATE FOR REGISTERED/LIGHT/3(3)(d) FUNDS</t>
        </is>
      </c>
    </row>
    <row r="77"/>
    <row r="78">
      <c r="A78" s="182" t="inlineStr">
        <is>
          <t>#TURNOVER</t>
        </is>
      </c>
      <c r="B78" s="182" t="inlineStr">
        <is>
          <t>Custom AIF Identification</t>
        </is>
      </c>
      <c r="C78" s="206" t="inlineStr">
        <is>
          <t>Sub-Asset Type of Turnover</t>
        </is>
      </c>
      <c r="D78" s="182" t="inlineStr">
        <is>
          <t>Market Value of Turnover</t>
        </is>
      </c>
      <c r="E78" s="182" t="inlineStr">
        <is>
          <t>Notional Value of Turnover</t>
        </is>
      </c>
      <c r="F78" s="184" t="n"/>
      <c r="G78" s="184" t="n"/>
      <c r="H78" s="184" t="n"/>
      <c r="I78" s="184" t="n"/>
      <c r="J78" s="184" t="n"/>
      <c r="K78" s="184" t="n"/>
      <c r="L78" s="184" t="n"/>
      <c r="M78" s="184" t="n"/>
    </row>
    <row r="79">
      <c r="A79" s="185" t="inlineStr">
        <is>
          <t>#AIF fieldnumbers →</t>
        </is>
      </c>
      <c r="B79" s="191" t="inlineStr">
        <is>
          <t>AIF_ID</t>
        </is>
      </c>
      <c r="C79" s="185" t="n">
        <v>125</v>
      </c>
      <c r="D79" s="185" t="n">
        <v>126</v>
      </c>
      <c r="E79" s="185" t="n">
        <v>127</v>
      </c>
    </row>
    <row r="80" customFormat="1" s="188">
      <c r="A80" s="188" t="inlineStr">
        <is>
          <t>TURNOVER</t>
        </is>
      </c>
      <c r="B80" s="188" t="inlineStr">
        <is>
          <t>Delta Value Fund</t>
        </is>
      </c>
      <c r="C80" s="198" t="inlineStr">
        <is>
          <t>PHY_RES_RES</t>
        </is>
      </c>
      <c r="D80" s="243">
        <f>G145+H145</f>
        <v/>
      </c>
      <c r="E80" s="254" t="n"/>
    </row>
    <row r="81" customFormat="1" s="188">
      <c r="C81" s="198" t="n"/>
      <c r="D81" s="254" t="n"/>
      <c r="E81" s="254" t="n"/>
    </row>
    <row r="82" customFormat="1" s="188">
      <c r="C82" s="198" t="n"/>
      <c r="D82" s="254" t="n"/>
      <c r="E82" s="254" t="n"/>
    </row>
    <row r="83" customFormat="1" s="188">
      <c r="C83" s="198" t="n"/>
      <c r="D83" s="254" t="n"/>
      <c r="E83" s="254" t="n"/>
    </row>
    <row r="84">
      <c r="A84" s="182" t="inlineStr">
        <is>
          <t>#DOMINANT_INFLUENCE</t>
        </is>
      </c>
      <c r="B84" s="182" t="inlineStr">
        <is>
          <t>Custom AIF Identification</t>
        </is>
      </c>
      <c r="C84" s="182" t="inlineStr">
        <is>
          <t>Dominant influence company name</t>
        </is>
      </c>
      <c r="D84" s="182" t="inlineStr">
        <is>
          <t>Dominant influence company LEI code</t>
        </is>
      </c>
      <c r="E84" s="182" t="inlineStr">
        <is>
          <t xml:space="preserve">Dominant influence company BIC code </t>
        </is>
      </c>
      <c r="F84" s="182" t="inlineStr">
        <is>
          <t>Transaction Type</t>
        </is>
      </c>
      <c r="G84" s="182" t="inlineStr">
        <is>
          <t>Description of other transaction type</t>
        </is>
      </c>
      <c r="H84" s="182" t="inlineStr">
        <is>
          <t>% Voting Rights</t>
        </is>
      </c>
      <c r="I84" s="184" t="n"/>
      <c r="J84" s="184" t="n"/>
      <c r="K84" s="184" t="n"/>
      <c r="L84" s="184" t="n"/>
      <c r="M84" s="184" t="n"/>
    </row>
    <row r="85">
      <c r="A85" s="185" t="inlineStr">
        <is>
          <t>#AIF fieldnumbers →</t>
        </is>
      </c>
      <c r="B85" s="191" t="inlineStr">
        <is>
          <t>AIF_ID</t>
        </is>
      </c>
      <c r="C85" s="185" t="n">
        <v>131</v>
      </c>
      <c r="D85" s="185" t="n">
        <v>132</v>
      </c>
      <c r="E85" s="185" t="n">
        <v>133</v>
      </c>
      <c r="F85" s="185" t="n">
        <v>134</v>
      </c>
      <c r="G85" s="185" t="n">
        <v>135</v>
      </c>
      <c r="H85" s="185" t="n">
        <v>136</v>
      </c>
    </row>
    <row r="86" customFormat="1" s="188">
      <c r="D86" s="189" t="n"/>
      <c r="E86" s="189" t="n"/>
      <c r="G86" s="139" t="n"/>
      <c r="H86" s="203" t="n"/>
    </row>
    <row r="87" customFormat="1" s="188">
      <c r="D87" s="189" t="n"/>
      <c r="E87" s="189" t="n"/>
      <c r="G87" s="139" t="n"/>
      <c r="H87" s="203" t="n"/>
    </row>
    <row r="88" customFormat="1" s="188">
      <c r="D88" s="189" t="n"/>
      <c r="E88" s="189" t="n"/>
      <c r="G88" s="139" t="n"/>
      <c r="H88" s="203" t="n"/>
    </row>
    <row r="89">
      <c r="A89" s="182" t="inlineStr">
        <is>
          <t>#RISK</t>
        </is>
      </c>
      <c r="B89" s="182" t="inlineStr">
        <is>
          <t>Custom AIF Identification</t>
        </is>
      </c>
      <c r="C89" s="182" t="inlineStr">
        <is>
          <t>Risk measure type</t>
        </is>
      </c>
      <c r="D89" s="182" t="inlineStr">
        <is>
          <t>Risk measure value in base currency</t>
        </is>
      </c>
      <c r="E89" s="182" t="inlineStr">
        <is>
          <t>Risk measure value for Net DV01 and CS01 for bucket &lt; 5 years in base currency</t>
        </is>
      </c>
      <c r="F89" s="182" t="inlineStr">
        <is>
          <t>Risk measure value Net DV01 and CS01 for for bucket 5-15 years in base currency</t>
        </is>
      </c>
      <c r="G89" s="182" t="inlineStr">
        <is>
          <t>Risk measure value Net DV01 and CS01 for for bucket &gt; 15 years in base currency</t>
        </is>
      </c>
      <c r="H89" s="182" t="inlineStr">
        <is>
          <t>Risk measure value for Vega exposure at current market levels in base currency</t>
        </is>
      </c>
      <c r="I89" s="182" t="inlineStr">
        <is>
          <t>Risk measure value for Vega exposure at market levels 10% lower in base currency</t>
        </is>
      </c>
      <c r="J89" s="182" t="inlineStr">
        <is>
          <t>Risk measure value for Vega exposure at market levels 10% higher in base currency</t>
        </is>
      </c>
      <c r="K89" s="182" t="inlineStr">
        <is>
          <t>VAR Value as a percentage</t>
        </is>
      </c>
      <c r="L89" s="182" t="inlineStr">
        <is>
          <t>VAR Calculation Method Code Type</t>
        </is>
      </c>
      <c r="M89" s="182" t="inlineStr">
        <is>
          <t>Risk Measure description</t>
        </is>
      </c>
    </row>
    <row r="90">
      <c r="A90" s="207" t="inlineStr">
        <is>
          <t>#AIF fieldnumbers →</t>
        </is>
      </c>
      <c r="B90" s="191" t="inlineStr">
        <is>
          <t>AIF_ID</t>
        </is>
      </c>
      <c r="C90" s="207" t="n">
        <v>138</v>
      </c>
      <c r="D90" s="207" t="n">
        <v>139</v>
      </c>
      <c r="E90" s="207" t="n">
        <v>140</v>
      </c>
      <c r="F90" s="207" t="n">
        <v>141</v>
      </c>
      <c r="G90" s="207" t="n">
        <v>142</v>
      </c>
      <c r="H90" s="207" t="n">
        <v>143</v>
      </c>
      <c r="I90" s="207" t="n">
        <v>144</v>
      </c>
      <c r="J90" s="207" t="n">
        <v>145</v>
      </c>
      <c r="K90" s="207" t="n">
        <v>302</v>
      </c>
      <c r="L90" s="207" t="n">
        <v>146</v>
      </c>
      <c r="M90" s="207" t="n">
        <v>147</v>
      </c>
    </row>
    <row r="91" customFormat="1" s="208">
      <c r="D91" s="209" t="n"/>
      <c r="E91" s="210" t="n"/>
      <c r="F91" s="210" t="n"/>
      <c r="G91" s="210" t="n"/>
      <c r="H91" s="210" t="n"/>
      <c r="I91" s="210" t="n"/>
      <c r="J91" s="210" t="n"/>
      <c r="K91" s="210" t="n"/>
      <c r="M91" s="237" t="n"/>
    </row>
    <row r="92" customFormat="1" s="208">
      <c r="D92" s="209" t="n"/>
      <c r="E92" s="210" t="n"/>
      <c r="F92" s="210" t="n"/>
      <c r="G92" s="210" t="n"/>
      <c r="H92" s="210" t="n"/>
      <c r="I92" s="210" t="n"/>
      <c r="J92" s="210" t="n"/>
      <c r="K92" s="210" t="n"/>
      <c r="M92" s="237" t="n"/>
    </row>
    <row r="93" customFormat="1" s="208">
      <c r="D93" s="209" t="n"/>
      <c r="E93" s="210" t="n"/>
      <c r="F93" s="210" t="n"/>
      <c r="G93" s="210" t="n"/>
      <c r="H93" s="210" t="n"/>
      <c r="I93" s="210" t="n"/>
      <c r="J93" s="210" t="n"/>
      <c r="K93" s="210" t="n"/>
      <c r="M93" s="237" t="n"/>
    </row>
    <row r="94" customFormat="1" s="208">
      <c r="D94" s="209" t="n"/>
      <c r="E94" s="210" t="n"/>
      <c r="F94" s="210" t="n"/>
      <c r="G94" s="210" t="n"/>
      <c r="H94" s="210" t="n"/>
      <c r="I94" s="210" t="n"/>
      <c r="J94" s="210" t="n"/>
      <c r="K94" s="210" t="n"/>
      <c r="M94" s="237" t="n"/>
    </row>
    <row r="95" customFormat="1" s="208">
      <c r="D95" s="209" t="n"/>
      <c r="E95" s="210" t="n"/>
      <c r="F95" s="210" t="n"/>
      <c r="G95" s="210" t="n"/>
      <c r="H95" s="210" t="n"/>
      <c r="I95" s="210" t="n"/>
      <c r="J95" s="210" t="n"/>
      <c r="K95" s="210" t="n"/>
      <c r="M95" s="237" t="n"/>
    </row>
    <row r="96" customFormat="1" s="208">
      <c r="D96" s="209" t="n"/>
      <c r="E96" s="210" t="n"/>
      <c r="F96" s="210" t="n"/>
      <c r="G96" s="210" t="n"/>
      <c r="H96" s="210" t="n"/>
      <c r="I96" s="210" t="n"/>
      <c r="J96" s="210" t="n"/>
      <c r="K96" s="210" t="n"/>
      <c r="M96" s="237" t="n"/>
    </row>
    <row r="97" customFormat="1" s="208">
      <c r="D97" s="209" t="n"/>
      <c r="E97" s="210" t="n"/>
      <c r="F97" s="210" t="n"/>
      <c r="G97" s="210" t="n"/>
      <c r="H97" s="210" t="n"/>
      <c r="I97" s="210" t="n"/>
      <c r="J97" s="210" t="n"/>
      <c r="K97" s="210" t="n"/>
      <c r="M97" s="237" t="n"/>
    </row>
    <row r="98" ht="10.5" customHeight="1">
      <c r="A98" s="182" t="inlineStr">
        <is>
          <t>#COUNTERPARTY_RISK_PROFILE</t>
        </is>
      </c>
      <c r="B98" s="182" t="inlineStr">
        <is>
          <t>Custom AIF Identification</t>
        </is>
      </c>
      <c r="C98" s="182" t="inlineStr">
        <is>
          <t>Percentage of market value for securities traded on regulated exchanges (non-OTC)</t>
        </is>
      </c>
      <c r="D98" s="183" t="inlineStr">
        <is>
          <t>(Legacy) Percentage of market value for securities traded on OTC</t>
        </is>
      </c>
      <c r="E98" s="182" t="inlineStr">
        <is>
          <t>Percentage of trade volumes for derivatives traded on regulated exchanges (non-OTC)</t>
        </is>
      </c>
      <c r="F98" s="183" t="inlineStr">
        <is>
          <t>(Legacy) Percentage of trade volumes for derivatives traded on OTC</t>
        </is>
      </c>
      <c r="G98" s="182" t="inlineStr">
        <is>
          <t>Percentage of trade volumes for derivatives cleared by a CCP</t>
        </is>
      </c>
      <c r="H98" s="183" t="inlineStr">
        <is>
          <t>(Legacy) Percentage of trade volumes for derivatives cleared bilaterally</t>
        </is>
      </c>
      <c r="I98" s="182" t="inlineStr">
        <is>
          <t>Percentage of market value for repos trades cleared by a CCP</t>
        </is>
      </c>
      <c r="J98" s="182" t="inlineStr">
        <is>
          <t>Percentage of market value for repos trades cleared bilaterally</t>
        </is>
      </c>
      <c r="K98" s="182" t="inlineStr">
        <is>
          <t>Percentage of market value for repos trades cleared with triparty repos</t>
        </is>
      </c>
      <c r="L98" s="182" t="inlineStr">
        <is>
          <t>Collateral Cash amount posted to all counterparties</t>
        </is>
      </c>
      <c r="M98" s="182" t="inlineStr">
        <is>
          <t>Collateral Securities amount posted to all counterparties</t>
        </is>
      </c>
      <c r="N98" s="182" t="inlineStr">
        <is>
          <t>Other Collateral amount posted to all counterparties</t>
        </is>
      </c>
    </row>
    <row r="99">
      <c r="A99" s="185" t="inlineStr">
        <is>
          <t>#AIF fieldnumbers →</t>
        </is>
      </c>
      <c r="B99" s="191" t="inlineStr">
        <is>
          <t>AIF_ID</t>
        </is>
      </c>
      <c r="C99" s="186" t="inlineStr">
        <is>
          <t>148, 149</t>
        </is>
      </c>
      <c r="D99" s="185" t="n">
        <v>149</v>
      </c>
      <c r="E99" s="186" t="inlineStr">
        <is>
          <t>150, 151</t>
        </is>
      </c>
      <c r="F99" s="185" t="n">
        <v>151</v>
      </c>
      <c r="G99" s="186" t="inlineStr">
        <is>
          <t>152, 153</t>
        </is>
      </c>
      <c r="H99" s="185" t="n">
        <v>153</v>
      </c>
      <c r="I99" s="185" t="n">
        <v>154</v>
      </c>
      <c r="J99" s="185" t="n">
        <v>155</v>
      </c>
      <c r="K99" s="185" t="n">
        <v>156</v>
      </c>
      <c r="L99" s="185" t="n">
        <v>157</v>
      </c>
      <c r="M99" s="185" t="n">
        <v>158</v>
      </c>
      <c r="N99" s="185" t="n">
        <v>159</v>
      </c>
    </row>
    <row r="100" customFormat="1" s="188">
      <c r="C100" s="195" t="n"/>
      <c r="D100" s="254" t="n"/>
      <c r="E100" s="254" t="n"/>
      <c r="F100" s="254" t="n"/>
      <c r="G100" s="254" t="n"/>
      <c r="H100" s="254" t="n"/>
      <c r="I100" s="254" t="n"/>
      <c r="J100" s="254" t="n"/>
      <c r="K100" s="254" t="n"/>
      <c r="L100" s="254" t="n"/>
      <c r="M100" s="254" t="n"/>
      <c r="N100" s="254" t="n"/>
    </row>
    <row r="101" customFormat="1" s="188">
      <c r="C101" s="195" t="n"/>
      <c r="D101" s="254" t="n"/>
      <c r="E101" s="254" t="n"/>
      <c r="F101" s="254" t="n"/>
      <c r="G101" s="254" t="n"/>
      <c r="H101" s="254" t="n"/>
      <c r="I101" s="254" t="n"/>
      <c r="J101" s="254" t="n"/>
      <c r="K101" s="254" t="n"/>
      <c r="L101" s="254" t="n"/>
      <c r="M101" s="254" t="n"/>
      <c r="N101" s="254" t="n"/>
    </row>
    <row r="102" customFormat="1" s="188">
      <c r="C102" s="195" t="n"/>
      <c r="D102" s="254" t="n"/>
      <c r="E102" s="254" t="n"/>
      <c r="F102" s="254" t="n"/>
      <c r="G102" s="254" t="n"/>
      <c r="H102" s="254" t="n"/>
      <c r="I102" s="254" t="n"/>
      <c r="J102" s="254" t="n"/>
      <c r="K102" s="254" t="n"/>
      <c r="L102" s="254" t="n"/>
      <c r="M102" s="254" t="n"/>
      <c r="N102" s="254" t="n"/>
    </row>
    <row r="103" customFormat="1" s="188">
      <c r="C103" s="195" t="n"/>
      <c r="D103" s="254" t="n"/>
      <c r="E103" s="254" t="n"/>
      <c r="F103" s="254" t="n"/>
      <c r="G103" s="254" t="n"/>
      <c r="H103" s="254" t="n"/>
      <c r="I103" s="254" t="n"/>
      <c r="J103" s="254" t="n"/>
      <c r="K103" s="254" t="n"/>
      <c r="L103" s="254" t="n"/>
      <c r="M103" s="254" t="n"/>
      <c r="N103" s="254" t="n"/>
    </row>
    <row r="104" customFormat="1" s="188">
      <c r="C104" s="195" t="n"/>
      <c r="D104" s="254" t="n"/>
      <c r="E104" s="254" t="n"/>
      <c r="F104" s="254" t="n"/>
      <c r="G104" s="254" t="n"/>
      <c r="H104" s="254" t="n"/>
      <c r="I104" s="254" t="n"/>
      <c r="J104" s="254" t="n"/>
      <c r="K104" s="254" t="n"/>
      <c r="L104" s="254" t="n"/>
      <c r="M104" s="254" t="n"/>
      <c r="N104" s="254" t="n"/>
    </row>
    <row r="105">
      <c r="A105" s="182" t="inlineStr">
        <is>
          <t>#PORTFOLIO_LIQUIDITY_PROFILE</t>
        </is>
      </c>
      <c r="B105" s="182" t="inlineStr">
        <is>
          <t>Custom AIF Identification</t>
        </is>
      </c>
      <c r="C105" s="182" t="inlineStr">
        <is>
          <t>Percentage of portfolio liquidity in 0 to 1 day</t>
        </is>
      </c>
      <c r="D105" s="182" t="inlineStr">
        <is>
          <t>Percentage of portfolio liquidity in 2 to 7 days</t>
        </is>
      </c>
      <c r="E105" s="182" t="inlineStr">
        <is>
          <t>Percentage of portfolio liquidity in 8 to 30 days</t>
        </is>
      </c>
      <c r="F105" s="182" t="inlineStr">
        <is>
          <t>Percentage of portfolio liquidity in 31 to 90 days</t>
        </is>
      </c>
      <c r="G105" s="182" t="inlineStr">
        <is>
          <t>Percentage of portfolio liquidity in 91 to 180 days</t>
        </is>
      </c>
      <c r="H105" s="182" t="inlineStr">
        <is>
          <t>Percentage of portfolio liquidity in 181 to 365 days</t>
        </is>
      </c>
      <c r="I105" s="182" t="inlineStr">
        <is>
          <t>Percentage of portfolio liquidity in more than 365 days</t>
        </is>
      </c>
      <c r="J105" s="182" t="inlineStr">
        <is>
          <t>Unencumbered cash amount</t>
        </is>
      </c>
      <c r="K105" s="211" t="n"/>
      <c r="L105" s="211" t="n"/>
      <c r="M105" s="211" t="n"/>
    </row>
    <row r="106">
      <c r="A106" s="185" t="inlineStr">
        <is>
          <t>#AIF fieldnumbers →</t>
        </is>
      </c>
      <c r="B106" s="191" t="inlineStr">
        <is>
          <t>AIF_ID</t>
        </is>
      </c>
      <c r="C106" s="185" t="n">
        <v>178</v>
      </c>
      <c r="D106" s="185" t="n">
        <v>179</v>
      </c>
      <c r="E106" s="185" t="n">
        <v>180</v>
      </c>
      <c r="F106" s="185" t="n">
        <v>181</v>
      </c>
      <c r="G106" s="185" t="n">
        <v>182</v>
      </c>
      <c r="H106" s="185" t="n">
        <v>183</v>
      </c>
      <c r="I106" s="185" t="n">
        <v>184</v>
      </c>
      <c r="J106" s="185" t="n">
        <v>185</v>
      </c>
    </row>
    <row r="107" customFormat="1" s="188">
      <c r="C107" s="254" t="n"/>
      <c r="D107" s="254" t="n"/>
      <c r="E107" s="254" t="n"/>
      <c r="F107" s="254" t="n"/>
      <c r="G107" s="254" t="n"/>
      <c r="H107" s="254" t="n"/>
      <c r="I107" s="254" t="n"/>
      <c r="J107" s="254" t="n"/>
    </row>
    <row r="108" customFormat="1" s="188">
      <c r="C108" s="254" t="n"/>
      <c r="D108" s="254" t="n"/>
      <c r="E108" s="254" t="n"/>
      <c r="F108" s="254" t="n"/>
      <c r="G108" s="254" t="n"/>
      <c r="H108" s="254" t="n"/>
      <c r="I108" s="254" t="n"/>
      <c r="J108" s="254" t="n"/>
    </row>
    <row r="109" customFormat="1" s="188">
      <c r="C109" s="254" t="n"/>
      <c r="D109" s="254" t="n"/>
      <c r="E109" s="254" t="n"/>
      <c r="F109" s="254" t="n"/>
      <c r="G109" s="254" t="n"/>
      <c r="H109" s="254" t="n"/>
      <c r="I109" s="254" t="n"/>
      <c r="J109" s="254" t="n"/>
    </row>
    <row r="110" customFormat="1" s="188">
      <c r="C110" s="254" t="n"/>
      <c r="D110" s="254" t="n"/>
      <c r="E110" s="254" t="n"/>
      <c r="F110" s="254" t="n"/>
      <c r="G110" s="254" t="n"/>
      <c r="H110" s="254" t="n"/>
      <c r="I110" s="254" t="n"/>
      <c r="J110" s="254" t="n"/>
    </row>
    <row r="111">
      <c r="A111" s="212" t="inlineStr">
        <is>
          <t>#INVESTOR_LIQUIDITY_PROFILE</t>
        </is>
      </c>
      <c r="B111" s="182" t="inlineStr">
        <is>
          <t>Custom AIF Identification</t>
        </is>
      </c>
      <c r="C111" s="213" t="inlineStr">
        <is>
          <t>Percentage of investor liquidity in 0 to 1 day</t>
        </is>
      </c>
      <c r="D111" s="213" t="inlineStr">
        <is>
          <t>Percentage of investor liquidity in 2 to 7 days</t>
        </is>
      </c>
      <c r="E111" s="213" t="inlineStr">
        <is>
          <t>Percentage of investor liquidity in 8 to 30 days</t>
        </is>
      </c>
      <c r="F111" s="213" t="inlineStr">
        <is>
          <t>Percentage of investor liquidity in 31 to 90 days</t>
        </is>
      </c>
      <c r="G111" s="213" t="inlineStr">
        <is>
          <t>Percentage of investor liquidity in 91 to 180 days</t>
        </is>
      </c>
      <c r="H111" s="213" t="inlineStr">
        <is>
          <t>Percentage of investor liquidity in 181 to 365 days</t>
        </is>
      </c>
      <c r="I111" s="213" t="inlineStr">
        <is>
          <t>Percentage of investor liquidity in more than 365 days</t>
        </is>
      </c>
    </row>
    <row r="112">
      <c r="A112" s="214" t="inlineStr">
        <is>
          <t>#AIF fieldnumbers →</t>
        </is>
      </c>
      <c r="B112" s="191" t="inlineStr">
        <is>
          <t>AIF_ID</t>
        </is>
      </c>
      <c r="C112" s="215" t="n">
        <v>186</v>
      </c>
      <c r="D112" s="215" t="n">
        <v>187</v>
      </c>
      <c r="E112" s="215" t="n">
        <v>188</v>
      </c>
      <c r="F112" s="215" t="n">
        <v>189</v>
      </c>
      <c r="G112" s="215" t="n">
        <v>190</v>
      </c>
      <c r="H112" s="215" t="n">
        <v>191</v>
      </c>
      <c r="I112" s="215" t="n">
        <v>192</v>
      </c>
    </row>
    <row r="113" customFormat="1" s="188">
      <c r="C113" s="254" t="n"/>
      <c r="D113" s="254" t="n"/>
      <c r="E113" s="254" t="n"/>
      <c r="F113" s="254" t="n"/>
      <c r="G113" s="254" t="n"/>
      <c r="H113" s="254" t="n"/>
      <c r="I113" s="254" t="n"/>
    </row>
    <row r="114" customFormat="1" s="188">
      <c r="C114" s="254" t="n"/>
      <c r="D114" s="254" t="n"/>
      <c r="E114" s="254" t="n"/>
      <c r="F114" s="254" t="n"/>
      <c r="G114" s="254" t="n"/>
      <c r="H114" s="254" t="n"/>
      <c r="I114" s="254" t="n"/>
    </row>
    <row r="115" customFormat="1" s="188">
      <c r="C115" s="254" t="n"/>
      <c r="D115" s="254" t="n"/>
      <c r="E115" s="254" t="n"/>
      <c r="F115" s="254" t="n"/>
      <c r="G115" s="254" t="n"/>
      <c r="H115" s="254" t="n"/>
      <c r="I115" s="254" t="n"/>
    </row>
    <row r="116" customFormat="1" s="188">
      <c r="C116" s="254" t="n"/>
      <c r="D116" s="254" t="n"/>
      <c r="E116" s="254" t="n"/>
      <c r="F116" s="254" t="n"/>
      <c r="G116" s="254" t="n"/>
      <c r="H116" s="254" t="n"/>
      <c r="I116" s="254" t="n"/>
    </row>
    <row r="117" customFormat="1" s="188">
      <c r="C117" s="254" t="n"/>
      <c r="D117" s="254" t="n"/>
      <c r="E117" s="254" t="n"/>
      <c r="F117" s="254" t="n"/>
      <c r="G117" s="254" t="n"/>
      <c r="H117" s="254" t="n"/>
      <c r="I117" s="254" t="n"/>
    </row>
    <row r="118" customFormat="1" s="188">
      <c r="C118" s="254" t="n"/>
      <c r="D118" s="254" t="n"/>
      <c r="E118" s="254" t="n"/>
      <c r="F118" s="254" t="n"/>
      <c r="G118" s="254" t="n"/>
      <c r="H118" s="254" t="n"/>
      <c r="I118" s="254" t="n"/>
    </row>
    <row r="119">
      <c r="A119" s="212" t="inlineStr">
        <is>
          <t>#INVESTOR_REDEMPTION</t>
        </is>
      </c>
      <c r="B119" s="182" t="inlineStr">
        <is>
          <t>Custom AIF Identification</t>
        </is>
      </c>
      <c r="C119" s="216" t="inlineStr">
        <is>
          <t>(Legacy) Withdrawal redemption rights flag</t>
        </is>
      </c>
      <c r="D119" s="213" t="inlineStr">
        <is>
          <t>Investor Redemption Frequency</t>
        </is>
      </c>
      <c r="E119" s="213" t="inlineStr">
        <is>
          <t>Investor Redemption Notice Period in days</t>
        </is>
      </c>
      <c r="F119" s="213" t="inlineStr">
        <is>
          <t>Investor Redemption Lock Up Period in days</t>
        </is>
      </c>
    </row>
    <row r="120">
      <c r="A120" s="214" t="inlineStr">
        <is>
          <t>#AIF fieldnumbers →</t>
        </is>
      </c>
      <c r="B120" s="191" t="inlineStr">
        <is>
          <t>AIF_ID</t>
        </is>
      </c>
      <c r="C120" s="215" t="n">
        <v>193</v>
      </c>
      <c r="D120" s="217" t="inlineStr">
        <is>
          <t>194, 193</t>
        </is>
      </c>
      <c r="E120" s="217" t="inlineStr">
        <is>
          <t>195, 193</t>
        </is>
      </c>
      <c r="F120" s="217" t="inlineStr">
        <is>
          <t>196, 193</t>
        </is>
      </c>
    </row>
    <row r="121" customFormat="1" s="188">
      <c r="E121" s="194" t="n"/>
      <c r="F121" s="194" t="n"/>
    </row>
    <row r="122" customFormat="1" s="188">
      <c r="E122" s="194" t="n"/>
      <c r="F122" s="194" t="n"/>
    </row>
    <row r="123" customFormat="1" s="188">
      <c r="E123" s="194" t="n"/>
      <c r="F123" s="194" t="n"/>
    </row>
    <row r="124" customFormat="1" s="188">
      <c r="E124" s="194" t="n"/>
      <c r="F124" s="194" t="n"/>
    </row>
    <row r="125" customFormat="1" s="188">
      <c r="E125" s="194" t="n"/>
      <c r="F125" s="194" t="n"/>
    </row>
    <row r="126" customFormat="1" s="188">
      <c r="E126" s="194" t="n"/>
      <c r="F126" s="194" t="n"/>
    </row>
    <row r="127">
      <c r="A127" s="212" t="inlineStr">
        <is>
          <t>#SPECIAL_ARRANGEMENT</t>
        </is>
      </c>
      <c r="B127" s="182" t="inlineStr">
        <is>
          <t>Custom AIF Identification</t>
        </is>
      </c>
      <c r="C127" s="213" t="inlineStr">
        <is>
          <t>Side Pocket percentage</t>
        </is>
      </c>
      <c r="D127" s="213" t="inlineStr">
        <is>
          <t>Gates percentage</t>
        </is>
      </c>
      <c r="E127" s="213" t="inlineStr">
        <is>
          <t>Dealing Suspension percentage</t>
        </is>
      </c>
      <c r="F127" s="213" t="inlineStr">
        <is>
          <t>Other Arrangement Type</t>
        </is>
      </c>
      <c r="G127" s="213" t="inlineStr">
        <is>
          <t>Other arrangement percentage</t>
        </is>
      </c>
      <c r="H127" s="213" t="inlineStr">
        <is>
          <t>Total arrangement percentage</t>
        </is>
      </c>
      <c r="I127" s="216" t="inlineStr">
        <is>
          <t>(Legacy) Investor preferential treatment Flag</t>
        </is>
      </c>
      <c r="J127" s="213" t="inlineStr">
        <is>
          <t>Disclosure Terms Preferential Treatment Flag</t>
        </is>
      </c>
      <c r="K127" s="213" t="inlineStr">
        <is>
          <t>Liquidity Terms Preferential Treatment Flag</t>
        </is>
      </c>
      <c r="L127" s="213" t="inlineStr">
        <is>
          <t>Fee Terms Preferential Treatment Flag</t>
        </is>
      </c>
      <c r="M127" s="213" t="inlineStr">
        <is>
          <t>Other Terms Preferential Treatment Flag</t>
        </is>
      </c>
    </row>
    <row r="128">
      <c r="A128" s="214" t="inlineStr">
        <is>
          <t>#AIF fieldnumbers →</t>
        </is>
      </c>
      <c r="B128" s="191" t="inlineStr">
        <is>
          <t>AIF_ID</t>
        </is>
      </c>
      <c r="C128" s="215" t="n">
        <v>197</v>
      </c>
      <c r="D128" s="215" t="n">
        <v>198</v>
      </c>
      <c r="E128" s="215" t="n">
        <v>199</v>
      </c>
      <c r="F128" s="215" t="n">
        <v>200</v>
      </c>
      <c r="G128" s="215" t="n">
        <v>201</v>
      </c>
      <c r="H128" s="215" t="n">
        <v>202</v>
      </c>
      <c r="I128" s="215" t="n">
        <v>203</v>
      </c>
      <c r="J128" s="217" t="inlineStr">
        <is>
          <t>204, 203</t>
        </is>
      </c>
      <c r="K128" s="217" t="inlineStr">
        <is>
          <t>205, 203</t>
        </is>
      </c>
      <c r="L128" s="217" t="inlineStr">
        <is>
          <t>206, 203</t>
        </is>
      </c>
      <c r="M128" s="217" t="inlineStr">
        <is>
          <t>207, 203</t>
        </is>
      </c>
    </row>
    <row r="129" customFormat="1" s="188">
      <c r="C129" s="195" t="n"/>
      <c r="D129" s="195" t="n"/>
      <c r="E129" s="195" t="n"/>
      <c r="F129" s="218" t="n"/>
      <c r="G129" s="195" t="n"/>
      <c r="H129" s="195" t="n"/>
    </row>
    <row r="130" customFormat="1" s="188">
      <c r="C130" s="195" t="n"/>
      <c r="D130" s="195" t="n"/>
      <c r="E130" s="195" t="n"/>
      <c r="F130" s="218" t="n"/>
      <c r="G130" s="195" t="n"/>
      <c r="H130" s="195" t="n"/>
    </row>
    <row r="131" customFormat="1" s="184">
      <c r="A131" s="212" t="inlineStr">
        <is>
          <t>#INVESTOR</t>
        </is>
      </c>
      <c r="B131" s="182" t="inlineStr">
        <is>
          <t>Custom AIF Identification</t>
        </is>
      </c>
      <c r="C131" s="213" t="inlineStr">
        <is>
          <t>Investor Group Type</t>
        </is>
      </c>
      <c r="D131" s="213" t="inlineStr">
        <is>
          <t>Investor group NAV percentage</t>
        </is>
      </c>
      <c r="E131" s="181" t="n"/>
      <c r="F131" s="181" t="n"/>
      <c r="G131" s="181" t="n"/>
      <c r="H131" s="181" t="n"/>
      <c r="I131" s="181" t="n"/>
      <c r="J131" s="181" t="n"/>
      <c r="K131" s="181" t="n"/>
      <c r="L131" s="181" t="n"/>
      <c r="M131" s="181" t="n"/>
    </row>
    <row r="132">
      <c r="A132" s="214" t="inlineStr">
        <is>
          <t>#AIF fieldnumbers →</t>
        </is>
      </c>
      <c r="B132" s="191" t="inlineStr">
        <is>
          <t>AIF_ID</t>
        </is>
      </c>
      <c r="C132" s="215" t="n">
        <v>208</v>
      </c>
      <c r="D132" s="215" t="n">
        <v>209</v>
      </c>
    </row>
    <row r="133" customFormat="1" s="188">
      <c r="A133" s="188" t="inlineStr">
        <is>
          <t>INVESTOR</t>
        </is>
      </c>
      <c r="B133" s="188" t="inlineStr">
        <is>
          <t>Delta Value Fund</t>
        </is>
      </c>
      <c r="C133" s="188" t="inlineStr">
        <is>
          <t>OFIN</t>
        </is>
      </c>
      <c r="D133" s="254" t="n">
        <v>15.28</v>
      </c>
    </row>
    <row r="134" customFormat="1" s="188">
      <c r="A134" s="188" t="inlineStr">
        <is>
          <t>INVESTOR</t>
        </is>
      </c>
      <c r="B134" s="188" t="inlineStr">
        <is>
          <t>Delta Value Fund</t>
        </is>
      </c>
      <c r="C134" s="188" t="inlineStr">
        <is>
          <t>HHLD</t>
        </is>
      </c>
      <c r="D134" s="254" t="n">
        <v>84.72</v>
      </c>
    </row>
    <row r="135" customFormat="1" s="188">
      <c r="D135" s="254" t="n"/>
    </row>
    <row r="136" customFormat="1" s="188">
      <c r="D136" s="254" t="n"/>
    </row>
    <row r="137" customFormat="1" s="184">
      <c r="A137" s="212" t="inlineStr">
        <is>
          <t>#FINANCING_LIQUIDITY</t>
        </is>
      </c>
      <c r="B137" s="182" t="inlineStr">
        <is>
          <t>Custom AIF Identification</t>
        </is>
      </c>
      <c r="C137" s="213" t="inlineStr">
        <is>
          <t>Available financing amount</t>
        </is>
      </c>
      <c r="D137" s="213" t="inlineStr">
        <is>
          <t>Percentage of financing amount in 0 to 1 day</t>
        </is>
      </c>
      <c r="E137" s="213" t="inlineStr">
        <is>
          <t>Percentage of financing amount in 2 to 7 days</t>
        </is>
      </c>
      <c r="F137" s="213" t="inlineStr">
        <is>
          <t>Percentage of financing amount in 8 to 30 days</t>
        </is>
      </c>
      <c r="G137" s="213" t="inlineStr">
        <is>
          <t>Percentage of financing amount in 31 to 90 days</t>
        </is>
      </c>
      <c r="H137" s="213" t="inlineStr">
        <is>
          <t>Percentage of financing amount in 91 to 180 days</t>
        </is>
      </c>
      <c r="I137" s="213" t="inlineStr">
        <is>
          <t>Percentage of financing amount in 181 to 365 days</t>
        </is>
      </c>
      <c r="J137" s="213" t="inlineStr">
        <is>
          <t>Percentage of financing amount longer than 365 days</t>
        </is>
      </c>
      <c r="K137" s="181" t="n"/>
      <c r="L137" s="181" t="n"/>
      <c r="M137" s="181" t="n"/>
    </row>
    <row r="138">
      <c r="A138" s="214" t="inlineStr">
        <is>
          <t>#AIF fieldnumbers →</t>
        </is>
      </c>
      <c r="B138" s="191" t="inlineStr">
        <is>
          <t>AIF_ID</t>
        </is>
      </c>
      <c r="C138" s="215" t="n">
        <v>210</v>
      </c>
      <c r="D138" s="215" t="n">
        <v>211</v>
      </c>
      <c r="E138" s="215" t="n">
        <v>212</v>
      </c>
      <c r="F138" s="215" t="n">
        <v>213</v>
      </c>
      <c r="G138" s="215" t="n">
        <v>214</v>
      </c>
      <c r="H138" s="215" t="n">
        <v>215</v>
      </c>
      <c r="I138" s="215" t="n">
        <v>216</v>
      </c>
      <c r="J138" s="215" t="n">
        <v>217</v>
      </c>
    </row>
    <row r="139" customFormat="1" s="188">
      <c r="C139" s="254" t="n"/>
      <c r="D139" s="254" t="n"/>
      <c r="E139" s="254" t="n"/>
      <c r="F139" s="254" t="n"/>
      <c r="G139" s="254" t="n"/>
      <c r="H139" s="254" t="n"/>
      <c r="I139" s="254" t="n"/>
      <c r="J139" s="254" t="n"/>
    </row>
    <row r="140" customFormat="1" s="188">
      <c r="C140" s="254" t="n"/>
      <c r="D140" s="254" t="n"/>
      <c r="E140" s="254" t="n"/>
      <c r="F140" s="254" t="n"/>
      <c r="G140" s="254" t="n"/>
      <c r="H140" s="254" t="n"/>
      <c r="I140" s="254" t="n"/>
      <c r="J140" s="254" t="n"/>
    </row>
    <row r="141" customFormat="1" s="188">
      <c r="C141" s="254" t="n"/>
      <c r="D141" s="254" t="n"/>
      <c r="E141" s="254" t="n"/>
      <c r="F141" s="254" t="n"/>
      <c r="G141" s="254" t="n"/>
      <c r="H141" s="254" t="n"/>
      <c r="I141" s="254" t="n"/>
      <c r="J141" s="254" t="n"/>
    </row>
    <row r="142" customFormat="1" s="188">
      <c r="C142" s="219" t="n"/>
      <c r="D142" s="254" t="n"/>
      <c r="E142" s="254" t="n"/>
      <c r="F142" s="254" t="n"/>
      <c r="G142" s="254" t="n"/>
      <c r="H142" s="254" t="n"/>
      <c r="I142" s="254" t="n"/>
      <c r="J142" s="254" t="n"/>
    </row>
    <row r="143" customFormat="1" s="184">
      <c r="A143" s="212" t="inlineStr">
        <is>
          <t>#HISTORICAL_RISK_PROFILE</t>
        </is>
      </c>
      <c r="B143" s="182" t="inlineStr">
        <is>
          <t>Custom AIF Identification</t>
        </is>
      </c>
      <c r="C143" s="213" t="inlineStr">
        <is>
          <t>Month</t>
        </is>
      </c>
      <c r="D143" s="213" t="inlineStr">
        <is>
          <t>Percentage of gross investment returns</t>
        </is>
      </c>
      <c r="E143" s="213" t="inlineStr">
        <is>
          <t>Percentage of net investment returns</t>
        </is>
      </c>
      <c r="F143" s="213" t="inlineStr">
        <is>
          <t>Percentage of NAV change</t>
        </is>
      </c>
      <c r="G143" s="213" t="inlineStr">
        <is>
          <t>Subscriptions in base currency</t>
        </is>
      </c>
      <c r="H143" s="213" t="inlineStr">
        <is>
          <t>Redemptions  in base currency</t>
        </is>
      </c>
      <c r="I143" s="181" t="n"/>
      <c r="J143" s="181" t="n"/>
      <c r="K143" s="181" t="n"/>
      <c r="L143" s="181" t="n"/>
      <c r="M143" s="181" t="n"/>
    </row>
    <row r="144">
      <c r="A144" s="214" t="inlineStr">
        <is>
          <t>#AIF fieldnumbers →</t>
        </is>
      </c>
      <c r="B144" s="191" t="inlineStr">
        <is>
          <t>AIF_ID</t>
        </is>
      </c>
      <c r="C144" s="217" t="inlineStr">
        <is>
          <t>219-278</t>
        </is>
      </c>
      <c r="D144" s="217" t="inlineStr">
        <is>
          <t>219-230</t>
        </is>
      </c>
      <c r="E144" s="217" t="inlineStr">
        <is>
          <t>231-242</t>
        </is>
      </c>
      <c r="F144" s="217" t="inlineStr">
        <is>
          <t>243-254</t>
        </is>
      </c>
      <c r="G144" s="217" t="inlineStr">
        <is>
          <t>255-266</t>
        </is>
      </c>
      <c r="H144" s="217" t="inlineStr">
        <is>
          <t>267-278</t>
        </is>
      </c>
    </row>
    <row r="145" customFormat="1" s="188">
      <c r="A145" s="188" t="inlineStr">
        <is>
          <t>HISTORICAL_RISK_PROFILE</t>
        </is>
      </c>
      <c r="B145" s="188" t="inlineStr">
        <is>
          <t>Delta Value Fund</t>
        </is>
      </c>
      <c r="C145" s="220" t="n"/>
      <c r="D145" s="252">
        <f>F155</f>
        <v/>
      </c>
      <c r="E145" s="252">
        <f>F159</f>
        <v/>
      </c>
      <c r="F145" s="252">
        <f>F151</f>
        <v/>
      </c>
      <c r="G145" s="252">
        <f>I160</f>
        <v/>
      </c>
      <c r="H145" s="252">
        <f>I161</f>
        <v/>
      </c>
    </row>
    <row r="146" customFormat="1" s="188">
      <c r="C146" s="220" t="n"/>
      <c r="D146" s="254" t="n"/>
      <c r="E146" s="254" t="n"/>
      <c r="F146" s="254" t="n"/>
      <c r="G146" s="254" t="n"/>
      <c r="H146" s="254" t="n"/>
    </row>
    <row r="147" customFormat="1" s="188">
      <c r="C147" s="220" t="n"/>
      <c r="D147" s="254" t="n"/>
      <c r="E147" s="254" t="n"/>
      <c r="F147" s="195" t="n"/>
      <c r="G147" s="254" t="n"/>
      <c r="H147" s="254" t="n"/>
    </row>
    <row r="148" customFormat="1" s="188">
      <c r="A148" s="188" t="inlineStr">
        <is>
          <t>#ignore this line</t>
        </is>
      </c>
      <c r="C148" s="220" t="n"/>
      <c r="D148" s="254" t="inlineStr">
        <is>
          <t>current NAV</t>
        </is>
      </c>
      <c r="E148" s="257">
        <f>AC29</f>
        <v/>
      </c>
      <c r="F148" s="254" t="n"/>
      <c r="G148" s="254" t="inlineStr">
        <is>
          <t>current units</t>
        </is>
      </c>
      <c r="H148" s="242" t="n">
        <v>2576645433</v>
      </c>
    </row>
    <row r="149" customFormat="1" s="188">
      <c r="A149" s="188" t="inlineStr">
        <is>
          <t>#ignore this line</t>
        </is>
      </c>
      <c r="C149" s="220" t="n"/>
      <c r="D149" s="254" t="inlineStr">
        <is>
          <t>previous NAV</t>
        </is>
      </c>
      <c r="E149" s="242">
        <f>1000000*178823</f>
        <v/>
      </c>
      <c r="F149" s="254" t="n"/>
      <c r="G149" s="254" t="inlineStr">
        <is>
          <t>previous units</t>
        </is>
      </c>
      <c r="H149" s="242" t="n">
        <v>2553845113</v>
      </c>
    </row>
    <row r="150" customFormat="1" s="188">
      <c r="A150" s="188" t="inlineStr">
        <is>
          <t>#ignore this line</t>
        </is>
      </c>
      <c r="C150" s="220" t="n"/>
      <c r="D150" s="238" t="inlineStr">
        <is>
          <t>absolute diffence NAV</t>
        </is>
      </c>
      <c r="E150" s="244">
        <f>E148-E149</f>
        <v/>
      </c>
      <c r="F150" s="246" t="inlineStr">
        <is>
          <t>per quarter</t>
        </is>
      </c>
      <c r="G150" s="238" t="inlineStr">
        <is>
          <t>diffence units</t>
        </is>
      </c>
      <c r="H150" s="244" t="n">
        <v>443651241</v>
      </c>
    </row>
    <row r="151" customFormat="1" s="188">
      <c r="A151" s="188" t="inlineStr">
        <is>
          <t>#ignore this line</t>
        </is>
      </c>
      <c r="C151" s="220" t="n"/>
      <c r="D151" s="240" t="inlineStr">
        <is>
          <t>percentage change NAV</t>
        </is>
      </c>
      <c r="E151" s="244">
        <f>E150/E149*100</f>
        <v/>
      </c>
      <c r="F151" s="247">
        <f>E151/2</f>
        <v/>
      </c>
      <c r="G151" s="254" t="n"/>
      <c r="H151" s="254" t="n"/>
    </row>
    <row r="152" customFormat="1" s="188">
      <c r="A152" s="188" t="inlineStr">
        <is>
          <t>#ignore this line</t>
        </is>
      </c>
      <c r="C152" s="220" t="n"/>
      <c r="D152" s="254" t="n"/>
      <c r="E152" s="254" t="n"/>
      <c r="F152" s="246" t="n"/>
      <c r="G152" s="254" t="inlineStr">
        <is>
          <t>current unit NAV</t>
        </is>
      </c>
      <c r="H152" s="242">
        <f>E148/H148</f>
        <v/>
      </c>
    </row>
    <row r="153" customFormat="1" s="188">
      <c r="A153" s="188" t="inlineStr">
        <is>
          <t>#ignore this line</t>
        </is>
      </c>
      <c r="C153" s="220" t="n"/>
      <c r="D153" s="254" t="n"/>
      <c r="E153" s="254" t="n"/>
      <c r="F153" s="246" t="n"/>
      <c r="G153" s="254" t="inlineStr">
        <is>
          <t>previous unit NAV</t>
        </is>
      </c>
      <c r="H153" s="242">
        <f>E149/H149</f>
        <v/>
      </c>
    </row>
    <row r="154" customFormat="1" s="188">
      <c r="A154" s="188" t="inlineStr">
        <is>
          <t>#ignore this line</t>
        </is>
      </c>
      <c r="C154" s="220" t="n"/>
      <c r="D154" s="238" t="inlineStr">
        <is>
          <t>Gross return</t>
        </is>
      </c>
      <c r="E154" s="245">
        <f>E150-H156+H158</f>
        <v/>
      </c>
      <c r="F154" s="248" t="n"/>
      <c r="G154" s="238" t="inlineStr">
        <is>
          <t>average price</t>
        </is>
      </c>
      <c r="H154" s="244">
        <f>AVERAGE(H152:H153)</f>
        <v/>
      </c>
    </row>
    <row r="155" customFormat="1" s="188">
      <c r="A155" s="188" t="inlineStr">
        <is>
          <t>#ignore this line</t>
        </is>
      </c>
      <c r="D155" s="238" t="inlineStr">
        <is>
          <t>Gross return in percent</t>
        </is>
      </c>
      <c r="E155" s="245">
        <f>E154/E149*100</f>
        <v/>
      </c>
      <c r="F155" s="247">
        <f>E155/2</f>
        <v/>
      </c>
      <c r="G155" s="254" t="n"/>
      <c r="H155" s="254" t="n"/>
    </row>
    <row r="156" customFormat="1" s="188">
      <c r="A156" s="188" t="inlineStr">
        <is>
          <t>#ignore this line</t>
        </is>
      </c>
      <c r="C156" s="220" t="n"/>
      <c r="D156" s="254" t="n"/>
      <c r="E156" s="254" t="n"/>
      <c r="F156" s="246" t="n"/>
      <c r="G156" s="241" t="inlineStr">
        <is>
          <t>Net in/out flow investments</t>
        </is>
      </c>
      <c r="H156" s="245">
        <f>H150*H154</f>
        <v/>
      </c>
    </row>
    <row r="157" customFormat="1" s="188">
      <c r="A157" s="188" t="inlineStr">
        <is>
          <t>#ignore this line</t>
        </is>
      </c>
      <c r="C157" s="220" t="n"/>
      <c r="D157" s="254" t="inlineStr">
        <is>
          <t>Operating expenses</t>
        </is>
      </c>
      <c r="E157" s="242">
        <f>1000000*1794</f>
        <v/>
      </c>
      <c r="F157" s="246" t="n"/>
      <c r="G157" s="254" t="n"/>
      <c r="H157" s="254" t="n"/>
    </row>
    <row r="158" customFormat="1" s="188">
      <c r="A158" s="188" t="inlineStr">
        <is>
          <t>#ignore this line</t>
        </is>
      </c>
      <c r="C158" s="220" t="n"/>
      <c r="D158" s="239" t="inlineStr">
        <is>
          <t>Net return</t>
        </is>
      </c>
      <c r="E158" s="245">
        <f>E154-E157</f>
        <v/>
      </c>
      <c r="F158" s="246" t="n"/>
      <c r="G158" s="188" t="inlineStr">
        <is>
          <t>Distributions</t>
        </is>
      </c>
      <c r="H158" s="242">
        <f>1000000*3476</f>
        <v/>
      </c>
    </row>
    <row r="159" customFormat="1" s="188">
      <c r="A159" s="188" t="inlineStr">
        <is>
          <t>#ignore this line</t>
        </is>
      </c>
      <c r="C159" s="220" t="n"/>
      <c r="D159" s="241" t="inlineStr">
        <is>
          <t>Net return in percent</t>
        </is>
      </c>
      <c r="E159" s="245">
        <f>E158/E149*100</f>
        <v/>
      </c>
      <c r="F159" s="247">
        <f>E159/2</f>
        <v/>
      </c>
      <c r="G159" s="254" t="n"/>
      <c r="H159" s="254" t="n"/>
      <c r="I159" s="249" t="inlineStr">
        <is>
          <t>per quarter</t>
        </is>
      </c>
    </row>
    <row r="160" customFormat="1" s="188">
      <c r="A160" s="188" t="inlineStr">
        <is>
          <t>#ignore this line</t>
        </is>
      </c>
      <c r="C160" s="220" t="n"/>
      <c r="D160" s="254" t="n"/>
      <c r="E160" s="254" t="n"/>
      <c r="F160" s="254" t="n"/>
      <c r="G160" s="195" t="inlineStr">
        <is>
          <t>Subscriptions</t>
        </is>
      </c>
      <c r="H160" s="243">
        <f>IF(H156&gt;0,H156,0)</f>
        <v/>
      </c>
      <c r="I160" s="250">
        <f>H160/2</f>
        <v/>
      </c>
    </row>
    <row r="161" customFormat="1" s="188">
      <c r="A161" s="188" t="inlineStr">
        <is>
          <t>#ignore this line</t>
        </is>
      </c>
      <c r="C161" s="220" t="n"/>
      <c r="D161" s="254" t="n"/>
      <c r="E161" s="254" t="n"/>
      <c r="F161" s="254" t="n"/>
      <c r="G161" s="195" t="inlineStr">
        <is>
          <t>Redemptions</t>
        </is>
      </c>
      <c r="H161" s="243">
        <f>IF(H156&lt;0,-H156,0)+H158</f>
        <v/>
      </c>
      <c r="I161" s="250">
        <f>H161/2</f>
        <v/>
      </c>
    </row>
    <row r="162" customFormat="1" s="188">
      <c r="C162" s="220" t="n"/>
      <c r="D162" s="254" t="n"/>
      <c r="E162" s="254" t="n"/>
      <c r="F162" s="254" t="n"/>
    </row>
    <row r="163" customFormat="1" s="184">
      <c r="A163" s="182" t="inlineStr">
        <is>
          <t>#STRESS_TEST</t>
        </is>
      </c>
      <c r="B163" s="182" t="inlineStr">
        <is>
          <t>Custom AIF Identification</t>
        </is>
      </c>
      <c r="C163" s="182" t="inlineStr">
        <is>
          <t>Results of stress tests performed in accordance with point(b) of Article 15(3)</t>
        </is>
      </c>
      <c r="D163" s="182" t="inlineStr">
        <is>
          <t>Results of stress tests performed in accordance with the second subparagraph of Article 16(1)</t>
        </is>
      </c>
      <c r="E163" s="251" t="n"/>
    </row>
    <row r="164">
      <c r="A164" s="185" t="inlineStr">
        <is>
          <t>#AIF fieldnumbers →</t>
        </is>
      </c>
      <c r="B164" s="191" t="inlineStr">
        <is>
          <t>AIF_ID</t>
        </is>
      </c>
      <c r="C164" s="185" t="n">
        <v>279</v>
      </c>
      <c r="D164" s="185" t="n">
        <v>280</v>
      </c>
    </row>
    <row r="165" customFormat="1" s="188">
      <c r="A165" s="208" t="inlineStr">
        <is>
          <t>STRESS_TEST</t>
        </is>
      </c>
      <c r="B165" s="208" t="inlineStr">
        <is>
          <t>Delta Value Fund</t>
        </is>
      </c>
      <c r="C165" s="138" t="inlineStr">
        <is>
          <t>Not applicable</t>
        </is>
      </c>
      <c r="D165" s="138" t="inlineStr">
        <is>
          <t>Not applicable</t>
        </is>
      </c>
    </row>
    <row r="166" customFormat="1" s="188">
      <c r="C166" s="139" t="n"/>
      <c r="D166" s="139" t="n"/>
    </row>
    <row r="167" customFormat="1" s="188">
      <c r="C167" s="139" t="n"/>
      <c r="D167" s="139" t="n"/>
    </row>
    <row r="168" customFormat="1" s="188">
      <c r="C168" s="139" t="n"/>
      <c r="D168" s="139" t="n"/>
    </row>
    <row r="169" customFormat="1" s="188">
      <c r="C169" s="139" t="n"/>
      <c r="D169" s="139" t="n"/>
    </row>
    <row r="170" customFormat="1" s="188">
      <c r="C170" s="139" t="n"/>
      <c r="D170" s="139" t="n"/>
    </row>
    <row r="171" customFormat="1" s="188">
      <c r="C171" s="139" t="n"/>
      <c r="D171" s="139" t="n"/>
    </row>
    <row r="172" customFormat="1" s="188">
      <c r="C172" s="139" t="n"/>
      <c r="D172" s="139" t="n"/>
    </row>
    <row r="173" customFormat="1" s="29">
      <c r="A173" s="182" t="inlineStr">
        <is>
          <t>#FINANCE</t>
        </is>
      </c>
      <c r="B173" s="182" t="inlineStr">
        <is>
          <t>Custom AIF Identification</t>
        </is>
      </c>
      <c r="C173" s="182" t="inlineStr">
        <is>
          <t>Rehypothecation flag</t>
        </is>
      </c>
      <c r="D173" s="182" t="inlineStr">
        <is>
          <t>Rehypothecated percentage of collateral amount posted to all counterparties</t>
        </is>
      </c>
      <c r="E173" s="182" t="inlineStr">
        <is>
          <t>Unsecured cash borrowing amount</t>
        </is>
      </c>
      <c r="F173" s="182" t="inlineStr">
        <is>
          <t>Collaterised/secured cash borrowing via prime broker amount</t>
        </is>
      </c>
      <c r="G173" s="182" t="inlineStr">
        <is>
          <t>Collaterised/secured cash borrowing via reverse repo amount</t>
        </is>
      </c>
      <c r="H173" s="182" t="inlineStr">
        <is>
          <t>Collaterised/secured cash borrowing via other amount</t>
        </is>
      </c>
      <c r="I173" s="182" t="inlineStr">
        <is>
          <t>Exchange traded derivatives exposure amount</t>
        </is>
      </c>
      <c r="J173" s="182" t="inlineStr">
        <is>
          <t>OTC derivatives exposure amount</t>
        </is>
      </c>
      <c r="K173" s="182" t="inlineStr">
        <is>
          <t>Short position borrowed securities value</t>
        </is>
      </c>
      <c r="L173" s="182" t="inlineStr">
        <is>
          <t>Leverage under gross method</t>
        </is>
      </c>
      <c r="M173" s="182" t="inlineStr">
        <is>
          <t>Leverage under commitment method</t>
        </is>
      </c>
    </row>
    <row r="174" customFormat="1" s="221">
      <c r="A174" s="185" t="inlineStr">
        <is>
          <t>#AIF fieldnumbers →</t>
        </is>
      </c>
      <c r="B174" s="191" t="inlineStr">
        <is>
          <t>AIF_ID</t>
        </is>
      </c>
      <c r="C174" s="185" t="n">
        <v>281</v>
      </c>
      <c r="D174" s="185" t="n">
        <v>282</v>
      </c>
      <c r="E174" s="185" t="n">
        <v>283</v>
      </c>
      <c r="F174" s="185" t="n">
        <v>284</v>
      </c>
      <c r="G174" s="185" t="n">
        <v>285</v>
      </c>
      <c r="H174" s="185" t="n">
        <v>286</v>
      </c>
      <c r="I174" s="185" t="n">
        <v>287</v>
      </c>
      <c r="J174" s="185" t="n">
        <v>288</v>
      </c>
      <c r="K174" s="185" t="n">
        <v>289</v>
      </c>
      <c r="L174" s="185" t="n">
        <v>294</v>
      </c>
      <c r="M174" s="185" t="n">
        <v>295</v>
      </c>
    </row>
    <row r="175" customFormat="1" s="188">
      <c r="D175" s="254" t="n"/>
      <c r="E175" s="254" t="n"/>
      <c r="F175" s="254" t="n"/>
      <c r="G175" s="254" t="n"/>
      <c r="H175" s="254" t="n"/>
      <c r="I175" s="254" t="n"/>
      <c r="J175" s="254" t="n"/>
      <c r="K175" s="254" t="n"/>
      <c r="L175" s="254" t="n"/>
      <c r="M175" s="254" t="n"/>
    </row>
    <row r="176" customFormat="1" s="188">
      <c r="D176" s="254" t="n"/>
      <c r="E176" s="254" t="n"/>
      <c r="F176" s="254" t="n"/>
      <c r="G176" s="254" t="n"/>
      <c r="H176" s="254" t="n"/>
      <c r="I176" s="254" t="n"/>
      <c r="J176" s="254" t="n"/>
      <c r="K176" s="254" t="n"/>
      <c r="L176" s="254" t="n"/>
      <c r="M176" s="254" t="n"/>
    </row>
    <row r="177" customFormat="1" s="188">
      <c r="D177" s="254" t="n"/>
      <c r="E177" s="254" t="n"/>
      <c r="F177" s="254" t="n"/>
      <c r="G177" s="254" t="n"/>
      <c r="H177" s="254" t="n"/>
      <c r="I177" s="254" t="n"/>
      <c r="J177" s="254" t="n"/>
      <c r="K177" s="254" t="n"/>
      <c r="L177" s="254" t="n"/>
      <c r="M177" s="254" t="n"/>
    </row>
    <row r="178" customFormat="1" s="188">
      <c r="D178" s="254" t="n"/>
      <c r="E178" s="254" t="n"/>
      <c r="F178" s="254" t="n"/>
      <c r="G178" s="254" t="n"/>
      <c r="H178" s="254" t="n"/>
      <c r="I178" s="254" t="n"/>
      <c r="J178" s="254" t="n"/>
      <c r="K178" s="254" t="n"/>
      <c r="L178" s="254" t="n"/>
      <c r="M178" s="254" t="n"/>
    </row>
    <row r="179" customFormat="1" s="188">
      <c r="D179" s="254" t="n"/>
      <c r="E179" s="254" t="n"/>
      <c r="F179" s="254" t="n"/>
      <c r="G179" s="254" t="n"/>
      <c r="H179" s="254" t="n"/>
      <c r="I179" s="254" t="n"/>
      <c r="J179" s="254" t="n"/>
      <c r="K179" s="254" t="n"/>
      <c r="L179" s="254" t="n"/>
      <c r="M179" s="254" t="n"/>
    </row>
    <row r="180" customFormat="1" s="188">
      <c r="D180" s="254" t="n"/>
      <c r="E180" s="254" t="n"/>
      <c r="F180" s="254" t="n"/>
      <c r="G180" s="254" t="n"/>
      <c r="H180" s="254" t="n"/>
      <c r="I180" s="254" t="n"/>
      <c r="J180" s="254" t="n"/>
      <c r="K180" s="254" t="n"/>
      <c r="L180" s="254" t="n"/>
      <c r="M180" s="254" t="n"/>
    </row>
    <row r="181" customFormat="1" s="188">
      <c r="D181" s="254" t="n"/>
      <c r="E181" s="254" t="n"/>
      <c r="F181" s="254" t="n"/>
      <c r="G181" s="254" t="n"/>
      <c r="H181" s="254" t="n"/>
      <c r="I181" s="254" t="n"/>
      <c r="J181" s="254" t="n"/>
      <c r="K181" s="254" t="n"/>
      <c r="L181" s="254" t="n"/>
      <c r="M181" s="254" t="n"/>
    </row>
    <row r="182">
      <c r="A182" s="182" t="inlineStr">
        <is>
          <t>#CONTROLLED_STRUCTURE</t>
        </is>
      </c>
      <c r="B182" s="182" t="inlineStr">
        <is>
          <t>Custom AIF Identification</t>
        </is>
      </c>
      <c r="C182" s="182" t="inlineStr">
        <is>
          <t>Controlled structure Name</t>
        </is>
      </c>
      <c r="D182" s="182" t="inlineStr">
        <is>
          <t>Controlled structure LEI code</t>
        </is>
      </c>
      <c r="E182" s="182" t="inlineStr">
        <is>
          <t>Controlled structure BIC code</t>
        </is>
      </c>
      <c r="F182" s="182" t="inlineStr">
        <is>
          <t>Controlled structure Exposure value</t>
        </is>
      </c>
    </row>
    <row r="183">
      <c r="A183" s="185" t="inlineStr">
        <is>
          <t>#AIF fieldnumbers →</t>
        </is>
      </c>
      <c r="B183" s="191" t="inlineStr">
        <is>
          <t>AIF_ID</t>
        </is>
      </c>
      <c r="C183" s="185" t="n">
        <v>290</v>
      </c>
      <c r="D183" s="185" t="n">
        <v>291</v>
      </c>
      <c r="E183" s="185" t="n">
        <v>292</v>
      </c>
      <c r="F183" s="185" t="n">
        <v>293</v>
      </c>
    </row>
    <row r="184" customFormat="1" s="188">
      <c r="F184" s="195" t="n"/>
    </row>
    <row r="185" customFormat="1" s="188">
      <c r="F185" s="195" t="n"/>
    </row>
    <row r="186" customFormat="1" s="188">
      <c r="F186" s="195" t="n"/>
    </row>
    <row r="187" customFormat="1" s="188">
      <c r="F187" s="195" t="n"/>
    </row>
    <row r="188" customFormat="1" s="188">
      <c r="F188" s="195" t="n"/>
    </row>
    <row r="189" customFormat="1" s="188">
      <c r="F189" s="195" t="n"/>
    </row>
    <row r="190" customFormat="1" s="188">
      <c r="F190" s="195" t="n"/>
    </row>
    <row r="191">
      <c r="A191" s="182" t="inlineStr">
        <is>
          <t>#BORROW_SOURCE</t>
        </is>
      </c>
      <c r="B191" s="182" t="inlineStr">
        <is>
          <t>Custom AIF Identification</t>
        </is>
      </c>
      <c r="C191" s="182" t="inlineStr">
        <is>
          <t>Name of the source</t>
        </is>
      </c>
      <c r="D191" s="182" t="inlineStr">
        <is>
          <t>LEI code of the source</t>
        </is>
      </c>
      <c r="E191" s="182" t="inlineStr">
        <is>
          <t>BIC code of the source</t>
        </is>
      </c>
      <c r="F191" s="182" t="inlineStr">
        <is>
          <t>Received leverage amount</t>
        </is>
      </c>
    </row>
    <row r="192">
      <c r="A192" s="185" t="inlineStr">
        <is>
          <t>#AIF fieldnumbers →</t>
        </is>
      </c>
      <c r="B192" s="191" t="inlineStr">
        <is>
          <t>AIF_ID</t>
        </is>
      </c>
      <c r="C192" s="185" t="n">
        <v>298</v>
      </c>
      <c r="D192" s="185" t="n">
        <v>299</v>
      </c>
      <c r="E192" s="185" t="n">
        <v>300</v>
      </c>
      <c r="F192" s="185" t="n">
        <v>301</v>
      </c>
    </row>
    <row r="193" customFormat="1" s="188">
      <c r="B193" s="208" t="n"/>
      <c r="F193" s="195" t="n"/>
    </row>
    <row r="194" customFormat="1" s="188">
      <c r="B194" s="208" t="n"/>
      <c r="F194" s="195" t="n"/>
    </row>
    <row r="195" customFormat="1" s="188">
      <c r="B195" s="208" t="n"/>
      <c r="F195" s="195" t="n"/>
    </row>
    <row r="196" customFormat="1" s="188">
      <c r="B196" s="208" t="n"/>
      <c r="F196" s="195" t="n"/>
    </row>
    <row r="197" customFormat="1" s="188">
      <c r="B197" s="208" t="n"/>
      <c r="F197" s="195" t="n"/>
    </row>
    <row r="198" customFormat="1" s="188">
      <c r="B198" s="208" t="n"/>
      <c r="F198" s="195" t="n"/>
    </row>
    <row r="199" customFormat="1" s="188">
      <c r="B199" s="208" t="n"/>
      <c r="F199" s="195" t="n"/>
    </row>
    <row r="200" customFormat="1" s="188">
      <c r="B200" s="208" t="n"/>
      <c r="F200" s="195" t="n"/>
    </row>
    <row r="201" customFormat="1" s="188">
      <c r="B201" s="208" t="n"/>
      <c r="F201" s="195" t="n"/>
    </row>
    <row r="202" customFormat="1" s="188">
      <c r="B202" s="208" t="n"/>
      <c r="F202" s="195" t="n"/>
    </row>
    <row r="203" customFormat="1" s="188">
      <c r="B203" s="208" t="n"/>
      <c r="F203" s="195" t="n"/>
    </row>
    <row r="204" customFormat="1" s="188">
      <c r="B204" s="208" t="n"/>
      <c r="F204" s="195" t="n"/>
    </row>
    <row r="205" customFormat="1" s="188">
      <c r="B205" s="208" t="n"/>
      <c r="F205" s="195" t="n"/>
    </row>
    <row r="206" customFormat="1" s="188">
      <c r="B206" s="208" t="n"/>
      <c r="F206" s="195" t="n"/>
    </row>
    <row r="207" customFormat="1" s="188">
      <c r="B207" s="208" t="n"/>
      <c r="F207" s="195" t="n"/>
    </row>
    <row r="208" customFormat="1" s="223">
      <c r="A208" s="222" t="inlineStr">
        <is>
          <t>#END OF REGULAR TEMPLATE</t>
        </is>
      </c>
      <c r="B208" s="222" t="n"/>
      <c r="C208" s="222" t="n"/>
      <c r="D208" s="222" t="n"/>
      <c r="E208" s="222" t="inlineStr">
        <is>
          <t>#END OF REGULAR TEMPLATE</t>
        </is>
      </c>
      <c r="F208" s="222" t="n"/>
      <c r="G208" s="222" t="n"/>
      <c r="H208" s="222" t="n"/>
      <c r="I208" s="222" t="n"/>
      <c r="J208" s="222" t="inlineStr">
        <is>
          <t>#END OF REGULAR TEMPLATE</t>
        </is>
      </c>
      <c r="K208" s="222" t="n"/>
      <c r="L208" s="222" t="n"/>
      <c r="M208" s="222" t="n"/>
      <c r="N208" s="222" t="n"/>
      <c r="P208" s="222" t="inlineStr">
        <is>
          <t>#END OF REGULAR TEMPLATE</t>
        </is>
      </c>
    </row>
    <row r="209"/>
    <row r="210">
      <c r="A210" s="182" t="inlineStr">
        <is>
          <t>#CUSTOM_FX_RATE</t>
        </is>
      </c>
      <c r="B210" s="182" t="inlineStr">
        <is>
          <t>Value Date</t>
        </is>
      </c>
      <c r="C210" s="182" t="inlineStr">
        <is>
          <t>Currency</t>
        </is>
      </c>
      <c r="D210" s="182" t="inlineStr">
        <is>
          <t>Currency / EUR FX rate</t>
        </is>
      </c>
      <c r="E210" s="182" t="inlineStr">
        <is>
          <t>Rate type</t>
        </is>
      </c>
      <c r="F210" s="182" t="inlineStr">
        <is>
          <t>Description</t>
        </is>
      </c>
    </row>
    <row r="211">
      <c r="A211" s="185" t="inlineStr">
        <is>
          <t>#AIF fieldnumbers →</t>
        </is>
      </c>
      <c r="B211" s="185" t="inlineStr">
        <is>
          <t>FX_DATE</t>
        </is>
      </c>
      <c r="C211" s="185" t="n">
        <v>49</v>
      </c>
      <c r="D211" s="185" t="n">
        <v>50</v>
      </c>
      <c r="E211" s="185" t="n">
        <v>51</v>
      </c>
      <c r="F211" s="185" t="n">
        <v>52</v>
      </c>
    </row>
    <row r="212" customFormat="1" s="188">
      <c r="A212" s="188" t="inlineStr">
        <is>
          <t>#ignore this line</t>
        </is>
      </c>
      <c r="B212" s="235" t="inlineStr">
        <is>
          <t>2024-12-31</t>
        </is>
      </c>
      <c r="C212" s="188" t="inlineStr">
        <is>
          <t>HKD</t>
        </is>
      </c>
      <c r="D212" s="224" t="n"/>
      <c r="E212" s="188" t="inlineStr">
        <is>
          <t>ECB</t>
        </is>
      </c>
      <c r="F212" s="139" t="n"/>
    </row>
    <row r="213" customFormat="1" s="188">
      <c r="B213" s="235" t="n"/>
      <c r="D213" s="224" t="n"/>
      <c r="F213" s="139" t="n"/>
    </row>
    <row r="214" customFormat="1" s="188">
      <c r="B214" s="235" t="n"/>
      <c r="D214" s="224" t="n"/>
      <c r="F214" s="139" t="n"/>
    </row>
    <row r="215" customFormat="1" s="188">
      <c r="B215" s="235" t="n"/>
      <c r="D215" s="224" t="n"/>
      <c r="F215" s="139" t="n"/>
    </row>
    <row r="216" customFormat="1" s="188">
      <c r="B216" s="235" t="n"/>
      <c r="D216" s="224" t="n"/>
      <c r="F216" s="139" t="n"/>
    </row>
    <row r="217">
      <c r="A217" s="182" t="inlineStr">
        <is>
          <t>#AIF_EXTERNAL</t>
        </is>
      </c>
      <c r="B217" s="182" t="inlineStr">
        <is>
          <t>Custom AIF Identification</t>
        </is>
      </c>
      <c r="C217" s="183" t="inlineStr">
        <is>
          <t>Reporting Period Start Date (Legacy)</t>
        </is>
      </c>
      <c r="D217" s="183" t="inlineStr">
        <is>
          <t>Reporting Period End Date (Legacy)</t>
        </is>
      </c>
      <c r="E217" s="183" t="inlineStr">
        <is>
          <t>(Legacy) Reporting Period Type</t>
        </is>
      </c>
      <c r="F217" s="183" t="inlineStr">
        <is>
          <t>(Legacy) Reporting Period Year</t>
        </is>
      </c>
      <c r="G217" s="182" t="inlineStr">
        <is>
          <t>Base currency of the AIF</t>
        </is>
      </c>
      <c r="H217" s="182" t="inlineStr">
        <is>
          <t>Total AuM amount of the AIF in base currency</t>
        </is>
      </c>
    </row>
    <row r="218">
      <c r="A218" s="185" t="inlineStr">
        <is>
          <t>#AIF fieldnumbers →</t>
        </is>
      </c>
      <c r="B218" s="191" t="inlineStr">
        <is>
          <t>AIF_ID</t>
        </is>
      </c>
      <c r="C218" s="185" t="n">
        <v>6</v>
      </c>
      <c r="D218" s="185" t="n">
        <v>7</v>
      </c>
      <c r="E218" s="185" t="n">
        <v>8</v>
      </c>
      <c r="F218" s="185" t="n">
        <v>9</v>
      </c>
      <c r="G218" s="185" t="n">
        <v>49</v>
      </c>
      <c r="H218" s="185" t="n">
        <v>48</v>
      </c>
    </row>
    <row r="219" customFormat="1" s="188">
      <c r="B219" s="192" t="n"/>
      <c r="F219" s="189" t="n"/>
      <c r="H219" s="195" t="n"/>
    </row>
    <row r="220" customFormat="1" s="188">
      <c r="B220" s="192" t="n"/>
      <c r="F220" s="189" t="n"/>
      <c r="H220" s="195" t="n"/>
    </row>
    <row r="221" customFormat="1" s="188">
      <c r="B221" s="192" t="n"/>
      <c r="F221" s="189" t="n"/>
      <c r="H221" s="195" t="n"/>
    </row>
    <row r="222" customFormat="1" s="188">
      <c r="B222" s="192" t="n"/>
      <c r="F222" s="189" t="n"/>
      <c r="H222" s="195" t="n"/>
    </row>
    <row r="223">
      <c r="A223" s="182" t="inlineStr">
        <is>
          <t>#POSITION_EXTERNAL</t>
        </is>
      </c>
      <c r="B223" s="182" t="inlineStr">
        <is>
          <t>Custom AIF Identification</t>
        </is>
      </c>
      <c r="C223" s="182" t="inlineStr">
        <is>
          <t>Sub-Asset Type</t>
        </is>
      </c>
      <c r="D223" s="182" t="inlineStr">
        <is>
          <t>Market Type Code</t>
        </is>
      </c>
      <c r="E223" s="182" t="inlineStr">
        <is>
          <t xml:space="preserve">Market Identifier Code (MIC) </t>
        </is>
      </c>
      <c r="F223" s="182" t="inlineStr">
        <is>
          <t>Position value (Article 2 AIFMD)</t>
        </is>
      </c>
    </row>
    <row r="224">
      <c r="A224" s="185" t="inlineStr">
        <is>
          <t>#AIF fieldnumbers →</t>
        </is>
      </c>
      <c r="B224" s="191" t="inlineStr">
        <is>
          <t>AIF_ID</t>
        </is>
      </c>
      <c r="C224" s="185" t="n">
        <v>65</v>
      </c>
      <c r="D224" s="200" t="inlineStr">
        <is>
          <t>106, 115</t>
        </is>
      </c>
      <c r="E224" s="200" t="inlineStr">
        <is>
          <t>69, 107, 116</t>
        </is>
      </c>
      <c r="F224" s="200" t="inlineStr">
        <is>
          <t>48, 76, 86-93, 98, 108, 117, 123-124, 129-130</t>
        </is>
      </c>
    </row>
    <row r="225" customFormat="1" s="188">
      <c r="B225" s="208" t="n"/>
      <c r="C225" s="198" t="n"/>
      <c r="E225" s="189" t="n"/>
      <c r="F225" s="202" t="n"/>
    </row>
    <row r="226" customFormat="1" s="188">
      <c r="B226" s="208" t="n"/>
      <c r="C226" s="198" t="n"/>
      <c r="E226" s="189" t="n"/>
      <c r="F226" s="202" t="n"/>
    </row>
    <row r="227" customFormat="1" s="188">
      <c r="B227" s="208" t="n"/>
      <c r="C227" s="198" t="n"/>
      <c r="E227" s="189" t="n"/>
      <c r="F227" s="202" t="n"/>
    </row>
    <row r="228" customFormat="1" s="188">
      <c r="B228" s="208" t="n"/>
      <c r="C228" s="198" t="n"/>
      <c r="E228" s="189" t="n"/>
      <c r="F228" s="202" t="n"/>
    </row>
    <row r="229" customFormat="1" s="188">
      <c r="B229" s="208" t="n"/>
      <c r="C229" s="198" t="n"/>
      <c r="E229" s="189" t="n"/>
      <c r="F229" s="202" t="n"/>
    </row>
    <row r="230" customFormat="1" s="188">
      <c r="B230" s="208" t="n"/>
      <c r="C230" s="198" t="n"/>
      <c r="E230" s="189" t="n"/>
      <c r="F230" s="202" t="n"/>
    </row>
    <row r="231" customFormat="1" s="188">
      <c r="B231" s="208" t="n"/>
      <c r="C231" s="198" t="n"/>
      <c r="E231" s="189" t="n"/>
      <c r="F231" s="202" t="n"/>
    </row>
    <row r="232" customFormat="1" s="188">
      <c r="B232" s="208" t="n"/>
      <c r="C232" s="198" t="n"/>
      <c r="E232" s="189" t="n"/>
      <c r="F232" s="202" t="n"/>
    </row>
    <row r="233" customFormat="1" s="226">
      <c r="A233" s="225" t="inlineStr">
        <is>
          <t>#END OF  TEMPLATE</t>
        </is>
      </c>
      <c r="B233" s="225" t="n"/>
      <c r="C233" s="225" t="n"/>
      <c r="D233" s="225" t="n"/>
      <c r="E233" s="225" t="inlineStr">
        <is>
          <t>#END OF  TEMPLATE</t>
        </is>
      </c>
      <c r="F233" s="225" t="n"/>
      <c r="G233" s="225" t="n"/>
      <c r="H233" s="225" t="n"/>
      <c r="I233" s="225" t="n"/>
      <c r="J233" s="225" t="inlineStr">
        <is>
          <t>#END OF  TEMPLATE</t>
        </is>
      </c>
      <c r="K233" s="225" t="n"/>
      <c r="L233" s="225" t="n"/>
      <c r="M233" s="225" t="n"/>
      <c r="N233" s="225" t="n"/>
      <c r="P233" s="225" t="inlineStr">
        <is>
          <t>#END OF  TEMPLATE</t>
        </is>
      </c>
    </row>
  </sheetData>
  <mergeCells count="2">
    <mergeCell ref="A4:B4"/>
    <mergeCell ref="A6:B6"/>
  </mergeCells>
  <dataValidations xWindow="3134" yWindow="1020" count="206">
    <dataValidation sqref="C175:C181" showDropDown="0" showInputMessage="1" showErrorMessage="1" allowBlank="1" promptTitle="Mandatory" prompt="Flag indicating whether the contract between the AIFM and the counterparty allow the counterparty to re-hypothecate collateral for a given AIF._x000a_true when the contract allows, false otherwise." type="list">
      <formula1>YesNo</formula1>
    </dataValidation>
    <dataValidation sqref="C225:C232" showDropDown="0" showInputMessage="1" showErrorMessage="1" allowBlank="1" promptTitle="Mandatory" prompt="See Annex II table 1 for more information" type="list">
      <formula1>Fund65</formula1>
    </dataValidation>
    <dataValidation sqref="A12" showDropDown="0" showInputMessage="1" showErrorMessage="1" allowBlank="1" promptTitle="Mandatory" prompt="This describes the manager. Only one AIFM record allowed."/>
    <dataValidation sqref="A175:A181" showDropDown="0" showInputMessage="1" showErrorMessage="1" allowBlank="1" promptTitle="Conditional" prompt="The FINANCE record is mandatory for AIFs with content type 2, 4 and 5, and forbidden otherwise._x000a_Filled in with default values by the Matterhorn software if mandatory and not present." type="list">
      <formula1>"FINANCE,#ignore this line"</formula1>
    </dataValidation>
    <dataValidation sqref="K175:K181" showDropDown="0" showInputMessage="1" showErrorMessage="1" allowBlank="1" promptTitle="Optional" prompt="Value of securities borrowed for short positions._x000a__x000a_Amount expressed in base currency."/>
    <dataValidation sqref="L175:L181" showDropDown="0" showInputMessage="1" showErrorMessage="1" allowBlank="1" promptTitle="Optional" prompt="Leverage value of the AIF under gross method espressed as a percentage of the NAV._x000a__x000a_If empty, (AuM-Cash in base currency)/NAV*100 is used._x000a__x000a_Expressed as a percentage (entered here as a number, e.g. enter 1.23% as 1.23)."/>
    <dataValidation sqref="M175:M181" showDropDown="0" showInputMessage="1" showErrorMessage="1" allowBlank="1" promptTitle="Optional" prompt="Leverage value of the AIF under commitment method espressed as a percentage of the NAV._x000a__x000a_If empty, AuM/NAV*100 is used._x000a__x000a_Expressed as a percentage (entered here as a number, e.g. enter 1.23% as 1.23)."/>
    <dataValidation sqref="A46:A50" showDropDown="0" showInputMessage="1" showErrorMessage="1" allowBlank="1" promptTitle="Conditional" prompt="SHARE_CLASS record only required for AIFs in case of multiple share classes per AIF_x000a__x000a_For all content types" type="list">
      <formula1>"SHARE_CLASS,#ignore this line"</formula1>
    </dataValidation>
    <dataValidation sqref="C91:C97" showDropDown="0" showInputMessage="1" showErrorMessage="1" allowBlank="1" promptTitle="Mandatory" prompt="The Risk Measure Type, one of:_x000a_NET_EQTY_DELTA_x000a_NET_DV01_x000a_NET_CS01_x000a_VEGA_EXPO_x000a_VAR _x000a_NET_FX_DELTA _x000a_NET_CTY_DELTA " type="list">
      <formula1>Fund138</formula1>
    </dataValidation>
    <dataValidation sqref="K91:K97" showDropDown="0" showInputMessage="1" showErrorMessage="1" allowBlank="1" promptTitle="Conditional" prompt="Mandatory for Risk Measure Type [138] equal to &quot;VAR&quot;,_x000a_forbidden otherwise._x000a__x000a_Expressed as a percentage (entered here as a number, e.g. enter 1.23% as 1.23)."/>
    <dataValidation sqref="L91:L97" showDropDown="0" showInputMessage="1" showErrorMessage="1" allowBlank="1" promptTitle="Conditional" prompt="Allowed values are:_x000a_- HISTO for Historical simulation,_x000a_- CARLO for Monte Carlo simulation,_x000a_- PARAM for Parametric._x000a__x000a_Mandatory for Risk Measure Type [138] equal to &quot;VAR&quot;,_x000a_forbidden otherwise." type="list">
      <formula1>Fund146</formula1>
    </dataValidation>
    <dataValidation sqref="M91:M97" showDropDown="0" showInputMessage="1" showErrorMessage="1" allowBlank="1" promptTitle="Conditional" prompt="Free description._x000a__x000a_Mandatory when any Risk Measure Value [139-145, 302] is 0,_x000a_optional otherwise."/>
    <dataValidation sqref="C121:C126 C219:D222 D12 D62:D75 D100:D104 E30:F31 F100:F104 F219:F222 H30:H31 I129:I130 N29:N31 O12 Z29:Z31" showDropDown="0" showInputMessage="1" showErrorMessage="1" allowBlank="1" promptTitle="Legacy, not needed anymore." prompt="Legacy, not needed anymore."/>
    <dataValidation sqref="C39:C43" showDropDown="0" showInputMessage="1" showErrorMessage="1" allowBlank="1" promptTitle="Mandatory" prompt="AIF report:_x000a_Question number (also known as the Field number) this assumption refers to."/>
    <dataValidation sqref="D39:D43" showDropDown="0" showInputMessage="1" showErrorMessage="1" allowBlank="1" promptTitle="Mandatory" prompt="AIF report:_x000a_Free description for assumption."/>
    <dataValidation sqref="A20:A24" showDropDown="0" showInputMessage="1" showErrorMessage="1" allowBlank="1" promptTitle="Optional" prompt="AIFM_ASSUMPTION only required to if you want to list assumption on the AIFM report" type="list">
      <formula1>"AIFM_ASSUMPTION,#ignore this line"</formula1>
    </dataValidation>
    <dataValidation sqref="B16 C34:C36" showDropDown="0" showInputMessage="1" showErrorMessage="1" allowBlank="1" promptTitle="Mandatory" prompt="Country code of the State to which the AIFM reports the AIFMD reporting. Must be in EU/EEA or GB, GG or JE._x000a__x000a_2-character ISO-3166-1 country code." type="list">
      <formula1>EEC</formula1>
    </dataValidation>
    <dataValidation sqref="F12" showDropDown="0" showInputMessage="1" showErrorMessage="1" allowBlank="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type="list">
      <formula1>Both8</formula1>
    </dataValidation>
    <dataValidation sqref="G12" showDropDown="0" showInputMessage="1" showErrorMessage="1" allowBlank="1" promptTitle="Mandatory" prompt="Reporting Year" type="list">
      <formula1>Both9</formula1>
    </dataValidation>
    <dataValidation sqref="H12" showDropDown="0" showInputMessage="1" showErrorMessage="1" allowBlank="1" promptTitle="Optional" prompt="See Annex II - Table 8 and 10 on our Reporting Application Help menu." type="list">
      <formula1>Both10</formula1>
    </dataValidation>
    <dataValidation sqref="C12" showDropDown="0" showInputMessage="1" showErrorMessage="1" allowBlank="1" promptTitle="Mandatory" prompt="Code indicating the contents of the AIFM reporting._x000a_  - 1 for &quot;24(1) for all AIFs managed&quot;_x000a_  - 2 for &quot;3(3)(d) all AIFs managed&quot; (light)_x000a_  - 3 for &quot;24(1) all AIFs marketed in the Member State&quot;" type="list">
      <formula1>Manager5</formula1>
    </dataValidation>
    <dataValidation sqref="B12 C29:C31" showDropDown="0" showInputMessage="1" showErrorMessage="1" allowBlank="1" promptTitle="Optional" prompt="- AMND for &quot;amendment to one reporting previously submitted&quot;,_x000a_- CANCEL for Cancellation,_x000a_- INIT or empty for &quot;initial reporting for the reporting period&quot;." type="list">
      <formula1>Both4</formula1>
    </dataValidation>
    <dataValidation sqref="A91:A97" showDropDown="0" showInputMessage="1" showErrorMessage="1" allowBlank="1" promptTitle="Conditional" prompt="The RISK record is optional for AIFs with content type 2 and 4, and forbidden otherwise." type="list">
      <formula1>"RISK,#ignore this line"</formula1>
    </dataValidation>
    <dataValidation sqref="I12" showDropDown="0" showInputMessage="1" showErrorMessage="1" allowBlank="1" promptTitle="Optional" prompt="See Annex II - Table 8 on our Reporting Application Help menu." type="list">
      <formula1>Manager11</formula1>
    </dataValidation>
    <dataValidation sqref="J12 K30:K31" showDropDown="0" showInputMessage="1" showErrorMessage="1" allowBlank="1" promptTitle="Conditional" prompt="See Annex II - Table 10 on our Reporting Application Help menu._x000a__x000a_Only populate when fields 10 or 11 are filled in." type="list">
      <formula1>Both12</formula1>
    </dataValidation>
    <dataValidation sqref="K12" showDropDown="0" showInputMessage="1" showErrorMessage="1" allowBlank="1" promptTitle="Optional" prompt="Flag indicating whether the reporting is the last reporting. To be filled in when the AIFM has been liquidated or merged during the reporting period._x000a_yes for last AIFM reporting file,_x000a_no or empty otherwise." type="list">
      <formula1>YesNo</formula1>
    </dataValidation>
    <dataValidation sqref="L12" showDropDown="0" showInputMessage="1" showErrorMessage="1" allowBlank="1" promptTitle="Mandatory" prompt="See tab: #DOC Reporting Code" type="list">
      <formula1>Manager16</formula1>
    </dataValidation>
    <dataValidation sqref="M12" showDropDown="0" showInputMessage="1" showErrorMessage="1" allowBlank="1" promptTitle="Mandatory" prompt="Jurisdiction in which the AIFM is established._x000a__x000a_2-character ISO-3166-1 country code." type="list">
      <formula1>AllCountries</formula1>
    </dataValidation>
    <dataValidation sqref="N12" showDropDown="0" showInputMessage="1" showErrorMessage="1" allowBlank="1" promptTitle="Mandatory" prompt="Alternative Investment Fund manager name. (no standard)_x000a_It is strongly recommended to provide the full name corresponding to the allocated LEI code (or BIC code if any and LEI not available)."/>
    <dataValidation sqref="P12" showDropDown="0" showInputMessage="1" showErrorMessage="1" allowBlank="1" promptTitle="Optional" prompt="Flag indicating whether the AIFM does not have any information to report on AIFs._x000a_yes for nothing to report,_x000a_no or empty otherwise." type="list">
      <formula1>YesNo</formula1>
    </dataValidation>
    <dataValidation sqref="Q12 S29:S31" showDropDown="0" showInputMessage="1" showErrorMessage="1" allowBlank="1" promptTitle="Conditional" prompt="Mandatory when present in www.gleif.org"/>
    <dataValidation sqref="R12" showDropDown="0" showInputMessage="1" showErrorMessage="1" allowBlank="1" promptTitle="Optional" prompt="11 Character BIC code of the AIFM itself, not of the bank of the AIFM."/>
    <dataValidation sqref="G219:G222 AA29:AA31" showDropDown="0" showInputMessage="1" showErrorMessage="1" allowBlank="1" promptTitle="Mandatory" prompt="Base currency of the AIF" type="list">
      <formula1>AllCur</formula1>
    </dataValidation>
    <dataValidation sqref="B34:B36 B86:B88 B100:B104 B113:B118 B121:B126 B129:B130 B133:B134 B136 B145:B162 B175:B181" showDropDown="0" showInputMessage="1" showErrorMessage="1" allowBlank="1" promptTitle="Mandatory" prompt="Unique AIF id to which this record applies.  _x000a__x000a_Add new AIFs in the AIF section._x000a_" type="list">
      <formula1>AIF_ID</formula1>
    </dataValidation>
    <dataValidation sqref="F225:F232 O62:O75 P62:P71" showDropDown="0" showInputMessage="1" showErrorMessage="1" allowBlank="1" promptTitle="Mandatory" prompt="Position value expressed in base currency (as calculated under Article 2 AIFMD)._x000a__x000a_Value cannot be negative."/>
    <dataValidation sqref="B39:B43 B46:B50 B53:B54 B57:B59 B62:B75 B80:B83 B91:B97 B107:B110 B139:B142 B165:B172 B184:B190 B193:B207" showDropDown="0" showInputMessage="1" showErrorMessage="1" allowBlank="1" promptTitle="Mandatory" prompt="Unique AIF id to which this record applies.  _x000a__x000a_Add new AIFs in the AIF section." type="list">
      <formula1>AIF_ID</formula1>
    </dataValidation>
    <dataValidation sqref="B20:B24" showDropDown="0" showInputMessage="1" showErrorMessage="1" allowBlank="1" promptTitle="Mandatory" prompt="AIFM report:_x000a_Question number (also known as the Field number) this assumption refers to."/>
    <dataValidation sqref="C20:C24" showDropDown="0" showInputMessage="1" showErrorMessage="1" allowBlank="1" promptTitle="Mandatory" prompt="AIFM report:_x000a_Free description for assumption."/>
    <dataValidation sqref="D175:D181" showDropDown="0" showInputMessage="1" showErrorMessage="1" allowBlank="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dataValidation sqref="E175:E181" showDropDown="0" showInputMessage="1" showErrorMessage="1" allowBlank="1" promptTitle="Optional" prompt="Value of borrowings of cash or securities by unsecured cash borrowing. _x000a__x000a_Amount expressed in base currency."/>
    <dataValidation sqref="F175:F181" showDropDown="0" showInputMessage="1" showErrorMessage="1" allowBlank="1" promptTitle="Optional" prompt="Value of borrowings of cash or securities by collateralised/secured cash borrowing - via prime broker._x000a__x000a_Amount expressed in base currency."/>
    <dataValidation sqref="G175:G181" showDropDown="0" showInputMessage="1" showErrorMessage="1" allowBlank="1" promptTitle="Optional" prompt="Value of borrowings of cash or securities by collateralised/secured cash borrowing - via reverse repo._x000a__x000a_Amount expressed in base currency."/>
    <dataValidation sqref="H175:H181" showDropDown="0" showInputMessage="1" showErrorMessage="1" allowBlank="1" promptTitle="Optional" prompt="Value of borrowings of cash or securities by collateralised/secured cash borrowing - via other._x000a__x000a_Amount expressed in base currency."/>
    <dataValidation sqref="I175:I181" showDropDown="0" showInputMessage="1" showErrorMessage="1" allowBlank="1" promptTitle="Optional" prompt="Value of borrowing embedded in financial instruments by exchange traded derivatives (gross exposure less margin posted).  _x000a__x000a_Amount expressed in base currency."/>
    <dataValidation sqref="J175:J181" showDropDown="0" showInputMessage="1" showErrorMessage="1" allowBlank="1" promptTitle="Optional" prompt="Value of borrowing embedded in financial instruments by OTC derivatives (gross exposure less margin posted)._x000a__x000a_Amount expressed in base currency."/>
    <dataValidation sqref="A193:A207" showDropDown="0" showInputMessage="1" showErrorMessage="1" allowBlank="1" promptTitle="Conditional" prompt="The BORROW_SOURCE record is optional for AIFs with content type 4 and 5, and forbidden otherwise." type="list">
      <formula1>"BORROW_SOURCE,#ignore this line"</formula1>
    </dataValidation>
    <dataValidation sqref="C193:C207" showDropDown="0" showInputMessage="1" showErrorMessage="1" allowBlank="1" promptTitle="Mandatory" prompt="Entity name (no standard).  It is strongly recommended to provide the full name corresponding to the allocated LEI code (or BIC code if any and LEI not available)."/>
    <dataValidation sqref="D193:D207" showDropDown="0" showInputMessage="1" showErrorMessage="1" allowBlank="1" promptTitle="Optional" prompt="LEI Code borrow source"/>
    <dataValidation sqref="E193:E207" showDropDown="0" showInputMessage="1" showErrorMessage="1" allowBlank="1" promptTitle="Optional" prompt="11 Character BIC code (ISO 9362 standard)"/>
    <dataValidation sqref="F193:F207" showDropDown="0" showInputMessage="1" showErrorMessage="1" allowBlank="1" promptTitle="Mandatory" prompt="Received leverage amount expressed in base currency."/>
    <dataValidation sqref="C184:C190" showDropDown="0" showInputMessage="1" showErrorMessage="1" allowBlank="1" promptTitle="Mandatory" prompt="Entity name (no standard). It is strongly recommended to provide the full name corresponding to the allocated LEI code (or BIC code if any and LEI not available)."/>
    <dataValidation sqref="D184:D190" showDropDown="0" showInputMessage="1" showErrorMessage="1" allowBlank="1" promptTitle="Optional" prompt="LEI code of controlled structure"/>
    <dataValidation sqref="E184:E190" showDropDown="0" showInputMessage="1" showErrorMessage="1" allowBlank="1" promptTitle="Optional" prompt="11 Character BIC  code of controlled structure"/>
    <dataValidation sqref="F184:F190" showDropDown="0" showInputMessage="1" showErrorMessage="1" allowBlank="1" promptTitle="Mandatory" prompt="Gross exposure of financial and/or legal structures controlled by the AIF as defined in Recital 78 of the AIFMD expressed in base currency."/>
    <dataValidation sqref="H46:H50" showDropDown="0" showInputMessage="1" showErrorMessage="1" allowBlank="1" promptTitle="Optional" prompt="Where available, the Reuters Identifier Code (RIC) identifying each share class."/>
    <dataValidation sqref="I46:I50" showDropDown="0" showInputMessage="1" showErrorMessage="1" allowBlank="1" promptTitle="Mandatory" prompt="The name of the share class."/>
    <dataValidation sqref="A39:A43" showDropDown="0" showInputMessage="1" showErrorMessage="1" allowBlank="1" promptTitle="Optional" prompt="AIF_ASSUMPTION record only required for AIFs if you want to list assumption on the AIF report" type="list">
      <formula1>"AIF_ASSUMPTION,#ignore this line"</formula1>
    </dataValidation>
    <dataValidation sqref="A184:A190" showDropDown="0" showInputMessage="1" showErrorMessage="1" allowBlank="1" promptTitle="Conditional" prompt="The CONTROLLED_STRUCTURE record is optional for AIFs with content type 2, 4 and 5, and forbidden otherwise." type="list">
      <formula1>"CONTROLLED_STRUCTURE,#ignore this line"</formula1>
    </dataValidation>
    <dataValidation sqref="A225:A232" showDropDown="0" showInputMessage="1" showErrorMessage="1" allowBlank="1" promptTitle="Optional" prompt="POSITION_EXTERNAL record contains positions of an External AIF at end of the reporting period. _x000a__x000a_Only used to import data from AIF managed by 3rd party._x000a__x000a_Used on form AIFM 24(1)." type="list">
      <formula1>"POSITION_EXTERNAL,#ignore this line"</formula1>
    </dataValidation>
    <dataValidation sqref="C46:C50" showDropDown="0" showInputMessage="1" showErrorMessage="1" allowBlank="1" promptTitle="Optional" prompt="Where available, unique reference allocated by the national competent authority to which the AIFM reports under AIFMD identifying each share class."/>
    <dataValidation sqref="D46:D50" showDropDown="0" showInputMessage="1" showErrorMessage="1" allowBlank="1" promptTitle="Optional" prompt="Where available, the ISIN code (ISO 6166 standard) identifying each share class."/>
    <dataValidation sqref="F46:F50" showDropDown="0" showInputMessage="1" showErrorMessage="1" allowBlank="1" promptTitle="Optional" prompt="Where available, the CUSIP code identifying each share class."/>
    <dataValidation sqref="E46:E50" showDropDown="0" showInputMessage="1" showErrorMessage="1" allowBlank="1" promptTitle="Optional" prompt="Where available, the SEDOL code identifying each share class."/>
    <dataValidation sqref="G46:G50" showDropDown="0" showInputMessage="1" showErrorMessage="1" allowBlank="1" promptTitle="Optional" prompt="Where available, the Bloomberg ticker symbol identifying each share class."/>
    <dataValidation sqref="A16" showDropDown="0" showInputMessage="1" showErrorMessage="1" allowBlank="1" promptTitle="Mandatory" prompt="create one AIFM_NATIONAL_CODE record per NCA (regulator)" type="list">
      <formula1>"AIFM_NATIONAL_CODE,#ignore this line"</formula1>
    </dataValidation>
    <dataValidation sqref="A219:A222" showDropDown="0" showInputMessage="1" showErrorMessage="1" allowBlank="1" promptTitle="Optional" prompt="The AIF_EXTERNAL input record describes AIF which are reported by an external company. This data is only used on form AIFM 24(1)." type="list">
      <formula1>"AIF_EXTERNAL,#ignore this line"</formula1>
    </dataValidation>
    <dataValidation sqref="B219:B222" showDropDown="0" showInputMessage="1" showErrorMessage="1" allowBlank="1" promptTitle="Mandatory" prompt="Create a List of all unique external AIF ids_x000a_"/>
    <dataValidation sqref="B225:B232" showDropDown="0" showInputMessage="1" showErrorMessage="1" allowBlank="1" promptTitle="Mandatory" prompt="Unique external AIF id to which this record applies.  _x000a__x000a_Add new AIFs in the AIF_EXTERNAL section _x000a_" type="list">
      <formula1>AIF_external</formula1>
    </dataValidation>
    <dataValidation sqref="E225:E232 H62:H75" showDropDown="0" showInputMessage="1" showErrorMessage="1" allowBlank="1" promptTitle="Conditional" prompt="Four character MIC code (ISO 10383)._x000a__x000a_Mandatory when Market Code Type [106 / 115] is equal to &quot;MIC&quot; or when AII Exchange Product Code [70] is present. Forbiden otherwise." type="textLength">
      <formula1>4</formula1>
      <formula2>4</formula2>
    </dataValidation>
    <dataValidation sqref="H219:H222" showDropDown="0" showInputMessage="1" showErrorMessage="1" allowBlank="1" promptTitle="Optional" prompt="Value in base currency of the AIF of Assets under management (AuM) for the AIF, using the method set out in Articles 2 and 10 of the Regulation 231/2013._x000a__x000a_If left empty, the system calculates this based on the POSITION_EXTERNALs, field 76."/>
    <dataValidation sqref="C16" showDropDown="0" showInputMessage="1" showErrorMessage="1" allowBlank="1" promptTitle="Mandatory" prompt="Unique reference identifying each AIFM allocated by the national competent authority of the reporting Member State._x000a__x000a_Note: this is not the Chamber of Commerce number."/>
    <dataValidation sqref="C212:C216" showDropDown="0" showInputMessage="1" showErrorMessage="1" allowBlank="1" promptTitle="Mandatory" prompt="Currency code (3-character currency code according to the ISO 4217)" type="list">
      <formula1>AllCur</formula1>
    </dataValidation>
    <dataValidation sqref="A212:A216" showDropDown="0" showInputMessage="1" showErrorMessage="1" allowBlank="1" promptTitle="Optional" prompt="CUSTOM_FX_RATE record only required if you want to use custom FX rates. _x000a__x000a_By default the system uses ECB rates, which are already available in the system" type="list">
      <formula1>"CUSTOM_FX_RATE,#ignore this line"</formula1>
    </dataValidation>
    <dataValidation sqref="D212:D216" showDropDown="0" showInputMessage="1" showErrorMessage="1" allowBlank="1" promptTitle="Mandatory" prompt="Conversion rate filled in with 4 decimal places. Rate in the non-eur currency. E.g. 2022-06-30 USD: 1.0387" type="decimal">
      <formula1>0</formula1>
      <formula2>100000000000</formula2>
    </dataValidation>
    <dataValidation sqref="E212:E216" showDropDown="0" showInputMessage="1" showErrorMessage="1" allowBlank="1" promptTitle="Mandatory" prompt="2 types are admitted:_x000a_- “ECB” when the rate is a euro reference rate as published by the ECB,_x000a_- “OTH” in other cases." type="list">
      <formula1>Fund51</formula1>
    </dataValidation>
    <dataValidation sqref="F212:F216" showDropDown="0" showInputMessage="1" showErrorMessage="1" allowBlank="1" promptTitle="Conditional" prompt="Mandatory when Rate type [51] is &quot;OTH&quot;, forbidden otherwise."/>
    <dataValidation sqref="B212:B216" showDropDown="0" showInputMessage="1" showErrorMessage="1" allowBlank="1" promptTitle="Mandatory" prompt="Date of the FX rate._x000a__x000a_Format: yyyy-mm-dd"/>
    <dataValidation sqref="A2:C2" showDropDown="0" showInputMessage="1" showErrorMessage="1" allowBlank="1" promptTitle="Mandatory" prompt="Please don't change. Required by the system to select the right report type."/>
    <dataValidation sqref="D91:D97" showDropDown="0" showInputMessage="1" showErrorMessage="1" allowBlank="1" promptTitle="Conditional" prompt="Mandatory for Risk Measure Type [138] equal to &quot;NET_EQTY_DELTA&quot;, &quot;NET_FX_DELTA&quot; and &quot;NET_CTY_DELTA&quot;,_x000a_forbidden otherwise._x000a__x000a_Expressed in base currency."/>
    <dataValidation sqref="E91:G97" showDropDown="0" showInputMessage="1" showErrorMessage="1" allowBlank="1" promptTitle="Conditional" prompt="Mandatory for Risk Measure Type [138] equal to &quot;NET_DV01&quot; and &quot;NET_CS01&quot;,_x000a_forbidden otherwise._x000a__x000a_Expressed in base currency."/>
    <dataValidation sqref="H91:J97" showDropDown="0" showInputMessage="1" showErrorMessage="1" allowBlank="1" promptTitle="Conditional" prompt="Mandatory for Risk Measure Type [138] equal to &quot;VEGA_EXPO&quot;,_x000a_forbidden otherwise._x000a__x000a_Expressed in base currency."/>
    <dataValidation sqref="F16" showDropDown="0" showInputMessage="1" showErrorMessage="1" allowBlank="1" promptTitle="Conditional" prompt="Mandatory when 'AIFM Reporting Member State' [AIFM 1] is 'LU', forbidden otherwise._x000a__x000a_Currently only used for the Luxembourg file name convention, as &quot;Identification number of the sender&quot;."/>
    <dataValidation sqref="D16" showDropDown="0" showInputMessage="1" showErrorMessage="1" allowBlank="1" promptTitle="Conditional" prompt="EEA/EU Country code of the reporting Member State which has allocated the former national identification code._x000a__x000a_Mandatory for Old AIFM National Code filled in, ignored otherwise._x000a__x000a_2-character ISO-3166-1 country code._x000a_" type="list">
      <formula1>EEC</formula1>
    </dataValidation>
    <dataValidation sqref="E16" showDropDown="0" showInputMessage="1" showErrorMessage="1" allowBlank="1" promptTitle="Optional" prompt="Former national identification code to provide when the national identification code of the AIFM changes (for the first reporting following the change of the national code and any subsequent reporting)."/>
    <dataValidation sqref="E219:E222" showDropDown="0" showInputMessage="1" showErrorMessage="1" allowBlank="1" promptTitle="Legacy, not needed anymore." prompt="Legacy, not needed anymore." type="list">
      <formula1>Both8</formula1>
    </dataValidation>
    <dataValidation sqref="E12" showDropDown="0" showInputMessage="1" showErrorMessage="1" allowBlank="1" promptTitle="Optional" prompt="Only needed upon liquidation of the AIFM, then it should be the liquidation date._x000a__x000a_Leave empty otherwise."/>
    <dataValidation sqref="A133:A134 A136" showDropDown="0" showInputMessage="1" showErrorMessage="1" allowBlank="1" promptTitle="Conditional" prompt="The INVESTOR record is mandatory for AIFs with content type 2 and 4, and forbidden otherwise." type="list">
      <formula1>"INVESTOR,#ignore this line"</formula1>
    </dataValidation>
    <dataValidation sqref="D53:D54" showDropDown="0" showInputMessage="1" showErrorMessage="1" allowBlank="1" promptTitle="Optional" prompt="Prime Broker LEI code (ISO 17442 standard) or if not available the interim entity identifier."/>
    <dataValidation sqref="E53:E54" showDropDown="0" showInputMessage="1" showErrorMessage="1" allowBlank="1" promptTitle="Optional" prompt="Prime Broker 11 Character BIC code (ISO 9362 standard)."/>
    <dataValidation sqref="C53:C54" showDropDown="0" showInputMessage="1" showErrorMessage="1" allowBlank="1" promptTitle="Mandatory" prompt="Prime Broker Entity name. (no standard)_x000a_It is strongly recommended to provide the full name corresponding to the allocated LEI code (or BIC code if any and LEI not available)."/>
    <dataValidation sqref="A53:A54" showDropDown="0" showInputMessage="1" showErrorMessage="1" allowBlank="1" promptTitle="Optional" prompt="PRIME_BROKER record only required for AIFs if you are using Prime Brokers_x000a__x000a_For all content types" type="list">
      <formula1>"PRIME_BROKER,#ignore this line"</formula1>
    </dataValidation>
    <dataValidation sqref="A80:A83" showDropDown="0" showInputMessage="1" showErrorMessage="1" allowBlank="1" promptTitle="Conditional" prompt="The TURNOVER record is optional for AIFs with content type 2 and 4, and forbidden otherwise." type="list">
      <formula1>"TURNOVER,#ignore this line"</formula1>
    </dataValidation>
    <dataValidation sqref="E80:E83" showDropDown="0" showInputMessage="1" showErrorMessage="1" allowBlank="1" promptTitle="Conditional" prompt="Only for sub-asset-types starting with DER_xxx.  Notional value of turnover in each relevant sub-asset-type during the reporting period in base-currency"/>
    <dataValidation sqref="D80:D83" showDropDown="0" showInputMessage="1" showErrorMessage="1" allowBlank="1" promptTitle="Mandatory" prompt="Market value of turnover in each relevant sub-asset-type during the month in base currency._x000a__x000a_The value of the turnover should be the sum of the absolute values of buys and sells that occur during the month."/>
    <dataValidation sqref="C86:C88" showDropDown="0" showInputMessage="1" showErrorMessage="1" allowBlank="1" promptTitle="Optional" prompt="Entity name. (no standard)_x000a_It is strongly recommended to provide the full name corresponding to the allocated LEI code (or BIC code if any and LEI not available)."/>
    <dataValidation sqref="A86:A88" showDropDown="0" showInputMessage="1" showErrorMessage="1" allowBlank="1" promptTitle="Conditional" prompt="The DOMINANT_INFLUENCE record is optional for AIFs with private equity and content type 2 and 4, and forbidden otherwise." type="list">
      <formula1>"DOMINANT_INFLUENCE,#ignore this line"</formula1>
    </dataValidation>
    <dataValidation sqref="F86:F88" showDropDown="0" showInputMessage="1" showErrorMessage="1" allowBlank="1" promptTitle="Mandatory" prompt="See Annex II - Table 5 (“Transaction type)_x000a_" type="list">
      <formula1>Fund134</formula1>
    </dataValidation>
    <dataValidation sqref="G86:G88" showDropDown="0" showInputMessage="1" showErrorMessage="1" allowBlank="1" promptTitle="Conditional" prompt="Free text_x000a__x000a_Only mandatory for Transaction type = OTHR"/>
    <dataValidation sqref="H86:H88" showDropDown="0" showInputMessage="1" showErrorMessage="1" allowBlank="1" promptTitle="Mandatory" prompt="Expressed as a percentage (entered here as a number, e.g. enter 1.23% as 1.23)." type="decimal">
      <formula1>0</formula1>
      <formula2>100</formula2>
    </dataValidation>
    <dataValidation sqref="D86:D88" showDropDown="0" showInputMessage="1" showErrorMessage="1" allowBlank="1" promptTitle="Optional" prompt="When available Dominant influence company LEI code"/>
    <dataValidation sqref="E86:E88" showDropDown="0" showInputMessage="1" showErrorMessage="1" allowBlank="1" promptTitle="Optional" prompt="When available Dominant influence company 11 Character BIC code "/>
    <dataValidation sqref="L100:L104" showDropDown="0" showInputMessage="1" showErrorMessage="1" allowBlank="1" promptTitle="Optional" prompt="Value of collateral posted in the form of other securities (excluding cash and cash equivalent) expressed in base currency."/>
    <dataValidation sqref="M100:N104" showDropDown="0" showInputMessage="1" showErrorMessage="1" allowBlank="1" promptTitle="Optional" prompt="Value of other collateral and credit support posted (including face amount of letters of credit and similar third party credit support) expressed in base currency."/>
    <dataValidation sqref="A100:A104" showDropDown="0" showInputMessage="1" showErrorMessage="1" allowBlank="1" promptTitle="Conditional" prompt="The COUNTERPARTY_RISK_PROFILE record is optional for AIFs with content type 2 and 4, and forbidden otherwise." type="list">
      <formula1>"COUNTERPARTY_RISK_PROFILE,#ignore this line"</formula1>
    </dataValidation>
    <dataValidation sqref="K100:K104" showDropDown="0" showInputMessage="1" showErrorMessage="1" allowBlank="1" promptTitle="Optional" prompt="Estimated % in terms of market value of repo trades that are cleared via tri party repos._x000a__x000a_Expressed as a percentage (entered here as a number, e.g. enter 1.23% as 1.23)."/>
    <dataValidation sqref="H100:H104" showDropDown="0" showInputMessage="1" showErrorMessage="1" allowBlank="1" promptTitle="Optional" prompt="Legacy, not needed anymore."/>
    <dataValidation sqref="C100:C104" showDropDown="0" showInputMessage="1" showErrorMessage="1" allowBlank="1" promptTitle="Optional" prompt="Estimated % in terms of market value of securities traded on regulated exchange markets._x000a__x000a_Expressed as a percentage (entered here as a number, e.g. enter 1.23% as 1.23)."/>
    <dataValidation sqref="E100:E104" showDropDown="0" showInputMessage="1" showErrorMessage="1" allowBlank="1" promptTitle="Optional" prompt="Estimated % in terms of trade volumes of derivatives that are traded on regulated exchange markets._x000a__x000a_Expressed as a percentage (entered here as a number, e.g. enter 1.23% as 1.23)."/>
    <dataValidation sqref="G100:G104" showDropDown="0" showInputMessage="1" showErrorMessage="1" allowBlank="1" promptTitle="Optional" prompt="Estimated % in terms of trade volumes of derivatives transactions that are cleared by a CCP._x000a__x000a_Expressed as a percentage (entered here as a number, e.g. enter 1.23% as 1.23)."/>
    <dataValidation sqref="I100:I104" showDropDown="0" showInputMessage="1" showErrorMessage="1" allowBlank="1" promptTitle="Optional" prompt="Estimated % in terms of market value of repo trades that are cleared by a CCP._x000a__x000a_Expressed as a percentage (entered here as a number, e.g. enter 1.23% as 1.23)."/>
    <dataValidation sqref="J100:J104" showDropDown="0" showInputMessage="1" showErrorMessage="1" allowBlank="1" promptTitle="Optional" prompt="Estimated % in terms of market value of repo trades that are cleared bilateraly._x000a__x000a_Expressed as a percentage (entered here as a number, e.g. enter 1.23% as 1.23)."/>
    <dataValidation sqref="J107:J110" showDropDown="0" showInputMessage="1" showErrorMessage="1" allowBlank="1" promptTitle="Optional" prompt="Unencumbered Cash Amount expressed in Base currency [49]._x000a__x000a_If empty, the sum of all POSITION records with Sub-Asset Type [65] equal to “SEC_CSH_OTHC” is used."/>
    <dataValidation sqref="A107:A110" showDropDown="0" showInputMessage="1" showErrorMessage="1" allowBlank="1" promptTitle="Conditional" prompt="The PORTFOLIO_LIQUIDITY_PROFILE record is mandatory for AIFs with content type 2 and 4, and forbidden otherwise._x000a_Filled in with default values by the Matterhorn software if mandatory and not present." type="list">
      <formula1>"PORTFOLIO_LIQUIDITY_PROFILE,#ignore this line"</formula1>
    </dataValidation>
    <dataValidation sqref="I107:I110" showDropDown="0" showInputMessage="1" showErrorMessage="1" allowBlank="1" promptTitle="Optional" prompt="The percentage of portfolio capable of being liquidated in more than 365 days._x000a__x000a_If empty, 0 is reported._x000a_The total of fields 178-184 must equal 100._x000a_Expressed as a percentage (entered here as a number, e.g. enter 1.23% as 1.23)."/>
    <dataValidation sqref="C107:C110" showDropDown="0" showInputMessage="1" showErrorMessage="1" allowBlank="1" promptTitle="Optional" prompt="The percentage of portfolio capable of being liquidated within 1 day or less._x000a__x000a_If empty, 0 is reported._x000a_The total of fields 178-184 must equal 100._x000a_Expressed as a percentage (entered here as a number, e.g. enter 1.23% as 1.23)._x000a_"/>
    <dataValidation sqref="D107:D110" showDropDown="0" showInputMessage="1" showErrorMessage="1" allowBlank="1" promptTitle="Optional" prompt="The percentage of portfolio capable of being liquidated in 2 to 7 days._x000a__x000a_If empty, 0 is reported._x000a_The total of fields 178-184 must equal 100._x000a_Expressed as a percentage (entered here as a number, e.g. enter 1.23% as 1.23)."/>
    <dataValidation sqref="E107:E110" showDropDown="0" showInputMessage="1" showErrorMessage="1" allowBlank="1" promptTitle="Optional" prompt="The percentage of portfolio capable of being liquidated in 8 to 30 days._x000a__x000a_If empty, 0 is reported._x000a_The total of fields 178-184 must equal 100._x000a_Expressed as a percentage (entered here as a number, e.g. enter 1.23% as 1.23)."/>
    <dataValidation sqref="F107:F110" showDropDown="0" showInputMessage="1" showErrorMessage="1" allowBlank="1" promptTitle="Optional" prompt="The percentage of portfolio capable of being liquidated in 31 to 90 days._x000a__x000a_If empty, 0 is reported._x000a_The total of fields 178-184 must equal 100._x000a_Expressed as a percentage (entered here as a number, e.g. enter 1.23% as 1.23)."/>
    <dataValidation sqref="G107:G110" showDropDown="0" showInputMessage="1" showErrorMessage="1" allowBlank="1" promptTitle="Optional" prompt="The percentage of portfolio capable of being liquidated in 91 to 180 days._x000a__x000a_If empty, 0 is reported._x000a_The total of fields 178-184 must equal 100._x000a_Expressed as a percentage (entered here as a number, e.g. enter 1.23% as 1.23)."/>
    <dataValidation sqref="H107:H110" showDropDown="0" showInputMessage="1" showErrorMessage="1" allowBlank="1" promptTitle="Optional" prompt="The percentage of portfolio capable of being liquidated in 181 to 365 days._x000a__x000a_If empty, 0 is reported._x000a_The total of fields 178-184 must equal 100._x000a_Expressed as a percentage (entered here as a number, e.g. enter 1.23% as 1.23)."/>
    <dataValidation sqref="A113:A118" showDropDown="0" showInputMessage="1" showErrorMessage="1" allowBlank="1" promptTitle="Conditional" prompt="The INVESTOR_LIQUIDITY_PROFILE record is optional for AIFs with content type 2 and 4, and forbidden otherwise._x000a_Filled in with default values by the Matterhorn software if mandatory and not present." type="list">
      <formula1>"INVESTOR_LIQUIDITY_PROFILE,#ignore this line"</formula1>
    </dataValidation>
    <dataValidation sqref="C113:I118" showDropDown="0" showInputMessage="1" showErrorMessage="1" allowBlank="1" promptTitle="Optional" prompt="If empty, 0 is reported._x000a_The total of fields 186-192 must equal 100._x000a__x000a_Expressed as a percentage (entered here as a number, e.g. enter 1.23% as 1.23)."/>
    <dataValidation sqref="A121:A126" showDropDown="0" showInputMessage="1" showErrorMessage="1" allowBlank="1" promptTitle="Conditional" prompt="The INVESTOR_REDEMPTION record is optional for AIFs with content type 2 and 4, and forbidden otherwise." type="list">
      <formula1>"INVESTOR_REDEMPTION,#ignore this line"</formula1>
    </dataValidation>
    <dataValidation sqref="D121:D126" showDropDown="0" showInputMessage="1" showErrorMessage="1" allowBlank="1" promptTitle="Optional" prompt="See Annex II Table 6:_x000a_D: Daily,_x000a_W: Weekly,_x000a_F: Fortnightly,_x000a_M: Monthly,_x000a_Q: Quarterly,_x000a_H: Half-yearly, Y: Yearly,_x000a_O: Other, N: None._x000a__x000a_" type="list">
      <formula1>Fund194</formula1>
    </dataValidation>
    <dataValidation sqref="E121:E126" showDropDown="0" showInputMessage="1" showErrorMessage="1" allowBlank="1" promptTitle="Optional" prompt="Notice period in days.  Asset weighted when multiple share classes."/>
    <dataValidation sqref="F121:F126" showDropDown="0" showInputMessage="1" showErrorMessage="1" allowBlank="1" promptTitle="Optional" prompt="Investor lock-up period in days.  Asset weighted when multiple share classes."/>
    <dataValidation sqref="A129:A130" showDropDown="0" showInputMessage="1" showErrorMessage="1" allowBlank="1" promptTitle="Optional" prompt="The SPECIAL_ARRANGEMENT record is optional for AIFs with content type 2 and 4, and forbidden otherwise." type="list">
      <formula1>"SPECIAL_ARRANGEMENT,#ignore this line"</formula1>
    </dataValidation>
    <dataValidation sqref="F129:F130" showDropDown="0" showInputMessage="1" showErrorMessage="1" allowBlank="1" promptTitle="Conditional" prompt="Free text for other arrangements for managing illiquid assets._x000a_Mandatory when &quot;Other arrangement percentage&quot; (201) is filled in,_x000a_optional otherwise._x000a_"/>
    <dataValidation sqref="H129:H130" showDropDown="0" showInputMessage="1" showErrorMessage="1" allowBlank="1" promptTitle="Optional" prompt="The NAV percentage of the AIF's assets that are currently subject to the special arrangements arising fron their illiquid nature under Article 23.4 of the AIFMD._x000a__x000a_Expressed as a percentage (entered here as a number, e.g. enter 1.23% as 1.23).."/>
    <dataValidation sqref="C129:C130" showDropDown="0" showInputMessage="1" showErrorMessage="1" allowBlank="1" promptTitle="Optional" prompt="The NAV percentage of the AIF's assets that are currently subject to side pockets arrangements._x000a__x000a_Expressed as a percentage (entered here as a number, e.g. enter 1.23% as 1.23). "/>
    <dataValidation sqref="D129:D130" showDropDown="0" showInputMessage="1" showErrorMessage="1" allowBlank="1" promptTitle="Optional" prompt="The NAV percentage of the AIF's assets that are currently subject to Gates arrangements._x000a__x000a_Expressed as a percentage (entered here as a number, e.g. enter 1.23% as 1.23)."/>
    <dataValidation sqref="E129:E130" showDropDown="0" showInputMessage="1" showErrorMessage="1" allowBlank="1" promptTitle="Optional" prompt="The NAV percentage of the AIF's assets that are currently subject to suspension of dealing arrangements._x000a__x000a_Expressed as a percentage (entered here as a number, e.g. enter 1.23% as 1.23)."/>
    <dataValidation sqref="G129:G130" showDropDown="0" showInputMessage="1" showErrorMessage="1" allowBlank="1" promptTitle="Conditional" prompt="The NAV percentage of the AIF's assets that are currently subject to other arrangements for managing illiquid assets._x000a_% as a number (1.23% =&gt; 1.23)_x000a_Mand when &quot;Other Arrangement Type&quot; (200) is filled in,_x000a_opt otherwise."/>
    <dataValidation sqref="J129:J130" showDropDown="0" showInputMessage="1" showErrorMessage="1" allowBlank="1" promptTitle="Optional" prompt="Flag indicating whether there are any different disclosure/reporting to investors_x000a__x000a_yes/no flag" type="list">
      <formula1>YesNo</formula1>
    </dataValidation>
    <dataValidation sqref="K129:K130" showDropDown="0" showInputMessage="1" showErrorMessage="1" allowBlank="1" promptTitle="Optional" prompt="Flag indicating whether there are any different investor liquidity terms_x000a__x000a_yes/no flag" type="list">
      <formula1>YesNo</formula1>
    </dataValidation>
    <dataValidation sqref="L129:L130" showDropDown="0" showInputMessage="1" showErrorMessage="1" allowBlank="1" promptTitle="Optional" prompt="Flag indicating whether there are any different fee terms for investors_x000a__x000a_yes/no flag" type="list">
      <formula1>YesNo</formula1>
    </dataValidation>
    <dataValidation sqref="M129:M130" showDropDown="0" showInputMessage="1" showErrorMessage="1" allowBlank="1" promptTitle="Optional" prompt="Flag indicating whether there are any other preferential treatment_x000a__x000a_yes/no flag" type="list">
      <formula1>YesNo</formula1>
    </dataValidation>
    <dataValidation sqref="A139:A14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39:C142" showDropDown="0" showInputMessage="1" showErrorMessage="1" allowBlank="1" promptTitle="Mandatory" prompt="The aggregate amount of borrowing by and cash financing available to the AIF (including all drawn and undrawn, committed and uncommitted lines of credit as well as any term financing)._x000a_Amount expressed in base currency."/>
    <dataValidation sqref="D139:J142" showDropDown="0" showInputMessage="1" showErrorMessage="1" allowBlank="1" promptTitle="Optional" prompt="If empty, 0 is reported._x000a_The total of fields 211-217 must equal 100._x000a__x000a_Expressed as a percentage (entered here as a number, e.g. enter 1.23% as 1.23)."/>
    <dataValidation sqref="E149 AC29:AC31" showDropDown="0" showInputMessage="1" showErrorMessage="1" allowBlank="1" promptTitle="Optional" prompt="The total Total Net Asset Value (NAV) of the AIF expressed in base currency._x000a__x000a_If left empy, the system calculates this based on the POSITIONs, field NAV."/>
    <dataValidation sqref="AI29:AI31" showDropDown="0" showInputMessage="1" showErrorMessage="1" allowBlank="1" promptTitle="Optional" prompt="Only used for Private Equity funds._x000a_If left empty, the system determines this based on the POSITION Values._x000a__x000a_- V_SMALL &lt;€5m_x000a_- SMALL &gt;=€5m &lt;€25m_x000a_- LOW_MID_MKT &gt;=€25m &lt;€150m_x000a_- UP_MID_MKT &gt;=€150m &lt;€500m_x000a_- L_CAP &gt;=€500m &lt;€1bn_x000a_- M_CAP &gt;=€1bn" type="list">
      <formula1>Fund113</formula1>
    </dataValidation>
    <dataValidation sqref="AJ29:AJ31" showDropDown="0" showInputMessage="1" showErrorMessage="1" allowBlank="1" promptTitle="Mandatory" prompt="The approximate % of the AIF’s equity that is beneficially owned by the five beneficial owners that have the largest equity interest in the AIF (look-through where known or possible)._x000a__x000a_Expressed as a % (entered here as a number, e.g. enter 1.23% as 1.23)."/>
    <dataValidation sqref="AK29:AK31" showDropDown="0" showInputMessage="1" showErrorMessage="1" allowBlank="1" promptTitle="Conditional" prompt="Expected annual investment return/IRR in normal market conditions. Expressed as a percentage (entered here as a number, e.g. enter 1.23% as 1.23)._x000a_If empty, 'NA' is reported._x000a_Optional for AIF Content types 2 and 4 (AIF field 5), ignored otherwise."/>
    <dataValidation sqref="AB29:AB31" showDropDown="0" showInputMessage="1" showErrorMessage="1" allowBlank="1" promptTitle="Optional" prompt="Value in base currency of the AIF of Assets under management (AuM) for the AIF, using the method set out in Articles 2 and 10 of the Regulation 231/2013._x000a__x000a_If left empty, the system calculates this based on the POSITIONs, field 76."/>
    <dataValidation sqref="A29:A31" showDropDown="0" showInputMessage="1" showErrorMessage="1" allowBlank="1" promptTitle="Mandatory" prompt="This describes a fund. Create one AIF record for each fund (also for feeders)._x000a_" type="list">
      <formula1>",AIF,#ignore this line"</formula1>
    </dataValidation>
    <dataValidation sqref="L29:L31" showDropDown="0" showInputMessage="1" showErrorMessage="1" allowBlank="1" promptTitle="Optional" prompt="Flag indicating whether the reporting is the last reporting. To be filled in when the AIF has been liquidated or merged during the reporting period._x000a_yes for last AIF reporting file,_x000a_no or empty otherwise." type="list">
      <formula1>YesNo</formula1>
    </dataValidation>
    <dataValidation sqref="M29:M31" showDropDown="0" showInputMessage="1" showErrorMessage="1" allowBlank="1" promptTitle="Mandatory" prompt="The legal name of the AIF (no standard)._x000a_In the case of umbrella funds, the names of the umbrella fund and the sub-funds should be reported."/>
    <dataValidation sqref="O29:O31" showDropDown="0" showInputMessage="1" showErrorMessage="1" allowBlank="1" promptTitle="Mandatory" prompt="See tab: #DOC Reporting Code" type="list">
      <formula1>Fund20</formula1>
    </dataValidation>
    <dataValidation sqref="P29:P31" showDropDown="0" showInputMessage="1" showErrorMessage="1" allowBlank="1" promptTitle="Conditional" prompt="Country where AIF is registered._x000a__x000a_Only required when different from the AIFM (Manager) Jurisdiction [AIFM 17]._x000a__x000a_2-character ISO-3166-1 country code._x000a_" type="list">
      <formula1>AllCountries</formula1>
    </dataValidation>
    <dataValidation sqref="Q29:Q31" showDropDown="0" showInputMessage="1" showErrorMessage="1" allowBlank="1" promptTitle="Mandatory" prompt="The date the AIF started business._x000a__x000a_The AFM (NL) expects the registration date._x000a__x000a_Format: yyyy-mm-dd (ISO 8601 Date format)."/>
    <dataValidation sqref="U29:U31" showDropDown="0" showInputMessage="1" showErrorMessage="1" allowBlank="1" promptTitle="Optional " prompt="AIF CUSIP code when available"/>
    <dataValidation sqref="T29:T31" showDropDown="0" showInputMessage="1" showErrorMessage="1" allowBlank="1" promptTitle="Optional " prompt="AIF ISIN code when available"/>
    <dataValidation sqref="V29:V31" showDropDown="0" showInputMessage="1" showErrorMessage="1" allowBlank="1" promptTitle="Optional " prompt="AIF SEDOL code when available"/>
    <dataValidation sqref="W29:W31" showDropDown="0" showInputMessage="1" showErrorMessage="1" allowBlank="1" promptTitle="Optional " prompt="AIF Bloomberg code when available"/>
    <dataValidation sqref="X29:X31" showDropDown="0" showInputMessage="1" showErrorMessage="1" allowBlank="1" promptTitle="Optional " prompt="AIF Reuters code when available"/>
    <dataValidation sqref="Y29:Y31" showDropDown="0" showInputMessage="1" showErrorMessage="1" allowBlank="1" promptTitle="Optional " prompt="AIF ECB code when available"/>
    <dataValidation sqref="AD29:AD31" showDropDown="0" showInputMessage="1" showErrorMessage="1" allowBlank="1" promptTitle="Optional" prompt="The country of the first main funding source (counterparty of the liability) (excluding units or shares of the AIF bought by investors)._x000a__x000a_2-character ISO-3166-1 country code." type="list">
      <formula1>AllCountries</formula1>
    </dataValidation>
    <dataValidation sqref="AE29:AE31" showDropDown="0" showInputMessage="1" showErrorMessage="1" allowBlank="1" promptTitle="Optional" prompt="The country of the second main funding source (counterparty of the liability) (excluding units or shares of the AIF bought by investors)._x000a__x000a_2-character ISO-3166-1 country code." type="list">
      <formula1>AllCountries</formula1>
    </dataValidation>
    <dataValidation sqref="AF29:AF31" showDropDown="0" showInputMessage="1" showErrorMessage="1" allowBlank="1" promptTitle="Optional" prompt="The country of the third main funding source (counterparty of the liability) (excluding units or shares of the AIF bought by investors)._x000a__x000a_2-character ISO-3166-1 country code." type="list">
      <formula1>AllCountries</formula1>
    </dataValidation>
    <dataValidation sqref="AH29:AH31" showDropDown="0" showInputMessage="1" showErrorMessage="1" allowBlank="1" promptTitle="Optional" prompt="The market value of buys and sells in the base currency of the AIF corresponding to the total number of transactions carried out using a high frequency algorithmic trading technique._x000a__x000a_Reported as 0 to the FSMA (BE) when not filled in._x000a__x000a_"/>
    <dataValidation sqref="AG29:AG31" showDropDown="0" showInputMessage="1" showErrorMessage="1" allowBlank="1" promptTitle="Optional" prompt="The total number of transactions carried out using a high frequency algorithmic trading technique, as defined in the forthcoming revised Markets in Financial Instruments Directive (MiFID II)._x000a__x000a_Reported as 0 to the FSMA (BE) when not filled in."/>
    <dataValidation sqref="AL29:AL31" showDropDown="0" showInputMessage="1" showErrorMessage="1" allowBlank="1" promptTitle="Conditional" prompt="Mandatory for Registered/Light funds._x000a_Mandatory for AIF Content types (AIF field 5) 1,3 and 5, optional otherwise._x000a__x000a_If empty and mandatory, INVESTORS - HHLD is used._x000a__x000a_Expressed as a percentage (entered here as a number, e.g. enter 1.23% as 1.23)_x000a_"/>
    <dataValidation sqref="AM29:AM31" showDropDown="0" showInputMessage="1" showErrorMessage="1" allowBlank="1" promptTitle="Optional" prompt="Total number of open positions._x000a_Only needed if different from the number of POSITION records._x000a_If empty, the total number of POSITION records per AIF is used._x000a_Optional for AIF Content types 2 and 4 (AIF field 5), ignored otherwise."/>
    <dataValidation sqref="B29:B31" showDropDown="0" showInputMessage="1" showErrorMessage="1" allowBlank="1" promptTitle="Mandatory" prompt="Create a list of all unique AIF ids. This field is only used to link the different data records to a specific AIF."/>
    <dataValidation sqref="R29:R31" showDropDown="0" showInputMessage="1" showErrorMessage="1" allowBlank="1" promptTitle="Optional" prompt="yes for nothing to report,_x000a_no or empty otherwise." type="list">
      <formula1>YesNo</formula1>
    </dataValidation>
    <dataValidation sqref="D34:D36" showDropDown="0" showInputMessage="1" showErrorMessage="1" allowBlank="1" promptTitle="Mandatory" prompt="Unique reference identifying each AIF allocated by the national competent authority of the reporting Member State._x000a__x000a_Note: this is not the Chamber of Commerce number."/>
    <dataValidation sqref="A34:A36" showDropDown="0" showInputMessage="1" showErrorMessage="1" allowBlank="1" promptTitle="Mandatory" prompt="Create one AIF_NATIONAL_CODE record per AIF per NCA (regulator)" type="list">
      <formula1>"AIF_NATIONAL_CODE,#ignore this line"</formula1>
    </dataValidation>
    <dataValidation sqref="F34:F36" showDropDown="0" showInputMessage="1" showErrorMessage="1" allowBlank="1" promptTitle="Optional" prompt="Former national identification code to provide when the national identification code of the AIF changes (for the first reporting following the change of the national code and any subsequent reporting)."/>
    <dataValidation sqref="E34:E36" showDropDown="0" showInputMessage="1" showErrorMessage="1" allowBlank="1" promptTitle="Conditional" prompt="EEA/EU Country code of the reporting Member State to which the AIFM reports under AIFMD when the national code identifying the AIF has been modified._x000a__x000a_Mandatory for Old AIF National Code filled in, ignored otherwise._x000a__x000a_2-character ISO-3166-1 country code._x000a_" type="list">
      <formula1>EEC</formula1>
    </dataValidation>
    <dataValidation sqref="C133:C136" showDropDown="0" showInputMessage="1" showErrorMessage="1" allowBlank="1" promptTitle="Mandatory" prompt="The breakdown of the ownership of units in the AIF beneficially owned by each investor group (as % of NAV of the AIF assets)._x000a_See Annex II - Table 7." type="list">
      <formula1>Fund208</formula1>
    </dataValidation>
    <dataValidation sqref="D133:D136" showDropDown="0" showInputMessage="1" showErrorMessage="1" allowBlank="1" promptTitle="Mandatory" prompt="The percentage of NAV for each typology of investors._x000a_If empty, 0 is reported._x000a__x000a_Expressed as a percentage (entered here as a number, e.g. enter 1.23% as 1.23)."/>
    <dataValidation sqref="A145:A162"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145:D162"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145:E148 E150:E162"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145:F162" showDropDown="0" showInputMessage="1" showErrorMessage="1" allowBlank="1" promptTitle="Mandatory" prompt="Monthly changes in NAV including the impact of subscriptions and redemptions._x000a__x000a_Expressed as a percentage (entered here as a number, e.g. enter 1.23% as 1.23)."/>
    <dataValidation sqref="A165:A172" showDropDown="0" showInputMessage="1" showErrorMessage="1" allowBlank="1" promptTitle="Conditional" prompt="The STRESS_TEST record is mandatory for AIFs with content type 2 and 4, and forbidden otherwise." type="list">
      <formula1>"STRESS_TEST,#ignore this line"</formula1>
    </dataValidation>
    <dataValidation sqref="D165:D172" showDropDown="0" showInputMessage="1" showErrorMessage="1" allowBlank="1" promptTitle="Mandatory" prompt="Free text to indicate the results of the stress tests performed in accordance with the second subparagraph of Article 16(1) of Directive 2011/61/EU._x000a_[AIFMs shall regularly conduct stress tests, under normal and exceptional liquidity conditions,"/>
    <dataValidation sqref="C165:C172" showDropDown="0" showInputMessage="1" showErrorMessage="1" allowBlank="1" promptTitle="Mandatory" prompt="Free text to indicate the results of the stress tests performed in accordance with point (b) of Article 15(3) of Directive 2011/61/EU [risks associated with each investment position of the AIF and their overall effect on the AIF’s portfolio "/>
    <dataValidation sqref="C57:C59"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D57:D59"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57:E59"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57:A59" showDropDown="0" showInputMessage="1" showErrorMessage="1" allowBlank="1" promptTitle="Mandatory" prompt="STRATEGY record required for each AIF _x000a__x000a_there should be at least one or more  strategies listed_x000a__x000a_For all content types" type="list">
      <formula1>"STRATEGYv2,#ignore this line"</formula1>
    </dataValidation>
    <dataValidation sqref="E62:E75" showDropDown="0" showInputMessage="1" showErrorMessage="1" allowBlank="1" promptTitle="Mandatory" prompt="No standard. It is strongly recommended to provide the instrument short name as provided by Swift under ISO18774 when available."/>
    <dataValidation sqref="I62:I75" showDropDown="0" showInputMessage="1" showErrorMessage="1" allowBlank="1" promptTitle="Conditional" prompt="A code that is uniquely associated with a particular underlying instrument and settlement type and other characteristics of the contract, when available._x000a__x000a_Forbidden when Instrument ISIN Code [68] is present."/>
    <dataValidation sqref="N62:N75" showDropDown="0" showInputMessage="1" showErrorMessage="1" allowBlank="1" promptTitle="Mandatory" prompt="“L” for long_x000a_“S” for short" type="list">
      <formula1>Fund75</formula1>
    </dataValidation>
    <dataValidation sqref="A62:A75" showDropDown="0" showInputMessage="1" showErrorMessage="1" allowBlank="1" promptTitle="Optional" prompt="POSITION records for each AIF that has positions to report._x000a__x000a_All positions should be listed, including cash and cash equivalents. _x000a_Used to calculate all reported rankings." type="list">
      <formula1>"POSITION,#ignore this line"</formula1>
    </dataValidation>
    <dataValidation sqref="F62:F75" showDropDown="0" showInputMessage="1" showErrorMessage="1" allowBlank="1" promptTitle="Optional" prompt="The ISIN code of the instrument (ISO 6166 standard) when available."/>
    <dataValidation sqref="J62:J75" showDropDown="0" showInputMessage="1" showErrorMessage="1" allowBlank="1" promptTitle="Conditional" prompt="&quot;O&quot; for opttion._x000a_&quot;F&quot; for future._x000a__x000a_Mandatory when AII Exchange Product Code [70] is present. Forbiden otherwise." type="list">
      <formula1>Fund71</formula1>
    </dataValidation>
    <dataValidation sqref="K62:K75" showDropDown="0" showInputMessage="1" showErrorMessage="1" allowBlank="1" promptTitle="Conditional" prompt="&quot;P&quot; for a put option._x000a_&quot;C&quot; for a call option._x000a__x000a_Mandatory for AII Derivative Type [71] equal to &quot;O&quot;. Forbiden otherwise." type="list">
      <formula1>Fund72</formula1>
    </dataValidation>
    <dataValidation sqref="L62:L75" showDropDown="0" showInputMessage="1" showErrorMessage="1" allowBlank="1" promptTitle="Conditional" prompt="Exercise/maturity/expiry/delivery/prompt date of a derivative contract._x000a__x000a_Mandatory when AII Exchange Product Code [70] is present. Forbiden otherwise._x000a__x000a_Format: yyyy-mm-dd"/>
    <dataValidation sqref="M62:M75" showDropDown="0" showInputMessage="1" showErrorMessage="1" allowBlank="1" promptTitle="Conditional" prompt="The strike price of an option._x000a__x000a_Mandatory for AII Derivative Type [71] equal to &quot;O&quot;. Forbiden otherwise." type="decimal">
      <formula1>-999999999</formula1>
      <formula2>999999999</formula2>
    </dataValidation>
    <dataValidation sqref="Q62:Q75" showDropDown="0" showInputMessage="1" showErrorMessage="1" allowBlank="1" promptTitle="Optional " prompt="Optional for short positions, forbidden otherwise._x000a__x000a_Expressed as a percentage (entered here as a number, e.g. enter 1.23% as 1.23)."/>
    <dataValidation sqref="S62:S75" showDropDown="0" showInputMessage="1" showErrorMessage="1" allowBlank="1" promptTitle="Optional" prompt="Entity name (no standard). It is strongly recommended to provide the full name corresponding to the allocated LEI code (or BIC code if any and LEI not available)."/>
    <dataValidation sqref="T62:T75" showDropDown="0" showInputMessage="1" showErrorMessage="1" allowBlank="1" promptTitle="Conditional" prompt="Optional when Counterparty Name [100] is present, forbidden otherwise._x000a__x000a__x000a__x000a_"/>
    <dataValidation sqref="U62:U75" showDropDown="0" showInputMessage="1" showErrorMessage="1" allowBlank="1" promptTitle="Conditional" prompt="11 Character BIC Code._x000a__x000a_Optional when Counterparty Name [100] is present, forbidden otherwise._x000a_"/>
    <dataValidation sqref="V62:V75" showDropDown="0" showInputMessage="1" showErrorMessage="1" allowBlank="1" promptTitle="Conditional" prompt="Not required for Registered/Light funds._x000a__x000a_Three character currency code (ISO 4217)._x000a__x000a_Mandatory for AIF Content types 2 and 4 (AIF field 5), ignored otherwise." type="list">
      <formula1>AllCur</formula1>
    </dataValidation>
    <dataValidation sqref="X62:X75" showDropDown="0" showInputMessage="1" showErrorMessage="1" allowBlank="1" promptTitle="Optional" prompt="Gross exposure amount for Sub-asset types &quot;DER_FEX_INVT&quot;, &quot;DER_FEX_HEDG&quot; and &quot;DER_IRD_INTR&quot; expressed in base currency._x000a_Only needed if different from &quot;Position value (Article 2 AIFMD)&quot; (76)._x000a_If not present, &quot;Position value (Article 2 AIFMD)&quot; (76) is used."/>
    <dataValidation sqref="P72:P75"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G145:G157 G159:G161" showDropDown="0" showInputMessage="1" showErrorMessage="1" allowBlank="1" promptTitle="Mandatory" prompt="Subscriptions in base currency during month."/>
    <dataValidation sqref="H145:H161" showDropDown="0" showInputMessage="1" showErrorMessage="1" allowBlank="1" promptTitle="Mandatory" prompt="Redemptions in base currency during month."/>
    <dataValidation sqref="C145:C154 C156:C162"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I30:I31" showDropDown="0" showInputMessage="1" showErrorMessage="1" allowBlank="1" promptTitle="Optional" prompt="See Annex II - Table 9 and 10 on our Reporting Application Help menu." type="list">
      <formula1>Both10</formula1>
    </dataValidation>
    <dataValidation sqref="J30:J31" showDropDown="0" showInputMessage="1" showErrorMessage="1" allowBlank="1" promptTitle="Optional" prompt="See Annex II - Table 9 on our Reporting Application Help menu." type="list">
      <formula1>Fund11</formula1>
    </dataValidation>
    <dataValidation sqref="G30:G31" showDropDown="0" showInputMessage="1" showErrorMessage="1" allowBlank="1" promptTitle="Conditional" prompt="Not required for Registered/Light funds._x000a__x000a_Only required for Authorised funds when different from the AIFM (Manager) Reporting Period Type [AIFM 8]._x000a__x000a_See #DOC Annex II Tables - Period Types." type="list">
      <formula1>Both8</formula1>
    </dataValidation>
    <dataValidation sqref="D29 D31" showDropDown="0" showInputMessage="1" showErrorMessage="1" allowBlank="1" promptTitle="Mandatory" prompt="The AIF content types admitted are:_x000a_  - 1 for &quot;24(1) reporting &quot;_x000a_  - 2 for &quot;24(1) + 24(2) reporting &quot;_x000a_  - 3 for &quot;3(3) (d) reporting &quot; (light)_x000a_  - 4 for &quot;24(1) + 24(2) + 24(4) reporting &quot;_x000a_  - 5 for &quot;24(1) + 24(4) reporting &quot;" type="list">
      <formula1>Fund5</formula1>
    </dataValidation>
  </dataValidations>
  <hyperlinks>
    <hyperlink xmlns:r="http://schemas.openxmlformats.org/officeDocument/2006/relationships" ref="A5" r:id="rId1"/>
  </hyperlinks>
  <pageMargins left="0.7086614173228347" right="0.7086614173228347" top="0.7480314960629921" bottom="0.7480314960629921" header="0.3149606299212598" footer="0.3149606299212598"/>
  <pageSetup orientation="landscape" paperSize="8" scale="70"/>
  <drawing xmlns:r="http://schemas.openxmlformats.org/officeDocument/2006/relationships" r:id="rId2"/>
</worksheet>
</file>

<file path=xl/worksheets/sheet2.xml><?xml version="1.0" encoding="utf-8"?>
<worksheet xmlns="http://schemas.openxmlformats.org/spreadsheetml/2006/main">
  <sheetPr>
    <tabColor theme="4" tint="-0.499984740745262"/>
    <outlinePr summaryBelow="1" summaryRight="1"/>
    <pageSetUpPr fitToPage="1"/>
  </sheetPr>
  <dimension ref="A1:F319"/>
  <sheetViews>
    <sheetView topLeftCell="A204" workbookViewId="0">
      <selection activeCell="A213" sqref="A213"/>
    </sheetView>
  </sheetViews>
  <sheetFormatPr baseColWidth="10" defaultColWidth="8.85546875" defaultRowHeight="11.25"/>
  <cols>
    <col width="40.85546875" customWidth="1" style="82" min="1" max="1"/>
    <col width="19.140625" customWidth="1" style="109" min="2" max="2"/>
    <col width="43.85546875" customWidth="1" style="92" min="3" max="3"/>
    <col width="38" customWidth="1" style="90" min="4" max="4"/>
    <col width="99.85546875" customWidth="1" style="91" min="5" max="5"/>
    <col width="56.42578125" customWidth="1" style="91" min="6" max="6"/>
    <col width="8.85546875" customWidth="1" style="92" min="7" max="16384"/>
  </cols>
  <sheetData>
    <row r="1" ht="12" customFormat="1" customHeight="1" s="17">
      <c r="A1" s="18" t="inlineStr">
        <is>
          <t># 2024-01-17</t>
        </is>
      </c>
      <c r="B1" s="135" t="n"/>
      <c r="C1" s="133" t="inlineStr">
        <is>
          <t>(Click here to download the latest template)</t>
        </is>
      </c>
      <c r="D1" s="130" t="inlineStr">
        <is>
          <t>Please note: older versions of the template can still be processed, only update if you prefer the latest documentation.</t>
        </is>
      </c>
      <c r="E1" s="131" t="n"/>
    </row>
    <row r="2" ht="12" customFormat="1" customHeight="1" s="17">
      <c r="A2" s="18" t="inlineStr">
        <is>
          <t>#</t>
        </is>
      </c>
      <c r="B2" s="135" t="n"/>
      <c r="C2" s="133" t="inlineStr">
        <is>
          <t>(Click here to download the Quick Guide)</t>
        </is>
      </c>
    </row>
    <row r="3"/>
    <row r="4" ht="15.75" customHeight="1">
      <c r="A4" s="80" t="inlineStr">
        <is>
          <t>Matterhorn Annex IV Input Format</t>
        </is>
      </c>
      <c r="B4" s="110" t="n"/>
      <c r="C4" s="111" t="n"/>
      <c r="D4" s="81" t="n"/>
      <c r="E4" s="80" t="n"/>
      <c r="F4" s="80" t="n"/>
    </row>
    <row r="5" ht="15.75" customHeight="1">
      <c r="A5" s="115" t="inlineStr">
        <is>
          <t>To ensure future expandability, no data may be present other than the fields specified below (i.e. no extras columns to the right).</t>
        </is>
      </c>
      <c r="B5" s="112" t="n"/>
      <c r="C5" s="113" t="n"/>
      <c r="D5" s="116" t="n"/>
      <c r="E5" s="114" t="n"/>
      <c r="F5" s="114" t="n"/>
    </row>
    <row r="6" ht="15.75" customHeight="1">
      <c r="A6" s="115" t="inlineStr">
        <is>
          <t>In the input data, any row that has no data in the first column or has data starting with a "#" in the first column is ignored. These rows are meant for documentation purposes only.</t>
        </is>
      </c>
      <c r="B6" s="112" t="n"/>
      <c r="C6" s="113" t="n"/>
      <c r="D6" s="116" t="n"/>
      <c r="E6" s="114" t="n"/>
      <c r="F6" s="114" t="n"/>
    </row>
    <row r="7" ht="15.75" customHeight="1">
      <c r="A7" s="115" t="inlineStr">
        <is>
          <t>If using an Excel document for input, sheet names starting with a "#" are ignored. These sheets are meant for documentation purposes only.</t>
        </is>
      </c>
      <c r="B7" s="112" t="n"/>
      <c r="C7" s="113" t="n"/>
      <c r="D7" s="116" t="n"/>
      <c r="E7" s="114" t="n"/>
      <c r="F7" s="114" t="n"/>
    </row>
    <row r="8" ht="15.75" customHeight="1">
      <c r="A8" s="115" t="inlineStr">
        <is>
          <t>All fields that accept true/false also accept yes/no (e.g. AIF Last reporting flag [AIF 13]). Matterhorn automatically converts yes/no into true/false. The app shows the ESMA standard true/false.</t>
        </is>
      </c>
      <c r="B8" s="112" t="n"/>
      <c r="C8" s="113" t="n"/>
      <c r="D8" s="116" t="n"/>
      <c r="E8" s="114" t="n"/>
      <c r="F8" s="114" t="n"/>
    </row>
    <row r="9">
      <c r="A9" s="87" t="n"/>
      <c r="B9" s="88" t="n"/>
      <c r="C9" s="89" t="n"/>
    </row>
    <row r="10">
      <c r="A10" s="83" t="inlineStr">
        <is>
          <t>Input Record Name</t>
        </is>
      </c>
      <c r="B10" s="84" t="inlineStr">
        <is>
          <t>ESMA ID or Custom ID</t>
        </is>
      </c>
      <c r="C10" s="83" t="inlineStr">
        <is>
          <t>displayName (from ESMA it technical)</t>
        </is>
      </c>
      <c r="D10" s="85" t="inlineStr">
        <is>
          <t>Mandatory/Optional/Conditional/Legacy</t>
        </is>
      </c>
      <c r="E10" s="86" t="inlineStr">
        <is>
          <t>Description</t>
        </is>
      </c>
      <c r="F10" s="86" t="inlineStr">
        <is>
          <t>Notes</t>
        </is>
      </c>
    </row>
    <row r="11">
      <c r="A11" s="87" t="n"/>
      <c r="B11" s="88" t="n"/>
      <c r="C11" s="89" t="n"/>
    </row>
    <row r="12">
      <c r="A12" s="83" t="inlineStr">
        <is>
          <t>INPUT_FORMAT (Only used to instruct the Reporting application, mandatory record for all file uploads )</t>
        </is>
      </c>
      <c r="B12" s="93" t="n"/>
      <c r="C12" s="94" t="n"/>
      <c r="D12" s="95" t="inlineStr">
        <is>
          <t>Mandatory</t>
        </is>
      </c>
      <c r="E12" s="96" t="inlineStr">
        <is>
          <t>For all AIF Content Types</t>
        </is>
      </c>
      <c r="F12" s="97" t="n"/>
    </row>
    <row r="13">
      <c r="A13" s="87" t="inlineStr">
        <is>
          <t>INPUT_FORMAT</t>
        </is>
      </c>
      <c r="B13" s="98" t="inlineStr">
        <is>
          <t>input_format_type</t>
        </is>
      </c>
      <c r="C13" s="89" t="inlineStr">
        <is>
          <t>Input Format Type</t>
        </is>
      </c>
      <c r="D13" s="90" t="inlineStr">
        <is>
          <t>Mandatory</t>
        </is>
      </c>
      <c r="E13" s="91" t="inlineStr">
        <is>
          <t>Must be 'AIFMD'</t>
        </is>
      </c>
    </row>
    <row r="14">
      <c r="A14" s="87" t="inlineStr">
        <is>
          <t>INPUT_FORMAT</t>
        </is>
      </c>
      <c r="B14" s="98" t="inlineStr">
        <is>
          <t>input_format_version</t>
        </is>
      </c>
      <c r="C14" s="89" t="inlineStr">
        <is>
          <t>Input Format Version</t>
        </is>
      </c>
      <c r="D14" s="90" t="inlineStr">
        <is>
          <t>Mandatory</t>
        </is>
      </c>
      <c r="E14" s="91" t="inlineStr">
        <is>
          <t>Must be 'V1'</t>
        </is>
      </c>
    </row>
    <row r="15" ht="33.75" customHeight="1">
      <c r="A15" s="87" t="inlineStr">
        <is>
          <t>INPUT_FORMAT</t>
        </is>
      </c>
      <c r="B15" s="98" t="inlineStr">
        <is>
          <t>input_format_options</t>
        </is>
      </c>
      <c r="C15" s="89" t="inlineStr">
        <is>
          <t>Input Format Options</t>
        </is>
      </c>
      <c r="D15" s="90" t="inlineStr">
        <is>
          <t>Optional</t>
        </is>
      </c>
      <c r="E15" s="91" t="inlineStr">
        <is>
          <t>To set the decimal separator for CSV files. 
Default it is a point ("."). The only possble alternative is to set a comma (",") using DECIMAL_SEPARATOR=",".
For a comma the whole line becomes: INPUT_FORMAT;AIFMD;V1;DECIMAL_SEPARATOR=","</t>
        </is>
      </c>
    </row>
    <row r="16">
      <c r="A16" s="87" t="n"/>
      <c r="B16" s="88" t="n"/>
      <c r="C16" s="89" t="n"/>
    </row>
    <row r="17">
      <c r="A17" s="83" t="inlineStr">
        <is>
          <t>AIFM_NATIONAL_CODE (AIFM 24/1)</t>
        </is>
      </c>
      <c r="B17" s="93" t="n"/>
      <c r="C17" s="94" t="n"/>
      <c r="D17" s="95" t="inlineStr">
        <is>
          <t>M</t>
        </is>
      </c>
      <c r="E17" s="96" t="inlineStr">
        <is>
          <t>For all AIF Content Types</t>
        </is>
      </c>
      <c r="F17" s="97" t="n"/>
    </row>
    <row r="18">
      <c r="A18" s="87" t="inlineStr">
        <is>
          <t>AIFM_NATIONAL_CODE</t>
        </is>
      </c>
      <c r="B18" s="88" t="n">
        <v>1</v>
      </c>
      <c r="C18" s="89" t="inlineStr">
        <is>
          <t>AIFM Reporting Member State</t>
        </is>
      </c>
      <c r="D18" s="90" t="inlineStr">
        <is>
          <t>Mandatory</t>
        </is>
      </c>
      <c r="E18" s="91" t="inlineStr">
        <is>
          <t>EEA/EU Country code standard ISO-3166-1 of the Member State to which the AIFM reports the AIFMD reporting.</t>
        </is>
      </c>
    </row>
    <row r="19" ht="22.5" customHeight="1">
      <c r="A19" s="87" t="inlineStr">
        <is>
          <t>AIFM_NATIONAL_CODE</t>
        </is>
      </c>
      <c r="B19" s="88" t="n">
        <v>18</v>
      </c>
      <c r="C19" s="89" t="inlineStr">
        <is>
          <t>AIFM National Code</t>
        </is>
      </c>
      <c r="D19" s="90" t="inlineStr">
        <is>
          <t>Mandatory</t>
        </is>
      </c>
      <c r="E19" s="91" t="inlineStr">
        <is>
          <t>Unique reference identifying each AIFM allocated by the national competent authority of the reporting Member State of the AIFM to which the AIFM reports under AIFMD</t>
        </is>
      </c>
    </row>
    <row r="20" ht="22.5" customHeight="1">
      <c r="A20" s="87" t="inlineStr">
        <is>
          <t>AIFM_NATIONAL_CODE</t>
        </is>
      </c>
      <c r="B20" s="88" t="n">
        <v>24</v>
      </c>
      <c r="C20" s="89" t="inlineStr">
        <is>
          <t>Old AIFM Reporting Member State</t>
        </is>
      </c>
      <c r="D20" s="90" t="inlineStr">
        <is>
          <t>C
M for Old AIFM National Code filled in</t>
        </is>
      </c>
      <c r="E20" s="91" t="inlineStr">
        <is>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is>
      </c>
    </row>
    <row r="21" ht="22.5" customHeight="1">
      <c r="A21" s="87" t="inlineStr">
        <is>
          <t>AIFM_NATIONAL_CODE</t>
        </is>
      </c>
      <c r="B21" s="88" t="n">
        <v>25</v>
      </c>
      <c r="C21" s="89" t="inlineStr">
        <is>
          <t>Old AIFM National Code</t>
        </is>
      </c>
      <c r="D21" s="90" t="inlineStr">
        <is>
          <t>C
M for Old AIFM Reporting Member State filled in</t>
        </is>
      </c>
      <c r="E21" s="91" t="inlineStr">
        <is>
          <t>Former national identification code to provide when the national identification code of the AIFM changes (for the first reporting following the change of the national code and any subsequent reporting).</t>
        </is>
      </c>
    </row>
    <row r="22" ht="22.5" customHeight="1">
      <c r="A22" s="87" t="inlineStr">
        <is>
          <t>AIFM_NATIONAL_CODE</t>
        </is>
      </c>
      <c r="B22" s="88" t="inlineStr">
        <is>
          <t>CNC</t>
        </is>
      </c>
      <c r="C22" s="89" t="inlineStr">
        <is>
          <t>Custom National Code</t>
        </is>
      </c>
      <c r="D22" s="90" t="inlineStr">
        <is>
          <t>Conditional</t>
        </is>
      </c>
      <c r="E22" s="91" t="inlineStr">
        <is>
          <t>Mandatory when 'AIFM Reporting Member State' [AIFM 1] is 'LU', forbidden otherwise.
Currently only used for the Luxembourg file name convention, as "Identification number of the sender".</t>
        </is>
      </c>
    </row>
    <row r="23">
      <c r="A23" s="87" t="n"/>
      <c r="B23" s="88" t="n"/>
      <c r="C23" s="89" t="n"/>
    </row>
    <row r="24">
      <c r="A24" s="83" t="inlineStr">
        <is>
          <t>AIF_NATIONAL_CODE (AIF 24/1)</t>
        </is>
      </c>
      <c r="B24" s="93" t="n"/>
      <c r="C24" s="94" t="n"/>
      <c r="D24" s="95" t="inlineStr">
        <is>
          <t>M</t>
        </is>
      </c>
      <c r="E24" s="96" t="inlineStr">
        <is>
          <t>For all AIF Content Types</t>
        </is>
      </c>
      <c r="F24" s="97" t="n"/>
    </row>
    <row r="25">
      <c r="A25" s="87" t="inlineStr">
        <is>
          <t>AIF_NATIONAL_CODE</t>
        </is>
      </c>
      <c r="B25" s="88" t="inlineStr">
        <is>
          <t>AIF_ID</t>
        </is>
      </c>
      <c r="C25" s="89" t="inlineStr">
        <is>
          <t>Custom AIF Identification</t>
        </is>
      </c>
      <c r="D25" s="90" t="inlineStr">
        <is>
          <t>Mandatory</t>
        </is>
      </c>
      <c r="E25" s="89" t="inlineStr">
        <is>
          <t>Custom AIF Identification to link AIF records to the correct AIF</t>
        </is>
      </c>
    </row>
    <row r="26">
      <c r="A26" s="87" t="inlineStr">
        <is>
          <t>AIF_NATIONAL_CODE</t>
        </is>
      </c>
      <c r="B26" s="88" t="n">
        <v>1</v>
      </c>
      <c r="C26" s="89" t="inlineStr">
        <is>
          <t>AIF Reporting Member State</t>
        </is>
      </c>
      <c r="D26" s="90" t="inlineStr">
        <is>
          <t>Mandatory</t>
        </is>
      </c>
      <c r="E26" s="91" t="inlineStr">
        <is>
          <t>EEA/EU Country code standard ISO-3166-1 of the Member State to which the AIFM reports the AIFMD reporting.</t>
        </is>
      </c>
    </row>
    <row r="27" ht="22.5" customHeight="1">
      <c r="A27" s="87" t="inlineStr">
        <is>
          <t>AIF_NATIONAL_CODE</t>
        </is>
      </c>
      <c r="B27" s="88" t="n">
        <v>17</v>
      </c>
      <c r="C27" s="89" t="inlineStr">
        <is>
          <t>AIF National Code</t>
        </is>
      </c>
      <c r="D27" s="90" t="inlineStr">
        <is>
          <t>Mandatory</t>
        </is>
      </c>
      <c r="E27" s="91" t="inlineStr">
        <is>
          <t>Unique reference identifying each AIF allocated by the national competent authority of the reporting Member State of the AIFM to which the AIFM reports under AIFMD</t>
        </is>
      </c>
    </row>
    <row r="28" ht="22.5" customHeight="1">
      <c r="A28" s="87" t="inlineStr">
        <is>
          <t>AIF_NATIONAL_CODE</t>
        </is>
      </c>
      <c r="B28" s="88" t="n">
        <v>31</v>
      </c>
      <c r="C28" s="89" t="inlineStr">
        <is>
          <t>Old AIF Reporting Member State</t>
        </is>
      </c>
      <c r="D28" s="90" t="inlineStr">
        <is>
          <t>C
M for Old AIF National Code filled in</t>
        </is>
      </c>
      <c r="E28" s="91" t="inlineStr">
        <is>
          <t>EEA/EU Country code standard ISO-3166-1 of the reporting Member State to which the AIFM reports under AIFMD when the national code identifying the AIF has been modified.</t>
        </is>
      </c>
    </row>
    <row r="29" ht="22.5" customHeight="1">
      <c r="A29" s="87" t="inlineStr">
        <is>
          <t>AIF_NATIONAL_CODE</t>
        </is>
      </c>
      <c r="B29" s="88" t="n">
        <v>32</v>
      </c>
      <c r="C29" s="89" t="inlineStr">
        <is>
          <t>Old AIF National Code</t>
        </is>
      </c>
      <c r="D29" s="90" t="inlineStr">
        <is>
          <t>C
M for Old AIF Reporting Member State filled in</t>
        </is>
      </c>
      <c r="E29" s="91" t="inlineStr">
        <is>
          <t>Former national identification code to provide when the national identification code of the AIF changes (for the first reporting following the change of the national code and any subsequent reporting).</t>
        </is>
      </c>
    </row>
    <row r="30">
      <c r="A30" s="87" t="n"/>
      <c r="B30" s="88" t="n"/>
      <c r="C30" s="89" t="n"/>
    </row>
    <row r="31">
      <c r="A31" s="83" t="inlineStr">
        <is>
          <t>The AIFM input record describes the AIFM (AIFM 24/1)</t>
        </is>
      </c>
      <c r="B31" s="93" t="n"/>
      <c r="C31" s="94" t="n"/>
      <c r="D31" s="95" t="inlineStr">
        <is>
          <t>M</t>
        </is>
      </c>
      <c r="E31" s="96" t="inlineStr">
        <is>
          <t>For all AIF Content Types</t>
        </is>
      </c>
      <c r="F31" s="97" t="n"/>
    </row>
    <row r="32" ht="45" customHeight="1">
      <c r="A32" s="87" t="inlineStr">
        <is>
          <t>AIFM</t>
        </is>
      </c>
      <c r="B32" s="88" t="n">
        <v>4</v>
      </c>
      <c r="C32" s="89" t="inlineStr">
        <is>
          <t>Filing Type</t>
        </is>
      </c>
      <c r="D32" s="90" t="inlineStr">
        <is>
          <t>Optional</t>
        </is>
      </c>
      <c r="E32" s="91" t="inlineStr">
        <is>
          <t>The filling types admitted are:
  - AMND for "amendment to one reporting previously submitted"
  - INIT or empty for "initial reporting for the reporting period"
  - CANCEL for "cancel one reporting previously submitted"</t>
        </is>
      </c>
    </row>
    <row r="33" ht="56.25" customHeight="1">
      <c r="A33" s="87" t="inlineStr">
        <is>
          <t>AIFM</t>
        </is>
      </c>
      <c r="B33" s="88" t="n">
        <v>5</v>
      </c>
      <c r="C33" s="89" t="inlineStr">
        <is>
          <t>AIFM Content Type</t>
        </is>
      </c>
      <c r="D33" s="90" t="inlineStr">
        <is>
          <t>Mandatory</t>
        </is>
      </c>
      <c r="E33" s="91" t="inlineStr">
        <is>
          <t>Code indicating the contents of the AIFM reporting.
The AIFM content types admitted are:
  - 1 for "24(1) reporting contents for all AIFs managed"
  - 2 for "3(3) (d) reporting  contents for all AIFs managed"
  - 3 for "24(1) reporting contents for all AIFs marketed in the Member State"</t>
        </is>
      </c>
    </row>
    <row r="34" ht="33.75" customHeight="1">
      <c r="A34" s="87" t="inlineStr">
        <is>
          <t>AIFM</t>
        </is>
      </c>
      <c r="B34" s="88" t="n">
        <v>6</v>
      </c>
      <c r="C34" s="89" t="inlineStr">
        <is>
          <t>Reporting Period Start Date</t>
        </is>
      </c>
      <c r="D34" s="90" t="inlineStr">
        <is>
          <t>Legacy</t>
        </is>
      </c>
      <c r="E34" s="91" t="inlineStr">
        <is>
          <t>Legacy, not needed anymore. Now determined based on Reporting Period Type and Reporting Period Year.
The start date of the reporting period should begin on  the first calendar of January, April, July or October.</t>
        </is>
      </c>
    </row>
    <row r="35" ht="45" customHeight="1">
      <c r="A35" s="87" t="inlineStr">
        <is>
          <t>AIFM</t>
        </is>
      </c>
      <c r="B35" s="88" t="n">
        <v>7</v>
      </c>
      <c r="C35" s="89" t="inlineStr">
        <is>
          <t>Reporting Period End Date</t>
        </is>
      </c>
      <c r="D35" s="90" t="inlineStr">
        <is>
          <t>Legacy</t>
        </is>
      </c>
      <c r="E35" s="91" t="inlineStr">
        <is>
          <t>Legacy, not needed anymore. Now determined based on Reporting Period Type and Reporting Period Year.
The end date of the reporting period may be the last calendar day of March, June, September or December,
or (only when the Last Reporting Flag [13] is set) the last day the AIFM exists.</t>
        </is>
      </c>
    </row>
    <row r="36" ht="258.75" customHeight="1">
      <c r="A36" s="87" t="inlineStr">
        <is>
          <t>AIFM</t>
        </is>
      </c>
      <c r="B36" s="88" t="n">
        <v>8</v>
      </c>
      <c r="C36" s="89" t="inlineStr">
        <is>
          <t>Reporting Period Type</t>
        </is>
      </c>
      <c r="D36" s="90" t="inlineStr">
        <is>
          <t>Mandatory</t>
        </is>
      </c>
      <c r="E36" s="91"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37">
      <c r="A37" s="87" t="inlineStr">
        <is>
          <t>AIFM</t>
        </is>
      </c>
      <c r="B37" s="88" t="n">
        <v>9</v>
      </c>
      <c r="C37" s="89" t="inlineStr">
        <is>
          <t>Reporting Period Year</t>
        </is>
      </c>
      <c r="D37" s="90" t="inlineStr">
        <is>
          <t>Mandatory</t>
        </is>
      </c>
      <c r="E37" s="91" t="inlineStr">
        <is>
          <t>The reporting period year (2013, 2014…).</t>
        </is>
      </c>
    </row>
    <row r="38">
      <c r="A38" s="87" t="inlineStr">
        <is>
          <t>AIFM</t>
        </is>
      </c>
      <c r="B38" s="88" t="n">
        <v>10</v>
      </c>
      <c r="C38" s="89" t="inlineStr">
        <is>
          <t>Change in AIFM Reporting Obligation Frequency Code</t>
        </is>
      </c>
      <c r="D38" s="90" t="inlineStr">
        <is>
          <t>Optional</t>
        </is>
      </c>
      <c r="E38" s="91" t="inlineStr">
        <is>
          <t>The codes to report a change in the AIFM reporting obligation frequency are contained in Annex II - Table 8 and 10, available via our Help page.</t>
        </is>
      </c>
      <c r="F38" s="99" t="n"/>
    </row>
    <row r="39">
      <c r="A39" s="87" t="inlineStr">
        <is>
          <t>AIFM</t>
        </is>
      </c>
      <c r="B39" s="88" t="n">
        <v>11</v>
      </c>
      <c r="C39" s="89" t="inlineStr">
        <is>
          <t>Change in AIFM Reporting Obligation contents Code</t>
        </is>
      </c>
      <c r="D39" s="90" t="inlineStr">
        <is>
          <t>Optional</t>
        </is>
      </c>
      <c r="E39" s="91" t="inlineStr">
        <is>
          <t>The codes to report a change in the AIFM reporting obligation contents are contained in Annex II - Table 8, available via our Help page.</t>
        </is>
      </c>
      <c r="F39" s="99" t="n"/>
    </row>
    <row r="40" ht="67.5" customHeight="1">
      <c r="A40" s="87" t="inlineStr">
        <is>
          <t>AIFM</t>
        </is>
      </c>
      <c r="B40" s="88" t="n">
        <v>12</v>
      </c>
      <c r="C40" s="89" t="inlineStr">
        <is>
          <t>Change in AIFM Reporting Obligation Quarter</t>
        </is>
      </c>
      <c r="D40" s="90" t="inlineStr">
        <is>
          <t>C
M when AIFM 10 or AIFM 11 are filled in.</t>
        </is>
      </c>
      <c r="E40" s="91" t="inlineStr">
        <is>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is>
      </c>
      <c r="F40" s="99" t="n"/>
    </row>
    <row r="41" ht="45" customHeight="1">
      <c r="A41" s="87" t="inlineStr">
        <is>
          <t>AIFM</t>
        </is>
      </c>
      <c r="B41" s="88" t="n">
        <v>13</v>
      </c>
      <c r="C41" s="89" t="inlineStr">
        <is>
          <t>Last Reporting Flag</t>
        </is>
      </c>
      <c r="D41" s="90" t="inlineStr">
        <is>
          <t>Mandatory</t>
        </is>
      </c>
      <c r="E41" s="118" t="inlineStr">
        <is>
          <t>Flag indicating whether the reporting is the last reporting. To be filled in when the AIFM has been liquidated or merged during the reporting period.
true for last AIFM reporting file.
false otherwise</t>
        </is>
      </c>
    </row>
    <row r="42" ht="146.25" customHeight="1">
      <c r="A42" s="87" t="inlineStr">
        <is>
          <t>AIFM</t>
        </is>
      </c>
      <c r="B42" s="88" t="n">
        <v>16</v>
      </c>
      <c r="C42" s="89" t="inlineStr">
        <is>
          <t>AIFM Reporting Code</t>
        </is>
      </c>
      <c r="D42" s="90" t="inlineStr">
        <is>
          <t>Mandatory</t>
        </is>
      </c>
      <c r="E42" s="91" t="inlineStr">
        <is>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is>
      </c>
      <c r="F42" s="99" t="inlineStr">
        <is>
          <t>See tab: #DOC Reporting Code</t>
        </is>
      </c>
    </row>
    <row r="43">
      <c r="A43" s="87" t="inlineStr">
        <is>
          <t>AIFM</t>
        </is>
      </c>
      <c r="B43" s="88" t="n">
        <v>17</v>
      </c>
      <c r="C43" s="89" t="inlineStr">
        <is>
          <t>AIFM Jurisdiction</t>
        </is>
      </c>
      <c r="D43" s="90" t="inlineStr">
        <is>
          <t>Mandatory</t>
        </is>
      </c>
      <c r="E43" s="91" t="inlineStr">
        <is>
          <t>Jurisdiction in which the AIFM is established (Country code standard ISO-3166-1)</t>
        </is>
      </c>
    </row>
    <row r="44" ht="22.5" customHeight="1">
      <c r="A44" s="87" t="inlineStr">
        <is>
          <t>AIFM</t>
        </is>
      </c>
      <c r="B44" s="88" t="n">
        <v>19</v>
      </c>
      <c r="C44" s="89" t="inlineStr">
        <is>
          <t>AIFM Name</t>
        </is>
      </c>
      <c r="D44" s="90" t="inlineStr">
        <is>
          <t>Mandatory</t>
        </is>
      </c>
      <c r="E44" s="91" t="inlineStr">
        <is>
          <t>Alternative Investment Fund manager name. (no standard)
It is strongly recommended to provide the full name corresponding to the allocated LEI code (or BIC code if any and LEI not available).</t>
        </is>
      </c>
    </row>
    <row r="45" ht="56.25" customHeight="1">
      <c r="A45" s="87" t="inlineStr">
        <is>
          <t>AIFM</t>
        </is>
      </c>
      <c r="B45" s="88" t="n">
        <v>20</v>
      </c>
      <c r="C45" s="89" t="inlineStr">
        <is>
          <t>AIFM EEA Flag</t>
        </is>
      </c>
      <c r="D45" s="90" t="inlineStr">
        <is>
          <t>Legacy</t>
        </is>
      </c>
      <c r="E45" s="91" t="inlineStr">
        <is>
          <t xml:space="preserve">Legacy, not needed anymore. Now determined based on AIFM Jurisdiction.
Flag indicating whether the AIFM is domiciled in the EEA.
true for EEA AIFMs
false for non-EEA AIFMs  </t>
        </is>
      </c>
    </row>
    <row r="46" ht="56.25" customHeight="1">
      <c r="A46" s="87" t="inlineStr">
        <is>
          <t>AIFM</t>
        </is>
      </c>
      <c r="B46" s="88" t="n">
        <v>21</v>
      </c>
      <c r="C46" s="89" t="inlineStr">
        <is>
          <t>AIFM no reporting flag</t>
        </is>
      </c>
      <c r="D46" s="90" t="inlineStr">
        <is>
          <t>Mandatory</t>
        </is>
      </c>
      <c r="E46" s="91" t="inlineStr">
        <is>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is>
      </c>
    </row>
    <row r="47" ht="67.5" customHeight="1">
      <c r="A47" s="87" t="inlineStr">
        <is>
          <t>AIFM</t>
        </is>
      </c>
      <c r="B47" s="88" t="n">
        <v>22</v>
      </c>
      <c r="C47" s="89" t="inlineStr">
        <is>
          <t>AIFM LEI Code</t>
        </is>
      </c>
      <c r="D47" s="90" t="inlineStr">
        <is>
          <t>C
Mandatory when present in www.gleif.org</t>
        </is>
      </c>
      <c r="E47" s="117"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48">
      <c r="A48" s="87" t="inlineStr">
        <is>
          <t>AIFM</t>
        </is>
      </c>
      <c r="B48" s="88" t="n">
        <v>23</v>
      </c>
      <c r="C48" s="89" t="inlineStr">
        <is>
          <t>AIFM BIC Code</t>
        </is>
      </c>
      <c r="D48" s="90" t="inlineStr">
        <is>
          <t>O</t>
        </is>
      </c>
      <c r="E48" s="117" t="inlineStr">
        <is>
          <t>11 Character BIC code of the entity (ISO 9362 standard)</t>
        </is>
      </c>
    </row>
    <row r="49"/>
    <row r="50">
      <c r="A50" s="83" t="inlineStr">
        <is>
          <t>The AIF input record describes the AIF (AIF 24/1)</t>
        </is>
      </c>
      <c r="B50" s="100" t="n"/>
      <c r="C50" s="101" t="n"/>
      <c r="D50" s="95" t="inlineStr">
        <is>
          <t>M</t>
        </is>
      </c>
      <c r="E50" s="96" t="inlineStr">
        <is>
          <t>For all AIF Content Types</t>
        </is>
      </c>
      <c r="F50" s="102" t="n"/>
    </row>
    <row r="51">
      <c r="A51" s="87" t="inlineStr">
        <is>
          <t>AIF</t>
        </is>
      </c>
      <c r="B51" s="88" t="inlineStr">
        <is>
          <t>AIF_ID</t>
        </is>
      </c>
      <c r="C51" s="89" t="inlineStr">
        <is>
          <t>Custom AIF Identification</t>
        </is>
      </c>
      <c r="D51" s="90" t="inlineStr">
        <is>
          <t>Mandatory</t>
        </is>
      </c>
      <c r="E51" s="89" t="inlineStr">
        <is>
          <t>Custom AIF Identification to link AIF records to the correct AIF</t>
        </is>
      </c>
    </row>
    <row r="52" ht="56.25" customHeight="1">
      <c r="A52" s="87" t="inlineStr">
        <is>
          <t>AIF</t>
        </is>
      </c>
      <c r="B52" s="88" t="n">
        <v>4</v>
      </c>
      <c r="C52" s="89" t="inlineStr">
        <is>
          <t>Filing Type</t>
        </is>
      </c>
      <c r="D52" s="90" t="inlineStr">
        <is>
          <t>Optional</t>
        </is>
      </c>
      <c r="E52" s="118" t="inlineStr">
        <is>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is>
      </c>
      <c r="F52" s="91" t="inlineStr">
        <is>
          <t>For first filing will be INIT</t>
        </is>
      </c>
    </row>
    <row r="53" ht="135" customHeight="1">
      <c r="A53" s="87" t="inlineStr">
        <is>
          <t>AIF</t>
        </is>
      </c>
      <c r="B53" s="88" t="n">
        <v>5</v>
      </c>
      <c r="C53" s="89" t="inlineStr">
        <is>
          <t>AIF Content Type</t>
        </is>
      </c>
      <c r="D53" s="90" t="inlineStr">
        <is>
          <t>Mandatory</t>
        </is>
      </c>
      <c r="E53" s="118" t="inlineStr">
        <is>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is>
      </c>
      <c r="F53" s="91" t="inlineStr">
        <is>
          <t>This relates the frequency of the reporting for the fund.   
See tab: #DOC Reporting Obligation</t>
        </is>
      </c>
    </row>
    <row r="54" ht="33.75" customHeight="1">
      <c r="A54" s="87" t="inlineStr">
        <is>
          <t>AIF</t>
        </is>
      </c>
      <c r="B54" s="88" t="n">
        <v>6</v>
      </c>
      <c r="C54" s="89" t="inlineStr">
        <is>
          <t>Reporting Period Start Date</t>
        </is>
      </c>
      <c r="D54" s="90" t="inlineStr">
        <is>
          <t>Legacy</t>
        </is>
      </c>
      <c r="E54" s="118" t="inlineStr">
        <is>
          <t>Legacy, not needed anymore. Now determined based on Reporting Period Type and Reporting Period Year.
The start date of the reporting period should begin on  the first calendar day of January, April, July or October.</t>
        </is>
      </c>
    </row>
    <row r="55" ht="33.75" customHeight="1">
      <c r="A55" s="87" t="inlineStr">
        <is>
          <t>AIF</t>
        </is>
      </c>
      <c r="B55" s="88" t="n">
        <v>7</v>
      </c>
      <c r="C55" s="89" t="inlineStr">
        <is>
          <t>Reporting Period End Date</t>
        </is>
      </c>
      <c r="D55" s="90" t="inlineStr">
        <is>
          <t>Legacy</t>
        </is>
      </c>
      <c r="E55" s="91" t="inlineStr">
        <is>
          <t>Legacy, not needed anymore. Now determined based on Reporting Period Type and Reporting Period Year.
The end date of the reporting period may be the last calendar day of March, June, September or December.</t>
        </is>
      </c>
    </row>
    <row r="56" ht="258.75" customHeight="1">
      <c r="A56" s="87" t="inlineStr">
        <is>
          <t>AIF</t>
        </is>
      </c>
      <c r="B56" s="88" t="n">
        <v>8</v>
      </c>
      <c r="C56" s="89" t="inlineStr">
        <is>
          <t>Reporting Period Type</t>
        </is>
      </c>
      <c r="D56" s="90" t="inlineStr">
        <is>
          <t>Mandatory</t>
        </is>
      </c>
      <c r="E56" s="91"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57" ht="33.75" customHeight="1">
      <c r="A57" s="87" t="inlineStr">
        <is>
          <t>AIF</t>
        </is>
      </c>
      <c r="B57" s="88" t="n">
        <v>9</v>
      </c>
      <c r="C57" s="89" t="inlineStr">
        <is>
          <t>Reporting Period Year</t>
        </is>
      </c>
      <c r="D57" s="90" t="inlineStr">
        <is>
          <t>Legacy</t>
        </is>
      </c>
      <c r="E57" s="91" t="inlineStr">
        <is>
          <t>Legacy, not needed anymore. Now copied from AIFM field 9.
The reporting period year (2013, 2014…).</t>
        </is>
      </c>
    </row>
    <row r="58">
      <c r="A58" s="87" t="inlineStr">
        <is>
          <t>AIF</t>
        </is>
      </c>
      <c r="B58" s="88" t="n">
        <v>10</v>
      </c>
      <c r="C58" s="89" t="inlineStr">
        <is>
          <t>Change in AIF Reporting Obligation Frequency Code</t>
        </is>
      </c>
      <c r="D58" s="90" t="inlineStr">
        <is>
          <t>Optional</t>
        </is>
      </c>
      <c r="E58" s="118" t="inlineStr">
        <is>
          <t>The codes to report a change in the AIF reporting obligation frequency are contained in Annex II - Table 9 and 10, available via our Help page.</t>
        </is>
      </c>
    </row>
    <row r="59">
      <c r="A59" s="87" t="inlineStr">
        <is>
          <t>AIF</t>
        </is>
      </c>
      <c r="B59" s="88" t="n">
        <v>11</v>
      </c>
      <c r="C59" s="89" t="inlineStr">
        <is>
          <t>Change in AIF Reporting Obligation contents Code</t>
        </is>
      </c>
      <c r="D59" s="90" t="inlineStr">
        <is>
          <t>Optional</t>
        </is>
      </c>
      <c r="E59" s="118" t="inlineStr">
        <is>
          <t>The codes to report a change in the AIF reporting obligation contents are contained in Annex II - Table 9, available via our Help page.</t>
        </is>
      </c>
    </row>
    <row r="60" ht="90" customHeight="1">
      <c r="A60" s="87" t="inlineStr">
        <is>
          <t>AIF</t>
        </is>
      </c>
      <c r="B60" s="88" t="n">
        <v>12</v>
      </c>
      <c r="C60" s="89" t="inlineStr">
        <is>
          <t>Change in AIF Reporting Obligation Quarter</t>
        </is>
      </c>
      <c r="D60" s="90" t="inlineStr">
        <is>
          <t>C
M when AIF 10 or AIF 11 are filled in.
F otherwise.</t>
        </is>
      </c>
      <c r="E60" s="118" t="inlineStr">
        <is>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is>
      </c>
    </row>
    <row r="61" ht="33.75" customHeight="1">
      <c r="A61" s="87" t="inlineStr">
        <is>
          <t>AIF</t>
        </is>
      </c>
      <c r="B61" s="88" t="n">
        <v>13</v>
      </c>
      <c r="C61" s="89" t="inlineStr">
        <is>
          <t>Last reporting flag</t>
        </is>
      </c>
      <c r="D61" s="90" t="inlineStr">
        <is>
          <t>Mandatory</t>
        </is>
      </c>
      <c r="E61" s="137" t="inlineStr">
        <is>
          <t>Flag indicating whether the reporting is the last reporting. To be filled in when the AIF has been liquidated or merged during the reporting period.
true for last AIF reporting file.
false otherwise</t>
        </is>
      </c>
    </row>
    <row r="62" ht="22.5" customHeight="1">
      <c r="A62" s="87" t="inlineStr">
        <is>
          <t>AIF</t>
        </is>
      </c>
      <c r="B62" s="88" t="n">
        <v>18</v>
      </c>
      <c r="C62" s="89" t="inlineStr">
        <is>
          <t>AIF Name</t>
        </is>
      </c>
      <c r="D62" s="90" t="inlineStr">
        <is>
          <t>Mandatory</t>
        </is>
      </c>
      <c r="E62" s="118" t="inlineStr">
        <is>
          <t>The legal name of the AIF (no standard).
In the case of umbrella funds, the names of the umbrella fund and the sub-funds should be reported.</t>
        </is>
      </c>
    </row>
    <row r="63" ht="56.25" customHeight="1">
      <c r="A63" s="87" t="inlineStr">
        <is>
          <t>AIF</t>
        </is>
      </c>
      <c r="B63" s="88" t="n">
        <v>19</v>
      </c>
      <c r="C63" s="89" t="inlineStr">
        <is>
          <t>AIF EEA Flag</t>
        </is>
      </c>
      <c r="D63" s="90" t="inlineStr">
        <is>
          <t>Legacy</t>
        </is>
      </c>
      <c r="E63" s="118" t="inlineStr">
        <is>
          <t>Legacy, not needed anymore. Now determined based on AIFM Jurisdiction.
Flag indicating whether the AIF is domiciled in the EEA or the EU.
true for EEA or EU AIFs
false for non-EEA or EU AIFs</t>
        </is>
      </c>
    </row>
    <row r="64" ht="33.75" customHeight="1">
      <c r="A64" s="87" t="inlineStr">
        <is>
          <t>AIF</t>
        </is>
      </c>
      <c r="B64" s="88" t="n">
        <v>20</v>
      </c>
      <c r="C64" s="89" t="inlineStr">
        <is>
          <t>AIF reporting code</t>
        </is>
      </c>
      <c r="D64" s="90" t="inlineStr">
        <is>
          <t>Mandatory</t>
        </is>
      </c>
      <c r="E64" s="118" t="inlineStr">
        <is>
          <t>Code indicating the reporting category of the AIF.
See tab "#DOC Reporting Code" for a combined view.
The original ESMA table Annex II - Table 9 is available via our Help page.</t>
        </is>
      </c>
      <c r="F64" s="99" t="inlineStr">
        <is>
          <t>See tab: #DOC Reporting Code</t>
        </is>
      </c>
    </row>
    <row r="65" ht="56.25" customHeight="1">
      <c r="A65" s="87" t="inlineStr">
        <is>
          <t>AIF</t>
        </is>
      </c>
      <c r="B65" s="88" t="n">
        <v>21</v>
      </c>
      <c r="C65" s="89" t="inlineStr">
        <is>
          <t>Domicile of the AIF</t>
        </is>
      </c>
      <c r="D65" s="90" t="inlineStr">
        <is>
          <t>Conditional</t>
        </is>
      </c>
      <c r="E65" s="118" t="inlineStr">
        <is>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is>
      </c>
    </row>
    <row r="66" ht="22.5" customHeight="1">
      <c r="A66" s="87" t="inlineStr">
        <is>
          <t>AIF</t>
        </is>
      </c>
      <c r="B66" s="88" t="n">
        <v>22</v>
      </c>
      <c r="C66" s="89" t="inlineStr">
        <is>
          <t>Inception Date of AIF</t>
        </is>
      </c>
      <c r="D66" s="90" t="inlineStr">
        <is>
          <t>Mandatory</t>
        </is>
      </c>
      <c r="E66" s="118" t="inlineStr">
        <is>
          <t>The date the AIF started business (yyyy-mm-dd (ISO 8601 Date Format)).
The inception date should not be after the start date of the reporting period.</t>
        </is>
      </c>
    </row>
    <row r="67" ht="33.75" customHeight="1">
      <c r="A67" s="87" t="inlineStr">
        <is>
          <t>AIF</t>
        </is>
      </c>
      <c r="B67" s="88" t="n">
        <v>23</v>
      </c>
      <c r="C67" s="89" t="inlineStr">
        <is>
          <t>AIF No Reporting Flag</t>
        </is>
      </c>
      <c r="D67" s="90" t="inlineStr">
        <is>
          <t>Mandatory</t>
        </is>
      </c>
      <c r="E67" s="118" t="inlineStr">
        <is>
          <t>true for empty file (no information to report for the reporting period)
false otherwise
The AIFCompleteDescription block will not be filled in when the AIF no reporting flag is true.</t>
        </is>
      </c>
    </row>
    <row r="68" ht="67.5" customHeight="1">
      <c r="A68" s="87" t="inlineStr">
        <is>
          <t>AIF</t>
        </is>
      </c>
      <c r="B68" s="88" t="n">
        <v>24</v>
      </c>
      <c r="C68" s="89" t="inlineStr">
        <is>
          <t>AIF LEI code</t>
        </is>
      </c>
      <c r="D68" s="90" t="inlineStr">
        <is>
          <t>C
Mandatory when present in www.gleif.org</t>
        </is>
      </c>
      <c r="E68" s="119"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69">
      <c r="A69" s="87" t="inlineStr">
        <is>
          <t>AIF</t>
        </is>
      </c>
      <c r="B69" s="88" t="n">
        <v>25</v>
      </c>
      <c r="C69" s="89" t="inlineStr">
        <is>
          <t>AIF ISIN code</t>
        </is>
      </c>
      <c r="D69" s="90" t="inlineStr">
        <is>
          <t>Optional</t>
        </is>
      </c>
      <c r="E69" s="119" t="inlineStr">
        <is>
          <t>ISIN code (ISO 6166 standard)</t>
        </is>
      </c>
    </row>
    <row r="70">
      <c r="A70" s="87" t="inlineStr">
        <is>
          <t>AIF</t>
        </is>
      </c>
      <c r="B70" s="88" t="n">
        <v>26</v>
      </c>
      <c r="C70" s="89" t="inlineStr">
        <is>
          <t>AIF CUSIP code</t>
        </is>
      </c>
      <c r="D70" s="90" t="inlineStr">
        <is>
          <t>Optional</t>
        </is>
      </c>
      <c r="E70" s="119" t="inlineStr">
        <is>
          <t>CUSIP code</t>
        </is>
      </c>
    </row>
    <row r="71">
      <c r="A71" s="87" t="inlineStr">
        <is>
          <t>AIF</t>
        </is>
      </c>
      <c r="B71" s="88" t="n">
        <v>27</v>
      </c>
      <c r="C71" s="89" t="inlineStr">
        <is>
          <t>AIF Sedol code</t>
        </is>
      </c>
      <c r="D71" s="90" t="inlineStr">
        <is>
          <t>Optional</t>
        </is>
      </c>
      <c r="E71" s="119" t="inlineStr">
        <is>
          <t>SEDOL code</t>
        </is>
      </c>
    </row>
    <row r="72">
      <c r="A72" s="87" t="inlineStr">
        <is>
          <t>AIF</t>
        </is>
      </c>
      <c r="B72" s="88" t="n">
        <v>28</v>
      </c>
      <c r="C72" s="89" t="inlineStr">
        <is>
          <t>AIF Bloomberg code</t>
        </is>
      </c>
      <c r="D72" s="90" t="inlineStr">
        <is>
          <t>Optional</t>
        </is>
      </c>
      <c r="E72" s="119" t="inlineStr">
        <is>
          <t>Bloomberg ticker symbol</t>
        </is>
      </c>
    </row>
    <row r="73">
      <c r="A73" s="87" t="inlineStr">
        <is>
          <t>AIF</t>
        </is>
      </c>
      <c r="B73" s="88" t="n">
        <v>29</v>
      </c>
      <c r="C73" s="89" t="inlineStr">
        <is>
          <t>AIF Reuters code</t>
        </is>
      </c>
      <c r="D73" s="90" t="inlineStr">
        <is>
          <t>Optional</t>
        </is>
      </c>
      <c r="E73" s="119" t="inlineStr">
        <is>
          <t>Reuters Identifier Code (RIC)</t>
        </is>
      </c>
    </row>
    <row r="74">
      <c r="A74" s="87" t="inlineStr">
        <is>
          <t>AIF</t>
        </is>
      </c>
      <c r="B74" s="88" t="n">
        <v>30</v>
      </c>
      <c r="C74" s="89" t="inlineStr">
        <is>
          <t>AIF ECB code</t>
        </is>
      </c>
      <c r="D74" s="90" t="inlineStr">
        <is>
          <t>Optional</t>
        </is>
      </c>
      <c r="E74" s="119" t="inlineStr">
        <is>
          <t>European Central Bank code</t>
        </is>
      </c>
    </row>
    <row r="75" ht="45" customHeight="1">
      <c r="A75" s="87" t="inlineStr">
        <is>
          <t>AIF</t>
        </is>
      </c>
      <c r="B75" s="88" t="n">
        <v>41</v>
      </c>
      <c r="C75" s="89" t="inlineStr">
        <is>
          <t>Master feeder status</t>
        </is>
      </c>
      <c r="D75" s="90" t="inlineStr">
        <is>
          <t>Optional</t>
        </is>
      </c>
      <c r="E75" s="118" t="inlineStr">
        <is>
          <t xml:space="preserve">3 status are admitted:
- “MASTER” for master AIF
- “FEEDER” for feeder AIF 
- “NONE” or empty in other cases </t>
        </is>
      </c>
    </row>
    <row r="76" ht="22.5" customHeight="1">
      <c r="A76" s="87" t="inlineStr">
        <is>
          <t>AIF</t>
        </is>
      </c>
      <c r="B76" s="88" t="n">
        <v>49</v>
      </c>
      <c r="C76" s="89" t="inlineStr">
        <is>
          <t>Base currency of the AIF</t>
        </is>
      </c>
      <c r="D76" s="90" t="inlineStr">
        <is>
          <t>M</t>
        </is>
      </c>
      <c r="E76" s="118"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77" ht="45" customHeight="1">
      <c r="A77" s="87" t="inlineStr">
        <is>
          <t>AIF</t>
        </is>
      </c>
      <c r="B77" s="88" t="n">
        <v>48</v>
      </c>
      <c r="C77" s="89" t="inlineStr">
        <is>
          <t>Total AuM amount of the AIF in base currency</t>
        </is>
      </c>
      <c r="D77" s="90" t="inlineStr">
        <is>
          <t>Optional</t>
        </is>
      </c>
      <c r="E77" s="118" t="inlineStr">
        <is>
          <t>Optional. If left empty, the system calculates this as the sum of the POSITION records field Instrument position value [76].
Value in base currency of the AIF of Assets under management (AuM) for the AIF, using the method set out in Articles 2 and 10 of the Regulation 231/2013.</t>
        </is>
      </c>
    </row>
    <row r="78" ht="33.75" customHeight="1">
      <c r="A78" s="87" t="inlineStr">
        <is>
          <t>AIF</t>
        </is>
      </c>
      <c r="B78" s="88" t="n">
        <v>53</v>
      </c>
      <c r="C78" s="89" t="inlineStr">
        <is>
          <t>Total Net Asset Value (NAV) of the AIF in base currency</t>
        </is>
      </c>
      <c r="D78" s="90" t="inlineStr">
        <is>
          <t>Optional</t>
        </is>
      </c>
      <c r="E78" s="134" t="inlineStr">
        <is>
          <t>Optional. If left empty, the system calculates this as the sum of the POSITION records field Net Asset Value [NAV].
The total Total Net Asset Value (NAV) of the AIF expressed in base currency.</t>
        </is>
      </c>
    </row>
    <row r="79">
      <c r="A79" s="87" t="inlineStr">
        <is>
          <t>AIF</t>
        </is>
      </c>
      <c r="B79" s="88" t="n">
        <v>54</v>
      </c>
      <c r="C79" s="89" t="inlineStr">
        <is>
          <t>First funding source country</t>
        </is>
      </c>
      <c r="D79" s="90" t="inlineStr">
        <is>
          <t>Optional</t>
        </is>
      </c>
      <c r="E79" s="118" t="inlineStr">
        <is>
          <t>The country of the first main funding source (counterparty of the liability) using the country code standard ISO-3166-1.</t>
        </is>
      </c>
    </row>
    <row r="80">
      <c r="A80" s="87" t="inlineStr">
        <is>
          <t>AIF</t>
        </is>
      </c>
      <c r="B80" s="88" t="n">
        <v>55</v>
      </c>
      <c r="C80" s="89" t="inlineStr">
        <is>
          <t>Second funding source country</t>
        </is>
      </c>
      <c r="D80" s="90" t="inlineStr">
        <is>
          <t>Optional</t>
        </is>
      </c>
      <c r="E80" s="118" t="inlineStr">
        <is>
          <t>The country of the second main funding source (counterparty of the liability) using the country code standard ISO-3166-1.</t>
        </is>
      </c>
    </row>
    <row r="81">
      <c r="A81" s="87" t="inlineStr">
        <is>
          <t>AIF</t>
        </is>
      </c>
      <c r="B81" s="88" t="n">
        <v>56</v>
      </c>
      <c r="C81" s="89" t="inlineStr">
        <is>
          <t>Third funding source country</t>
        </is>
      </c>
      <c r="D81" s="90" t="inlineStr">
        <is>
          <t>Optional</t>
        </is>
      </c>
      <c r="E81" s="118" t="inlineStr">
        <is>
          <t>The country of the third main funding source (counterparty of the liability) using the country code standard ISO-3166-1.</t>
        </is>
      </c>
    </row>
    <row r="82" ht="45" customHeight="1">
      <c r="A82" s="87" t="inlineStr">
        <is>
          <t>AIF</t>
        </is>
      </c>
      <c r="B82" s="88" t="n">
        <v>62</v>
      </c>
      <c r="C82" s="89" t="inlineStr">
        <is>
          <t>Number of transactions under HFT</t>
        </is>
      </c>
      <c r="D82" s="90" t="inlineStr">
        <is>
          <t>Optional</t>
        </is>
      </c>
      <c r="E82" s="118" t="inlineStr">
        <is>
          <t>The total number of transactions carried out using a high frequency algorithmic trading technique, as defined in the forthcoming revised Markets in Financial Instruments Directive (MiFID II).
Reported as 0 to the FSMA (BE) when not filled in.</t>
        </is>
      </c>
    </row>
    <row r="83" ht="48.6" customHeight="1">
      <c r="A83" s="87" t="inlineStr">
        <is>
          <t>AIF</t>
        </is>
      </c>
      <c r="B83" s="88" t="n">
        <v>63</v>
      </c>
      <c r="C83" s="89" t="inlineStr">
        <is>
          <t>Market value of buys and sells in base currency under HFT</t>
        </is>
      </c>
      <c r="D83" s="90" t="inlineStr">
        <is>
          <t>Optional</t>
        </is>
      </c>
      <c r="E83" s="118" t="inlineStr">
        <is>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
Reported as 0 to the FSMA (BE) when not filled in.</t>
        </is>
      </c>
    </row>
    <row r="84" ht="101.25" customHeight="1">
      <c r="A84" s="87" t="inlineStr">
        <is>
          <t>AIF</t>
        </is>
      </c>
      <c r="B84" s="88" t="n">
        <v>113</v>
      </c>
      <c r="C84" s="89" t="inlineStr">
        <is>
          <t>Position size type</t>
        </is>
      </c>
      <c r="D84" s="90" t="inlineStr">
        <is>
          <t>C
M for “PEQF” predominant AIF type
ignored otherwise</t>
        </is>
      </c>
      <c r="E84" s="118" t="inlineStr">
        <is>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ignored otherwise.</t>
        </is>
      </c>
      <c r="F84" s="99" t="inlineStr">
        <is>
          <t>See tab: #DOC Annex II Tables</t>
        </is>
      </c>
    </row>
    <row r="85" ht="33.75" customHeight="1">
      <c r="A85" s="87" t="inlineStr">
        <is>
          <t>AIF</t>
        </is>
      </c>
      <c r="B85" s="88" t="n">
        <v>118</v>
      </c>
      <c r="C85" s="89" t="inlineStr">
        <is>
          <t>Beneficially owned percentage by top 5 beneficial owners</t>
        </is>
      </c>
      <c r="D85" s="90" t="inlineStr">
        <is>
          <t>Mandatory</t>
        </is>
      </c>
      <c r="E85" s="91" t="inlineStr">
        <is>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is>
      </c>
    </row>
    <row r="86" ht="56.25" customHeight="1">
      <c r="A86" s="87" t="inlineStr">
        <is>
          <t>AIF</t>
        </is>
      </c>
      <c r="B86" s="88" t="n">
        <v>137</v>
      </c>
      <c r="C86" s="89" t="inlineStr">
        <is>
          <t>Expected annual investment return</t>
        </is>
      </c>
      <c r="D86" s="90" t="inlineStr">
        <is>
          <t>C
Optional for AIF Content types 2 and 4 (AIF field 5),
ignored otherwise.</t>
        </is>
      </c>
      <c r="E86" s="118" t="inlineStr">
        <is>
          <t xml:space="preserve">Expected annual investment return/IRR in normal market conditions (in %)
Rate expressed as a percentage. 
When there is no expected annual return/IRR in normal market conditions to report, AIFMs should report the value ‘NA’ for non-applicable.
</t>
        </is>
      </c>
      <c r="F86" s="91" t="inlineStr">
        <is>
          <t>In this reporting template, leave empty to report 'NA'.</t>
        </is>
      </c>
    </row>
    <row r="87" ht="33.75" customHeight="1">
      <c r="A87" s="87" t="inlineStr">
        <is>
          <t>AIF</t>
        </is>
      </c>
      <c r="B87" s="88" t="n">
        <v>120</v>
      </c>
      <c r="C87" s="89" t="inlineStr">
        <is>
          <t xml:space="preserve">Investor Concentration percentage by retail investors </t>
        </is>
      </c>
      <c r="D87" s="90" t="inlineStr">
        <is>
          <t>C
Mandatory for AIF Content types 1,3 and 5 (AIF field 5),
optional otherwise.</t>
        </is>
      </c>
      <c r="E87" s="91" t="inlineStr">
        <is>
          <t>Rate expressed as a percentage.
If empty, the percentage is taken from the INVESTOR record with Investor Group Type "HHLD". 
Field 119 "Investor Concentration percentage by professional clients" is caculated as 100 - this percentage.</t>
        </is>
      </c>
    </row>
    <row r="88" ht="45" customHeight="1">
      <c r="A88" s="87" t="inlineStr">
        <is>
          <t>AIF</t>
        </is>
      </c>
      <c r="B88" s="88" t="n">
        <v>218</v>
      </c>
      <c r="C88" s="89" t="inlineStr">
        <is>
          <t>Total number of open positions</t>
        </is>
      </c>
      <c r="D88" s="90" t="inlineStr">
        <is>
          <t>C
Optional for AIF Content types 2 and 4 (AIF field 5),
ignored otherwise.</t>
        </is>
      </c>
      <c r="E88" s="91" t="inlineStr">
        <is>
          <t>Total number of open positions.
Only needed if different from the number of POSITION records.
If empty, the total number of POSITION records per AIF is used.
Optional for AIF Content types 2 and 4 (AIF field 5), ignored otherwise.</t>
        </is>
      </c>
    </row>
    <row r="89">
      <c r="A89" s="87" t="n"/>
      <c r="B89" s="88" t="n"/>
      <c r="C89" s="89" t="n"/>
    </row>
    <row r="90">
      <c r="A90" s="83" t="inlineStr">
        <is>
          <t>The AIF_EXTERNAL input record describes AIF which are reported by an external company. This data is only used on form AIFM 24(1).</t>
        </is>
      </c>
      <c r="B90" s="93" t="n"/>
      <c r="C90" s="94" t="n"/>
      <c r="D90" s="95" t="inlineStr">
        <is>
          <t>C</t>
        </is>
      </c>
      <c r="E90" s="96" t="inlineStr">
        <is>
          <t>For all AIF Content Types</t>
        </is>
      </c>
      <c r="F90" s="97" t="n"/>
    </row>
    <row r="91">
      <c r="A91" s="87" t="inlineStr">
        <is>
          <t>AIF_EXTERNAL</t>
        </is>
      </c>
      <c r="B91" s="88" t="inlineStr">
        <is>
          <t>AIF_ID</t>
        </is>
      </c>
      <c r="C91" s="89" t="inlineStr">
        <is>
          <t>Custom AIF Identification</t>
        </is>
      </c>
      <c r="D91" s="90" t="inlineStr">
        <is>
          <t>Mandatory</t>
        </is>
      </c>
      <c r="E91" s="89" t="inlineStr">
        <is>
          <t>Custom AIF Identification to link External AIF records to the correct External AIF</t>
        </is>
      </c>
    </row>
    <row r="92" ht="33.75" customHeight="1">
      <c r="A92" s="87" t="inlineStr">
        <is>
          <t>AIF_EXTERNAL</t>
        </is>
      </c>
      <c r="B92" s="88" t="n">
        <v>6</v>
      </c>
      <c r="C92" s="89" t="inlineStr">
        <is>
          <t>Reporting Period Start Date</t>
        </is>
      </c>
      <c r="D92" s="90" t="inlineStr">
        <is>
          <t>Legacy</t>
        </is>
      </c>
      <c r="E92" s="118" t="inlineStr">
        <is>
          <t>Legacy, not needed anymore. Now determined based on Reporting Period Type and Reporting Period Year.
The start date of the reporting period should begin on  the first calendar day of January, April, July or October.</t>
        </is>
      </c>
    </row>
    <row r="93" ht="33.75" customHeight="1">
      <c r="A93" s="87" t="inlineStr">
        <is>
          <t>AIF_EXTERNAL</t>
        </is>
      </c>
      <c r="B93" s="88" t="n">
        <v>7</v>
      </c>
      <c r="C93" s="89" t="inlineStr">
        <is>
          <t>Reporting Period End Date</t>
        </is>
      </c>
      <c r="D93" s="90" t="inlineStr">
        <is>
          <t>Legacy</t>
        </is>
      </c>
      <c r="E93" s="91" t="inlineStr">
        <is>
          <t>Legacy, not needed anymore. Now determined based on Reporting Period Type and Reporting Period Year.
The end date of the reporting period may be the last calendar day of March, June, September or December.</t>
        </is>
      </c>
    </row>
    <row r="94" ht="281.25" customHeight="1">
      <c r="A94" s="87" t="inlineStr">
        <is>
          <t>AIF_EXTERNAL</t>
        </is>
      </c>
      <c r="B94" s="88" t="n">
        <v>8</v>
      </c>
      <c r="C94" s="89" t="inlineStr">
        <is>
          <t>Reporting Period Type</t>
        </is>
      </c>
      <c r="D94" s="90" t="inlineStr">
        <is>
          <t>Legacy</t>
        </is>
      </c>
      <c r="E94" s="91" t="inlineStr">
        <is>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95" ht="33.75" customHeight="1">
      <c r="A95" s="87" t="inlineStr">
        <is>
          <t>AIF_EXTERNAL</t>
        </is>
      </c>
      <c r="B95" s="88" t="n">
        <v>9</v>
      </c>
      <c r="C95" s="89" t="inlineStr">
        <is>
          <t>Reporting Period Year</t>
        </is>
      </c>
      <c r="D95" s="90" t="inlineStr">
        <is>
          <t>Legacy</t>
        </is>
      </c>
      <c r="E95" s="91" t="inlineStr">
        <is>
          <t>Legacy, not needed anymore. Now copied from AIFM field 9.
The reporting period year (2013, 2014…).</t>
        </is>
      </c>
    </row>
    <row r="96" ht="22.5" customHeight="1">
      <c r="A96" s="87" t="inlineStr">
        <is>
          <t>AIF_EXTERNAL</t>
        </is>
      </c>
      <c r="B96" s="88" t="n">
        <v>49</v>
      </c>
      <c r="C96" s="89" t="inlineStr">
        <is>
          <t>Base currency of the AIF</t>
        </is>
      </c>
      <c r="D96" s="90" t="inlineStr">
        <is>
          <t>Mandatory</t>
        </is>
      </c>
      <c r="E96" s="91"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97" ht="45" customHeight="1">
      <c r="A97" s="87" t="inlineStr">
        <is>
          <t>AIF_EXTERNAL</t>
        </is>
      </c>
      <c r="B97" s="88" t="n">
        <v>48</v>
      </c>
      <c r="C97" s="89" t="inlineStr">
        <is>
          <t>Total AuM amount of the AIF in base currency</t>
        </is>
      </c>
      <c r="D97" s="90" t="inlineStr">
        <is>
          <t>Optional</t>
        </is>
      </c>
      <c r="E97" s="118" t="inlineStr">
        <is>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is>
      </c>
    </row>
    <row r="98">
      <c r="A98" s="87" t="n"/>
      <c r="B98" s="103" t="n"/>
      <c r="C98" s="89" t="n"/>
    </row>
    <row r="99">
      <c r="A99" s="83" t="inlineStr">
        <is>
          <t>AIFM - Assumption description</t>
        </is>
      </c>
      <c r="B99" s="93" t="n"/>
      <c r="C99" s="94" t="n"/>
      <c r="D99" s="95" t="inlineStr">
        <is>
          <t>O</t>
        </is>
      </c>
      <c r="E99" s="96" t="inlineStr">
        <is>
          <t>For all AIF Content Types</t>
        </is>
      </c>
      <c r="F99" s="97" t="n"/>
    </row>
    <row r="100">
      <c r="A100" s="87" t="inlineStr">
        <is>
          <t>AIFM_ASSUMPTION</t>
        </is>
      </c>
      <c r="B100" s="88" t="n">
        <v>14</v>
      </c>
      <c r="C100" s="89" t="inlineStr">
        <is>
          <t>Question Number</t>
        </is>
      </c>
      <c r="D100" s="90" t="inlineStr">
        <is>
          <t>Mandatory</t>
        </is>
      </c>
      <c r="E100" s="91" t="inlineStr">
        <is>
          <t>Question number for which assumption is provided.</t>
        </is>
      </c>
    </row>
    <row r="101">
      <c r="A101" s="87" t="inlineStr">
        <is>
          <t>AIFM_ASSUMPTION</t>
        </is>
      </c>
      <c r="B101" s="88" t="n">
        <v>15</v>
      </c>
      <c r="C101" s="89" t="inlineStr">
        <is>
          <t>Assumption description</t>
        </is>
      </c>
      <c r="D101" s="90" t="inlineStr">
        <is>
          <t>Mandatory</t>
        </is>
      </c>
      <c r="E101" s="91" t="inlineStr">
        <is>
          <t>Free description for assumption.</t>
        </is>
      </c>
    </row>
    <row r="102">
      <c r="A102" s="87" t="n"/>
      <c r="B102" s="88" t="n"/>
      <c r="C102" s="89" t="n"/>
    </row>
    <row r="103">
      <c r="A103" s="83" t="inlineStr">
        <is>
          <t>AIF - Assumption description</t>
        </is>
      </c>
      <c r="B103" s="93" t="n"/>
      <c r="C103" s="94" t="n"/>
      <c r="D103" s="95" t="inlineStr">
        <is>
          <t>O</t>
        </is>
      </c>
      <c r="E103" s="96" t="inlineStr">
        <is>
          <t>For all AIF Content Types</t>
        </is>
      </c>
      <c r="F103" s="97" t="n"/>
    </row>
    <row r="104">
      <c r="A104" s="87" t="inlineStr">
        <is>
          <t>AIF_ASSUMPTION</t>
        </is>
      </c>
      <c r="B104" s="88" t="inlineStr">
        <is>
          <t>AIF_ID</t>
        </is>
      </c>
      <c r="C104" s="89" t="inlineStr">
        <is>
          <t>Custom AIF Identification</t>
        </is>
      </c>
      <c r="D104" s="90" t="inlineStr">
        <is>
          <t>Mandatory</t>
        </is>
      </c>
      <c r="E104" s="89" t="inlineStr">
        <is>
          <t>Custom AIF Identification to link AIF records to the correct AIF</t>
        </is>
      </c>
    </row>
    <row r="105">
      <c r="A105" s="87" t="inlineStr">
        <is>
          <t>AIF_ASSUMPTION</t>
        </is>
      </c>
      <c r="B105" s="88" t="n">
        <v>14</v>
      </c>
      <c r="C105" s="89" t="inlineStr">
        <is>
          <t>Question Number</t>
        </is>
      </c>
      <c r="D105" s="90" t="inlineStr">
        <is>
          <t>Mandatory</t>
        </is>
      </c>
      <c r="E105" s="91" t="inlineStr">
        <is>
          <t>Question number for which assumption is provided.</t>
        </is>
      </c>
    </row>
    <row r="106">
      <c r="A106" s="87" t="inlineStr">
        <is>
          <t>AIF_ASSUMPTION</t>
        </is>
      </c>
      <c r="B106" s="88" t="n">
        <v>15</v>
      </c>
      <c r="C106" s="89" t="inlineStr">
        <is>
          <t>Assumption description</t>
        </is>
      </c>
      <c r="D106" s="90" t="inlineStr">
        <is>
          <t>Mandatory</t>
        </is>
      </c>
      <c r="E106" s="91" t="inlineStr">
        <is>
          <t>Free description for assumption.</t>
        </is>
      </c>
    </row>
    <row r="107">
      <c r="A107" s="87" t="n"/>
      <c r="B107" s="88" t="n"/>
      <c r="C107" s="89" t="n"/>
    </row>
    <row r="108">
      <c r="A108" s="83" t="inlineStr">
        <is>
          <t>The position input record contains positions of an AIF at end of the reporting period (AIF 24/1)</t>
        </is>
      </c>
      <c r="B108" s="93" t="n"/>
      <c r="C108" s="94" t="n"/>
      <c r="D108" s="95" t="inlineStr">
        <is>
          <t>M</t>
        </is>
      </c>
      <c r="E108" s="96" t="inlineStr">
        <is>
          <t>For all AIF Content Types</t>
        </is>
      </c>
      <c r="F108" s="97" t="n"/>
    </row>
    <row r="109">
      <c r="A109" s="87" t="inlineStr">
        <is>
          <t>POSITION</t>
        </is>
      </c>
      <c r="B109" s="88" t="inlineStr">
        <is>
          <t>AIF_ID</t>
        </is>
      </c>
      <c r="C109" s="89" t="inlineStr">
        <is>
          <t>Custom AIF Identification</t>
        </is>
      </c>
      <c r="D109" s="90" t="inlineStr">
        <is>
          <t>Mandatory</t>
        </is>
      </c>
      <c r="E109" s="89" t="inlineStr">
        <is>
          <t>Custom AIF Identification to link AIF records to the correct AIF</t>
        </is>
      </c>
    </row>
    <row r="110">
      <c r="A110" s="87" t="inlineStr">
        <is>
          <t>POSITION</t>
        </is>
      </c>
      <c r="B110" s="88" t="n">
        <v>65</v>
      </c>
      <c r="C110" s="89" t="inlineStr">
        <is>
          <t>Sub-Asset Type</t>
        </is>
      </c>
      <c r="D110" s="90" t="inlineStr">
        <is>
          <t>Mandatory</t>
        </is>
      </c>
      <c r="E110" s="91" t="inlineStr">
        <is>
          <t>Sub Asset type of position</t>
        </is>
      </c>
      <c r="F110" s="99" t="inlineStr">
        <is>
          <t>See tab: #DOC Annex II Tables - Table 1 for allowed values</t>
        </is>
      </c>
    </row>
    <row r="111" ht="67.5" customHeight="1">
      <c r="A111" s="87" t="inlineStr">
        <is>
          <t>POSITION</t>
        </is>
      </c>
      <c r="B111" s="88" t="n">
        <v>66</v>
      </c>
      <c r="C111" s="89" t="inlineStr">
        <is>
          <t>Instrument Code Type</t>
        </is>
      </c>
      <c r="D111" s="90" t="inlineStr">
        <is>
          <t>Legacy</t>
        </is>
      </c>
      <c r="E111" s="91" t="inlineStr">
        <is>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is>
      </c>
    </row>
    <row r="112" ht="22.5" customHeight="1">
      <c r="A112" s="87" t="inlineStr">
        <is>
          <t>POSITION</t>
        </is>
      </c>
      <c r="B112" s="88" t="n">
        <v>67</v>
      </c>
      <c r="C112" s="89" t="inlineStr">
        <is>
          <t>Instrument Name</t>
        </is>
      </c>
      <c r="D112" s="90" t="inlineStr">
        <is>
          <t>Mandatory</t>
        </is>
      </c>
      <c r="E112" s="91" t="inlineStr">
        <is>
          <t>No standard.
It is strongly recommended to provide the instrument short name as provided by Swift under ISO18774 when available.</t>
        </is>
      </c>
    </row>
    <row r="113">
      <c r="A113" s="87" t="inlineStr">
        <is>
          <t>POSITION</t>
        </is>
      </c>
      <c r="B113" s="88" t="n">
        <v>68</v>
      </c>
      <c r="C113" s="89" t="inlineStr">
        <is>
          <t>Instrument ISIN Code</t>
        </is>
      </c>
      <c r="D113" s="90" t="inlineStr">
        <is>
          <t>Optional</t>
        </is>
      </c>
      <c r="E113" s="91" t="inlineStr">
        <is>
          <t>The ISIN code of the instrument (ISO 6166 standard) when available.</t>
        </is>
      </c>
    </row>
    <row r="114" ht="45" customHeight="1">
      <c r="A114" s="87" t="inlineStr">
        <is>
          <t>POSITION</t>
        </is>
      </c>
      <c r="B114" s="88" t="inlineStr">
        <is>
          <t>106, 115</t>
        </is>
      </c>
      <c r="C114" s="89" t="inlineStr">
        <is>
          <t>Market Type Code</t>
        </is>
      </c>
      <c r="D114" s="90" t="inlineStr">
        <is>
          <t>Mandatory</t>
        </is>
      </c>
      <c r="E114" s="91" t="inlineStr">
        <is>
          <t>The market type codes admitted are:
    - MIC for markets with MIC codes
    - OTC for OTC derivatives
    - XXX for transactions traded without market</t>
        </is>
      </c>
    </row>
    <row r="115" ht="56.25" customHeight="1">
      <c r="A115" s="87" t="inlineStr">
        <is>
          <t>POSITION</t>
        </is>
      </c>
      <c r="B115" s="88" t="inlineStr">
        <is>
          <t>69, 107, 116</t>
        </is>
      </c>
      <c r="C115" s="89" t="inlineStr">
        <is>
          <t xml:space="preserve">Market Identifier Code (MIC) </t>
        </is>
      </c>
      <c r="D115" s="90" t="inlineStr">
        <is>
          <t xml:space="preserve">C
M for Instrument code type (66) equal to "AII" or Market Code Type (106 / 115) equal to "MIC"
F otherwise
</t>
        </is>
      </c>
      <c r="E115" s="91" t="inlineStr">
        <is>
          <t>The MIC code (ISO 10383) for the trading venue.
Mandatory for Instrument Code Type (66) equal to "AII" or Market Code Type (106 / 115) equal to "MIC". Forbiden otherwise.</t>
        </is>
      </c>
    </row>
    <row r="116" ht="45" customHeight="1">
      <c r="A116" s="87" t="inlineStr">
        <is>
          <t>POSITION</t>
        </is>
      </c>
      <c r="B116" s="88" t="n">
        <v>70</v>
      </c>
      <c r="C116" s="89" t="inlineStr">
        <is>
          <t>AII Exchange Product Code</t>
        </is>
      </c>
      <c r="D116" s="90" t="inlineStr">
        <is>
          <t>Optional</t>
        </is>
      </c>
      <c r="E116" s="91" t="inlineStr">
        <is>
          <t>A code that is uniquely associated with a particular underlying instrument and settlement type and other characteristics of the contract, when available. It is between one and 12 characters in length.
Forbidden when Instrument ISIN Code [68] is present.</t>
        </is>
      </c>
    </row>
    <row r="117" ht="33.75" customHeight="1">
      <c r="A117" s="87" t="inlineStr">
        <is>
          <t>POSITION</t>
        </is>
      </c>
      <c r="B117" s="88" t="n">
        <v>71</v>
      </c>
      <c r="C117" s="89" t="inlineStr">
        <is>
          <t>AII Derivative Type</t>
        </is>
      </c>
      <c r="D117" s="90" t="inlineStr">
        <is>
          <t>C
M when AII Exchange Product Code [70] is present
F otherwise</t>
        </is>
      </c>
      <c r="E117" s="91" t="inlineStr">
        <is>
          <t>This is a single character field identifying whether the instrument is an option (O) or a future (F)</t>
        </is>
      </c>
    </row>
    <row r="118" ht="33.75" customHeight="1">
      <c r="A118" s="87" t="inlineStr">
        <is>
          <t>POSITION</t>
        </is>
      </c>
      <c r="B118" s="88" t="n">
        <v>72</v>
      </c>
      <c r="C118" s="89" t="inlineStr">
        <is>
          <t>AII Put/Call Identifier</t>
        </is>
      </c>
      <c r="D118" s="90" t="inlineStr">
        <is>
          <t>C
M for AII Derivative Type equal to "O"
F otherwise</t>
        </is>
      </c>
      <c r="E118" s="91" t="inlineStr">
        <is>
          <t>This is a single character field identifying whether the option (if it is an option) is a put (P)or a call (C).
The system automatically reports 'F' in case of a future</t>
        </is>
      </c>
    </row>
    <row r="119" ht="33.75" customHeight="1">
      <c r="A119" s="87" t="inlineStr">
        <is>
          <t>POSITION</t>
        </is>
      </c>
      <c r="B119" s="88" t="n">
        <v>73</v>
      </c>
      <c r="C119" s="89" t="inlineStr">
        <is>
          <t>AII Exercise/maturity/expiry/delivery/prompt date</t>
        </is>
      </c>
      <c r="D119" s="90" t="inlineStr">
        <is>
          <t>C
M when AII Exchange Product Code [70] is present
F otherwise</t>
        </is>
      </c>
      <c r="E119" s="91" t="inlineStr">
        <is>
          <t>Exercise/maturity/expiry/delivery/prompt date of a derivative contract.</t>
        </is>
      </c>
    </row>
    <row r="120" ht="33.75" customHeight="1">
      <c r="A120" s="87" t="inlineStr">
        <is>
          <t>POSITION</t>
        </is>
      </c>
      <c r="B120" s="88" t="n">
        <v>74</v>
      </c>
      <c r="C120" s="89" t="inlineStr">
        <is>
          <t>AII Strike Price</t>
        </is>
      </c>
      <c r="D120" s="90" t="inlineStr">
        <is>
          <t>C
M for AII Derivative Type equal to "O"
F otherwise</t>
        </is>
      </c>
      <c r="E120" s="91" t="inlineStr">
        <is>
          <t>The strike price of an option or other financial instrument.
The system automatically reports 0 in case of a future</t>
        </is>
      </c>
    </row>
    <row r="121" ht="33.75" customHeight="1">
      <c r="A121" s="87" t="inlineStr">
        <is>
          <t>POSITION</t>
        </is>
      </c>
      <c r="B121" s="88" t="n">
        <v>75</v>
      </c>
      <c r="C121" s="89" t="inlineStr">
        <is>
          <t>Long / Short</t>
        </is>
      </c>
      <c r="D121" s="90" t="inlineStr">
        <is>
          <t>Mandatory</t>
        </is>
      </c>
      <c r="E121" s="91" t="inlineStr">
        <is>
          <t>The long/short position flag admitted are:
-          “L” for long
-          “S” for short</t>
        </is>
      </c>
    </row>
    <row r="122" ht="22.5" customHeight="1">
      <c r="A122" s="87" t="inlineStr">
        <is>
          <t>POSITION</t>
        </is>
      </c>
      <c r="B122" s="88" t="n">
        <v>76</v>
      </c>
      <c r="C122" s="89" t="inlineStr">
        <is>
          <t>Instrument position value in base currency</t>
        </is>
      </c>
      <c r="D122" s="90" t="inlineStr">
        <is>
          <t>Mandatory</t>
        </is>
      </c>
      <c r="E122" s="91" t="inlineStr">
        <is>
          <t xml:space="preserve">Instrument position value expressed in base currency (as calculated under Article 2 AIFMD - Not Article 3, see Q&amp;A Answer 39). </t>
        </is>
      </c>
      <c r="F122" s="91" t="inlineStr">
        <is>
          <t>This is the gross exposure or regulatory AUM value.
Used for AIF question numbers: 76, 86-93, 94-112,114-117, 121-124, 128-130.</t>
        </is>
      </c>
    </row>
    <row r="123" ht="22.5" customHeight="1">
      <c r="A123" s="87" t="inlineStr">
        <is>
          <t>POSITION</t>
        </is>
      </c>
      <c r="B123" s="88" t="inlineStr">
        <is>
          <t>NAV</t>
        </is>
      </c>
      <c r="C123" s="89" t="inlineStr">
        <is>
          <t>Net Asset Value (NAV) in AIF Base Currency</t>
        </is>
      </c>
      <c r="D123" s="90" t="inlineStr">
        <is>
          <t>Optional</t>
        </is>
      </c>
      <c r="E123" s="91" t="inlineStr">
        <is>
          <t>Instrument Net Asset Value (NAV) at Reporting Period End Date expressed in base currency.
Considered to be equal to the Position value [76] when not filled in.</t>
        </is>
      </c>
      <c r="F123" s="91" t="inlineStr">
        <is>
          <t>Used for AIF question numbers: 78-85, 165, 171</t>
        </is>
      </c>
    </row>
    <row r="124" ht="33.75" customHeight="1">
      <c r="A124" s="87" t="inlineStr">
        <is>
          <t>POSITION</t>
        </is>
      </c>
      <c r="B124" s="88" t="n">
        <v>77</v>
      </c>
      <c r="C124" s="89" t="inlineStr">
        <is>
          <t>Hedging % for short position</t>
        </is>
      </c>
      <c r="D124" s="90" t="inlineStr">
        <is>
          <t>C
O for PositionType equal to “S”
F otherwise</t>
        </is>
      </c>
      <c r="E124" s="91" t="inlineStr">
        <is>
          <t>For short positions, indication of whether the position is used to hedge a position with a similar economic exposure.</t>
        </is>
      </c>
    </row>
    <row r="125" ht="22.5" customHeight="1">
      <c r="A125" s="87" t="inlineStr">
        <is>
          <t>POSITION</t>
        </is>
      </c>
      <c r="B125" s="88" t="inlineStr">
        <is>
          <t>CP_CCP</t>
        </is>
      </c>
      <c r="C125" s="89" t="inlineStr">
        <is>
          <t>Counterparty Type</t>
        </is>
      </c>
      <c r="D125" s="90" t="inlineStr">
        <is>
          <t>Mandatory when Counterparty Name [100] is present, forbidden otherwise.</t>
        </is>
      </c>
      <c r="E125" s="91" t="inlineStr">
        <is>
          <t>"CP" for Counterparties and "CCP" for Central Counterparties</t>
        </is>
      </c>
      <c r="F125" s="91" t="inlineStr">
        <is>
          <t>CCP only for reporting parties which are a direct clearer</t>
        </is>
      </c>
    </row>
    <row r="126" ht="22.5" customHeight="1">
      <c r="A126" s="87" t="inlineStr">
        <is>
          <t>POSITION</t>
        </is>
      </c>
      <c r="B126" s="104" t="inlineStr">
        <is>
          <t>100,110</t>
        </is>
      </c>
      <c r="C126" s="89" t="inlineStr">
        <is>
          <t>Counterparty Name</t>
        </is>
      </c>
      <c r="D126" s="90" t="inlineStr">
        <is>
          <t>Optional</t>
        </is>
      </c>
      <c r="E126" s="91" t="inlineStr">
        <is>
          <t>100/110: Entity name. (no standard) It is strongly recommended to provide the full name corresponding to the allocated LEI code (or BIC code if any and LEI not available).</t>
        </is>
      </c>
    </row>
    <row r="127" ht="78.75" customHeight="1">
      <c r="A127" s="87" t="inlineStr">
        <is>
          <t>POSITION</t>
        </is>
      </c>
      <c r="B127" s="104" t="inlineStr">
        <is>
          <t>101,111</t>
        </is>
      </c>
      <c r="C127" s="89" t="inlineStr">
        <is>
          <t>Counterparty LEI Code</t>
        </is>
      </c>
      <c r="D127" s="90" t="inlineStr">
        <is>
          <t>Optional when Counterparty Name [100] is present, forbidden otherwise.</t>
        </is>
      </c>
      <c r="E127" s="105" t="inlineStr">
        <is>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t>
        </is>
      </c>
    </row>
    <row r="128" ht="22.5" customHeight="1">
      <c r="A128" s="87" t="inlineStr">
        <is>
          <t>POSITION</t>
        </is>
      </c>
      <c r="B128" s="104" t="inlineStr">
        <is>
          <t>102,112</t>
        </is>
      </c>
      <c r="C128" s="89" t="inlineStr">
        <is>
          <t>Counterparty BIC Code</t>
        </is>
      </c>
      <c r="D128" s="90" t="inlineStr">
        <is>
          <t>Optional when Counterparty Name [100] is present, forbidden otherwise.</t>
        </is>
      </c>
      <c r="E128" s="91" t="inlineStr">
        <is>
          <t>102/112: 11 Character BIC code of the entity (ISO 9362 standard)   The BIC code cannot be filled if the counterparty name is not filled in.</t>
        </is>
      </c>
    </row>
    <row r="129" ht="33.75" customHeight="1">
      <c r="A129" s="87" t="inlineStr">
        <is>
          <t>POSITION</t>
        </is>
      </c>
      <c r="B129" s="88" t="n">
        <v>128</v>
      </c>
      <c r="C129" s="89" t="inlineStr">
        <is>
          <t>Currency of the exposure</t>
        </is>
      </c>
      <c r="D129" s="90" t="inlineStr">
        <is>
          <t>C
Mandatory for AIF Content types 2 and 4 (AIF field 5)
ignored otherwise.</t>
        </is>
      </c>
      <c r="E129" s="91" t="inlineStr">
        <is>
          <t xml:space="preserve">Currency code (3-character currency code according to the ISO 4217) of the exposure.
</t>
        </is>
      </c>
    </row>
    <row r="130" ht="101.25" customHeight="1">
      <c r="A130" s="87" t="inlineStr">
        <is>
          <t>POSITION</t>
        </is>
      </c>
      <c r="B130" s="88" t="inlineStr">
        <is>
          <t>78-93</t>
        </is>
      </c>
      <c r="C130" s="89" t="inlineStr">
        <is>
          <t>Region</t>
        </is>
      </c>
      <c r="D130" s="90" t="inlineStr">
        <is>
          <t>Mandatory</t>
        </is>
      </c>
      <c r="E130" s="91" t="inlineStr">
        <is>
          <t>Region can have the following values:
AFRICA  
ASIAPACIFIC  
EUROPENONEEA
EUROPEEEA  
MIDDLEEAST
NORTHAMERICA
SOUTHAMERICA
SUPRANATIONAL</t>
        </is>
      </c>
    </row>
    <row r="131" ht="45" customHeight="1">
      <c r="A131" s="87" t="inlineStr">
        <is>
          <t>POSITION</t>
        </is>
      </c>
      <c r="B131" s="88" t="n">
        <v>122</v>
      </c>
      <c r="C131" s="89" t="inlineStr">
        <is>
          <t>Gross value of exposure</t>
        </is>
      </c>
      <c r="D131" s="90" t="inlineStr">
        <is>
          <t>C
Optional for Sub-asset types "DER_FEX_INVT", "DER_FEX_HEDG" and "DER_IRD_INTR"
F otherwise</t>
        </is>
      </c>
      <c r="E131" s="91" t="inlineStr">
        <is>
          <t>Gross exposure amount for Sub-asset types "DER_FEX_INVT", "DER_FEX_HEDG" and "DER_IRD_INTR" expressed in base currency.
Only needed if different from "Position value (Article 2 AIFMD)" (76).
If not present, "Position value (Article 2 AIFMD)" (76) is used.</t>
        </is>
      </c>
    </row>
    <row r="132">
      <c r="A132" s="87" t="n"/>
      <c r="B132" s="88" t="n"/>
      <c r="C132" s="89" t="n"/>
    </row>
    <row r="133">
      <c r="A133" s="83" t="inlineStr">
        <is>
          <t>The external position input record contains positions of an External AIF at end of the reporting period. This data is only used on form AIFM 24(1).</t>
        </is>
      </c>
      <c r="B133" s="93" t="n"/>
      <c r="C133" s="94" t="n"/>
      <c r="D133" s="95" t="inlineStr">
        <is>
          <t>C</t>
        </is>
      </c>
      <c r="E133" s="97" t="n"/>
      <c r="F133" s="97" t="n"/>
    </row>
    <row r="134">
      <c r="A134" s="87" t="inlineStr">
        <is>
          <t>POSITION_EXTERNAL</t>
        </is>
      </c>
      <c r="B134" s="88" t="inlineStr">
        <is>
          <t>AIF_ID</t>
        </is>
      </c>
      <c r="C134" s="89" t="inlineStr">
        <is>
          <t>Custom AIF Identification</t>
        </is>
      </c>
      <c r="D134" s="90" t="inlineStr">
        <is>
          <t>Mandatory</t>
        </is>
      </c>
      <c r="E134" s="89" t="inlineStr">
        <is>
          <t>Custom AIF Identification to link External AIF records to the correct External AIF</t>
        </is>
      </c>
    </row>
    <row r="135">
      <c r="A135" s="87" t="inlineStr">
        <is>
          <t>POSITION_EXTERNAL</t>
        </is>
      </c>
      <c r="B135" s="88" t="n">
        <v>65</v>
      </c>
      <c r="C135" s="89" t="inlineStr">
        <is>
          <t>Sub-Asset Type</t>
        </is>
      </c>
      <c r="D135" s="90" t="inlineStr">
        <is>
          <t>Mandatory</t>
        </is>
      </c>
      <c r="E135" s="91" t="inlineStr">
        <is>
          <t>Sub Asset type of position</t>
        </is>
      </c>
      <c r="F135" s="99" t="inlineStr">
        <is>
          <t>See tab: #DOC Annex II Tables - Table 1 for allowed values</t>
        </is>
      </c>
    </row>
    <row r="136" ht="45" customHeight="1">
      <c r="A136" s="87" t="inlineStr">
        <is>
          <t>POSITION_EXTERNAL</t>
        </is>
      </c>
      <c r="B136" s="88" t="inlineStr">
        <is>
          <t>106, 115</t>
        </is>
      </c>
      <c r="C136" s="89" t="inlineStr">
        <is>
          <t>Market Code Type</t>
        </is>
      </c>
      <c r="D136" s="90" t="inlineStr">
        <is>
          <t>Mandatory</t>
        </is>
      </c>
      <c r="E136" s="91" t="inlineStr">
        <is>
          <t>The market codes types admitted are:
    - MIC for markets with MIC codes
    - OTC for OTC derivatives
    - XXX for transactions traded without market</t>
        </is>
      </c>
    </row>
    <row r="137" ht="33.75" customHeight="1">
      <c r="A137" s="87" t="inlineStr">
        <is>
          <t>POSITION_EXTERNAL</t>
        </is>
      </c>
      <c r="B137" s="88" t="inlineStr">
        <is>
          <t>69, 107, 116</t>
        </is>
      </c>
      <c r="C137" s="89" t="inlineStr">
        <is>
          <t>Market Code</t>
        </is>
      </c>
      <c r="D137" s="90" t="inlineStr">
        <is>
          <t>C
M for Instrument code type equal to "AII"
F otherwise</t>
        </is>
      </c>
      <c r="E137" s="91" t="inlineStr">
        <is>
          <t>Four character MIC of the market that admits the derivative to trading.</t>
        </is>
      </c>
    </row>
    <row r="138">
      <c r="A138" s="87" t="inlineStr">
        <is>
          <t>POSITION_EXTERNAL</t>
        </is>
      </c>
      <c r="B138" s="88" t="n">
        <v>76</v>
      </c>
      <c r="C138" s="89" t="inlineStr">
        <is>
          <t>Instrument position value in base currency</t>
        </is>
      </c>
      <c r="D138" s="90" t="inlineStr">
        <is>
          <t>Mandatory</t>
        </is>
      </c>
      <c r="E138" s="91" t="inlineStr">
        <is>
          <t xml:space="preserve">Instrument position value expressed in base currency (as calculated under Article 2 AIFMD - Not 3, see Q&amp;A Answer 39). </t>
        </is>
      </c>
      <c r="F138" s="91" t="inlineStr">
        <is>
          <t>This is the gross exposure or reg AUM value</t>
        </is>
      </c>
    </row>
    <row r="139">
      <c r="A139" s="87" t="n"/>
      <c r="B139" s="88" t="n"/>
      <c r="C139" s="89" t="n"/>
    </row>
    <row r="140">
      <c r="A140" s="83" t="inlineStr">
        <is>
          <t>Turnover</t>
        </is>
      </c>
      <c r="B140" s="93" t="n"/>
      <c r="C140" s="94" t="n"/>
      <c r="D140" s="95" t="inlineStr">
        <is>
          <t>C</t>
        </is>
      </c>
      <c r="E140" s="96" t="inlineStr">
        <is>
          <t>The TURNOVER record is optional for AIFs with content type 2 and 4, and forbidden otherwise.</t>
        </is>
      </c>
      <c r="F140" s="97" t="n"/>
    </row>
    <row r="141">
      <c r="A141" s="87" t="inlineStr">
        <is>
          <t>TURNOVER</t>
        </is>
      </c>
      <c r="B141" s="88" t="inlineStr">
        <is>
          <t>AIF_ID</t>
        </is>
      </c>
      <c r="C141" s="89" t="inlineStr">
        <is>
          <t>Custom AIF Identification</t>
        </is>
      </c>
      <c r="D141" s="90" t="inlineStr">
        <is>
          <t>Mandatory</t>
        </is>
      </c>
      <c r="E141" s="89" t="inlineStr">
        <is>
          <t>Custom AIF Identification to link AIF records to the correct AIF</t>
        </is>
      </c>
    </row>
    <row r="142">
      <c r="A142" s="87" t="inlineStr">
        <is>
          <t>TURNOVER</t>
        </is>
      </c>
      <c r="B142" s="88" t="n">
        <v>125</v>
      </c>
      <c r="C142" s="91" t="inlineStr">
        <is>
          <t>Sub-asset type code of turnover</t>
        </is>
      </c>
      <c r="D142" s="90" t="inlineStr">
        <is>
          <t>Mandatory</t>
        </is>
      </c>
      <c r="E142" s="91" t="inlineStr">
        <is>
          <t>The sub-asset type codes admitted are listed in Annex II - Table 2 (sub-asset types for turnover)</t>
        </is>
      </c>
      <c r="F142" s="99" t="inlineStr">
        <is>
          <t>See tab: #DOC Annex II Tables - Table 2 for allowed values</t>
        </is>
      </c>
    </row>
    <row r="143" ht="22.5" customHeight="1">
      <c r="A143" s="87" t="inlineStr">
        <is>
          <t>TURNOVER</t>
        </is>
      </c>
      <c r="B143" s="88" t="n">
        <v>126</v>
      </c>
      <c r="C143" s="91" t="inlineStr">
        <is>
          <t>Market value of turnover</t>
        </is>
      </c>
      <c r="D143" s="90" t="inlineStr">
        <is>
          <t>Optional</t>
        </is>
      </c>
      <c r="E143" s="91" t="inlineStr">
        <is>
          <t>The market value of turnover in each relevant sub-asset type over the reporting months expressed in base currency filled in without decimal places.</t>
        </is>
      </c>
    </row>
    <row r="144" ht="67.5" customHeight="1">
      <c r="A144" s="87" t="inlineStr">
        <is>
          <t>TURNOVER</t>
        </is>
      </c>
      <c r="B144" s="88" t="n">
        <v>127</v>
      </c>
      <c r="C144" s="91" t="inlineStr">
        <is>
          <t>Notional value of turnover</t>
        </is>
      </c>
      <c r="D144" s="90" t="inlineStr">
        <is>
          <t>C
Forbidden for sub-asset type different from DER_EQD_EQD, 
DER_FID_FID, DER_CDS_CDS, DER_FEX_INV, DER_FEX_HED, DER_IRD_IRD, DER_CTY_CTY, DER_OTH_OTH</t>
        </is>
      </c>
      <c r="E144" s="91" t="inlineStr">
        <is>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is>
      </c>
    </row>
    <row r="145">
      <c r="A145" s="87" t="n"/>
      <c r="B145" s="88" t="n"/>
      <c r="C145" s="89" t="n"/>
    </row>
    <row r="146">
      <c r="A146" s="83" t="inlineStr">
        <is>
          <t>Share Classes of AIF, only required in case of multiple share classes (AIF 24/1)</t>
        </is>
      </c>
      <c r="B146" s="93" t="n"/>
      <c r="C146" s="94" t="n"/>
      <c r="D146" s="95" t="inlineStr">
        <is>
          <t>C</t>
        </is>
      </c>
      <c r="E146" s="96" t="inlineStr">
        <is>
          <t>For all AIF Content Types</t>
        </is>
      </c>
      <c r="F146" s="97" t="n"/>
    </row>
    <row r="147">
      <c r="A147" s="87" t="inlineStr">
        <is>
          <t>SHARE_CLASS</t>
        </is>
      </c>
      <c r="B147" s="88" t="inlineStr">
        <is>
          <t>AIF_ID</t>
        </is>
      </c>
      <c r="C147" s="89" t="inlineStr">
        <is>
          <t>Custom AIF Identification</t>
        </is>
      </c>
      <c r="D147" s="90" t="inlineStr">
        <is>
          <t>Mandatory</t>
        </is>
      </c>
      <c r="E147" s="89" t="inlineStr">
        <is>
          <t>Custom AIF Identification to link AIF records to the correct AIF</t>
        </is>
      </c>
    </row>
    <row r="148" ht="22.5" customHeight="1">
      <c r="A148" s="87" t="inlineStr">
        <is>
          <t>SHARE_CLASS</t>
        </is>
      </c>
      <c r="B148" s="88" t="n">
        <v>34</v>
      </c>
      <c r="C148" s="91" t="inlineStr">
        <is>
          <t>Share class national code</t>
        </is>
      </c>
      <c r="D148" s="90" t="inlineStr">
        <is>
          <t>Optional</t>
        </is>
      </c>
      <c r="E148" s="91" t="inlineStr">
        <is>
          <t>Where available, unique reference allocated by the national competent authority to which the AIFM reports under AIFMD identifying each share class.</t>
        </is>
      </c>
    </row>
    <row r="149">
      <c r="A149" s="87" t="inlineStr">
        <is>
          <t>SHARE_CLASS</t>
        </is>
      </c>
      <c r="B149" s="88" t="n">
        <v>35</v>
      </c>
      <c r="C149" s="91" t="inlineStr">
        <is>
          <t>Share class ISIN code</t>
        </is>
      </c>
      <c r="D149" s="90" t="inlineStr">
        <is>
          <t>Optional</t>
        </is>
      </c>
      <c r="E149" s="91" t="inlineStr">
        <is>
          <t>Where available, the ISIN code (ISO 6166 standard) identifying each share class.</t>
        </is>
      </c>
    </row>
    <row r="150">
      <c r="A150" s="87" t="inlineStr">
        <is>
          <t>SHARE_CLASS</t>
        </is>
      </c>
      <c r="B150" s="88" t="n">
        <v>36</v>
      </c>
      <c r="C150" s="91" t="inlineStr">
        <is>
          <t>Share class SEDOL code</t>
        </is>
      </c>
      <c r="D150" s="90" t="inlineStr">
        <is>
          <t>Optional</t>
        </is>
      </c>
      <c r="E150" s="91" t="inlineStr">
        <is>
          <t>Where available, the SEDOL code identifying each share class.</t>
        </is>
      </c>
    </row>
    <row r="151">
      <c r="A151" s="87" t="inlineStr">
        <is>
          <t>SHARE_CLASS</t>
        </is>
      </c>
      <c r="B151" s="88" t="n">
        <v>37</v>
      </c>
      <c r="C151" s="91" t="inlineStr">
        <is>
          <t>Share class CUSIP code</t>
        </is>
      </c>
      <c r="D151" s="90" t="inlineStr">
        <is>
          <t>Optional</t>
        </is>
      </c>
      <c r="E151" s="91" t="inlineStr">
        <is>
          <t>Where available, the CUSIP code identifying each share class.</t>
        </is>
      </c>
    </row>
    <row r="152">
      <c r="A152" s="87" t="inlineStr">
        <is>
          <t>SHARE_CLASS</t>
        </is>
      </c>
      <c r="B152" s="88" t="n">
        <v>38</v>
      </c>
      <c r="C152" s="91" t="inlineStr">
        <is>
          <t>Share class Bloomberg code</t>
        </is>
      </c>
      <c r="D152" s="90" t="inlineStr">
        <is>
          <t>Optional</t>
        </is>
      </c>
      <c r="E152" s="91" t="inlineStr">
        <is>
          <t>Where available, the Bloomberg ticker symbol identifying each share class.</t>
        </is>
      </c>
    </row>
    <row r="153">
      <c r="A153" s="87" t="inlineStr">
        <is>
          <t>SHARE_CLASS</t>
        </is>
      </c>
      <c r="B153" s="88" t="n">
        <v>39</v>
      </c>
      <c r="C153" s="91" t="inlineStr">
        <is>
          <t>Share class Reuters code</t>
        </is>
      </c>
      <c r="D153" s="90" t="inlineStr">
        <is>
          <t>Optional</t>
        </is>
      </c>
      <c r="E153" s="91" t="inlineStr">
        <is>
          <t>Where available, the Reuters Identifier Code (RIC) identifying each share class.</t>
        </is>
      </c>
    </row>
    <row r="154">
      <c r="A154" s="87" t="inlineStr">
        <is>
          <t>SHARE_CLASS</t>
        </is>
      </c>
      <c r="B154" s="88" t="n">
        <v>40</v>
      </c>
      <c r="C154" s="91" t="inlineStr">
        <is>
          <t>Share class name</t>
        </is>
      </c>
      <c r="D154" s="90" t="inlineStr">
        <is>
          <t>Mandatory</t>
        </is>
      </c>
      <c r="E154" s="91" t="inlineStr">
        <is>
          <t>The name of the share class.</t>
        </is>
      </c>
    </row>
    <row r="155">
      <c r="A155" s="87" t="n"/>
      <c r="B155" s="88" t="n"/>
      <c r="C155" s="89" t="n"/>
    </row>
    <row r="156">
      <c r="A156" s="157" t="inlineStr">
        <is>
          <t>(Legacy) The Master(s) of the AIF (Mandatory if "Master feeder status" (field 41) is "FEEDER", forbidden otherwise)</t>
        </is>
      </c>
      <c r="B156" s="158" t="n"/>
      <c r="C156" s="159" t="n"/>
      <c r="D156" s="160" t="inlineStr">
        <is>
          <t>C</t>
        </is>
      </c>
      <c r="E156" s="161" t="inlineStr">
        <is>
          <t>For all AIF Content Types</t>
        </is>
      </c>
      <c r="F156" s="162" t="n"/>
    </row>
    <row r="157">
      <c r="A157" s="87" t="inlineStr">
        <is>
          <t>MASTER</t>
        </is>
      </c>
      <c r="B157" s="88" t="inlineStr">
        <is>
          <t>AIF_ID</t>
        </is>
      </c>
      <c r="C157" s="89" t="inlineStr">
        <is>
          <t>Custom AIF Identification</t>
        </is>
      </c>
      <c r="D157" s="90" t="inlineStr">
        <is>
          <t>Mandatory</t>
        </is>
      </c>
      <c r="E157" s="89" t="inlineStr">
        <is>
          <t>Custom AIF Identification to link AIF records to the correct AIF</t>
        </is>
      </c>
    </row>
    <row r="158" ht="22.5" customHeight="1">
      <c r="A158" s="87" t="inlineStr">
        <is>
          <t>MASTER</t>
        </is>
      </c>
      <c r="B158" s="88" t="n">
        <v>42</v>
      </c>
      <c r="C158" s="91" t="inlineStr">
        <is>
          <t>Master AIF name</t>
        </is>
      </c>
      <c r="D158" s="90" t="inlineStr">
        <is>
          <t>Mandatory</t>
        </is>
      </c>
      <c r="E158" s="91" t="inlineStr">
        <is>
          <t>No standard.
It is strongly recommended to provide the full name as provided by Swift for master AIF(s) that have a BIC or LEI code.</t>
        </is>
      </c>
    </row>
    <row r="159">
      <c r="A159" s="87" t="inlineStr">
        <is>
          <t>MASTER</t>
        </is>
      </c>
      <c r="B159" s="88" t="n">
        <v>43</v>
      </c>
      <c r="C159" s="91" t="inlineStr">
        <is>
          <t>Master AIF national identifier - Reporting Member State</t>
        </is>
      </c>
      <c r="D159" s="90" t="inlineStr">
        <is>
          <t>Optional</t>
        </is>
      </c>
      <c r="E159" s="91" t="inlineStr">
        <is>
          <t>EEA/EU Country code standard ISO-3166-1 of the reporting Member State to which the AIFM of the master AIF(s) reports under AIFMD.</t>
        </is>
      </c>
    </row>
    <row r="160" ht="45" customHeight="1">
      <c r="A160" s="87" t="inlineStr">
        <is>
          <t>MASTER</t>
        </is>
      </c>
      <c r="B160" s="88" t="n">
        <v>44</v>
      </c>
      <c r="C160" s="91" t="inlineStr">
        <is>
          <t>Master AIF national identifier - National code</t>
        </is>
      </c>
      <c r="D160" s="90" t="inlineStr">
        <is>
          <t>C
M for Master AIF national identifier - Reporting Member State (43) filled in
O otherwise</t>
        </is>
      </c>
      <c r="E160" s="91" t="inlineStr">
        <is>
          <t>Unique reference identifying the master AIF allocated by the national competent authority to which the AIFM of the master AIF (s) reports under AIFMD.
The field is mandatory when the master AIF national identifier - Reporting Member State is filled in.</t>
        </is>
      </c>
    </row>
    <row r="161">
      <c r="A161" s="87" t="inlineStr">
        <is>
          <t>MASTER</t>
        </is>
      </c>
      <c r="B161" s="88" t="n"/>
      <c r="C161" s="89" t="n"/>
    </row>
    <row r="162">
      <c r="A162" s="83" t="inlineStr">
        <is>
          <t>Prime broker(s) of AIF (AIF 24/1)</t>
        </is>
      </c>
      <c r="B162" s="93" t="n"/>
      <c r="C162" s="94" t="n"/>
      <c r="D162" s="95" t="inlineStr">
        <is>
          <t>O</t>
        </is>
      </c>
      <c r="E162" s="97" t="inlineStr">
        <is>
          <t>For all AIF Content Types</t>
        </is>
      </c>
      <c r="F162" s="97" t="n"/>
    </row>
    <row r="163">
      <c r="A163" s="87" t="inlineStr">
        <is>
          <t>PRIME_BROKER</t>
        </is>
      </c>
      <c r="B163" s="88" t="inlineStr">
        <is>
          <t>AIF_ID</t>
        </is>
      </c>
      <c r="C163" s="89" t="inlineStr">
        <is>
          <t>Custom AIF Identification</t>
        </is>
      </c>
      <c r="D163" s="90" t="inlineStr">
        <is>
          <t>Mandatory</t>
        </is>
      </c>
      <c r="E163" s="89" t="inlineStr">
        <is>
          <t>Custom AIF Identification to link AIF records to the correct AIF</t>
        </is>
      </c>
    </row>
    <row r="164" ht="22.5" customHeight="1">
      <c r="A164" s="87" t="inlineStr">
        <is>
          <t>PRIME_BROKER</t>
        </is>
      </c>
      <c r="B164" s="88" t="n">
        <v>45</v>
      </c>
      <c r="C164" s="91" t="inlineStr">
        <is>
          <t>Prime Broker Name</t>
        </is>
      </c>
      <c r="D164" s="90" t="inlineStr">
        <is>
          <t>Mandatory</t>
        </is>
      </c>
      <c r="E164" s="91" t="inlineStr">
        <is>
          <t>Entity name. (no standard)
It is strongly recommended to provide the full name corresponding to the allocated LEI code (or BIC code if any and LEI not available).</t>
        </is>
      </c>
    </row>
    <row r="165" ht="67.5" customHeight="1">
      <c r="A165" s="87" t="inlineStr">
        <is>
          <t>PRIME_BROKER</t>
        </is>
      </c>
      <c r="B165" s="88" t="n">
        <v>46</v>
      </c>
      <c r="C165" s="91" t="inlineStr">
        <is>
          <t>Prime Broker LEI code</t>
        </is>
      </c>
      <c r="D165" s="90" t="inlineStr">
        <is>
          <t>Optional</t>
        </is>
      </c>
      <c r="E165" s="91"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166">
      <c r="A166" s="87" t="inlineStr">
        <is>
          <t>PRIME_BROKER</t>
        </is>
      </c>
      <c r="B166" s="88" t="n">
        <v>47</v>
      </c>
      <c r="C166" s="91" t="inlineStr">
        <is>
          <t>Prime Broker BIC code</t>
        </is>
      </c>
      <c r="D166" s="90" t="inlineStr">
        <is>
          <t>O</t>
        </is>
      </c>
      <c r="E166" s="91" t="inlineStr">
        <is>
          <t>11 Character BIC code (ISO 9362 standard)</t>
        </is>
      </c>
    </row>
    <row r="167">
      <c r="A167" s="87" t="n"/>
      <c r="B167" s="88" t="n"/>
      <c r="C167" s="89" t="n"/>
    </row>
    <row r="168">
      <c r="A168" s="83" t="inlineStr">
        <is>
          <t>Strategy(s)  of AIF</t>
        </is>
      </c>
      <c r="B168" s="93" t="n"/>
      <c r="C168" s="94" t="n"/>
      <c r="D168" s="95" t="inlineStr">
        <is>
          <t>M</t>
        </is>
      </c>
      <c r="E168" s="96" t="inlineStr">
        <is>
          <t>For all AIF Content Types</t>
        </is>
      </c>
      <c r="F168" s="97" t="n"/>
    </row>
    <row r="169">
      <c r="A169" s="87" t="inlineStr">
        <is>
          <t>STRATEGY</t>
        </is>
      </c>
      <c r="B169" s="88" t="inlineStr">
        <is>
          <t>AIF_ID</t>
        </is>
      </c>
      <c r="C169" s="89" t="inlineStr">
        <is>
          <t>Custom AIF Identification</t>
        </is>
      </c>
      <c r="D169" s="90" t="inlineStr">
        <is>
          <t>Mandatory</t>
        </is>
      </c>
      <c r="E169" s="89" t="inlineStr">
        <is>
          <t>Custom AIF Identification to link AIF records to the correct AIF</t>
        </is>
      </c>
    </row>
    <row r="170" ht="22.5" customHeight="1">
      <c r="A170" s="87" t="inlineStr">
        <is>
          <t>STRATEGY</t>
        </is>
      </c>
      <c r="B170" s="88" t="n">
        <v>58</v>
      </c>
      <c r="C170" s="91" t="inlineStr">
        <is>
          <t>Investment strategy code</t>
        </is>
      </c>
      <c r="D170" s="90" t="inlineStr">
        <is>
          <t>Mandatory</t>
        </is>
      </c>
      <c r="E170" s="91" t="inlineStr">
        <is>
          <t>The investment strategy types admitted are listed in Annex II - Table 3.
Do not enter "MULT_" strategy codes, these are added automatically when needed.</t>
        </is>
      </c>
      <c r="F170" s="99" t="inlineStr">
        <is>
          <t>See tab: #DOC Annex II Tables - Table 3 for allowed values</t>
        </is>
      </c>
    </row>
    <row r="171" ht="67.5" customHeight="1">
      <c r="A171" s="87" t="inlineStr">
        <is>
          <t>STRATEGY</t>
        </is>
      </c>
      <c r="B171" s="88" t="n">
        <v>59</v>
      </c>
      <c r="C171" s="89" t="inlineStr">
        <is>
          <t>Indicate whether the sub strategy best describes the AIF’s strategy</t>
        </is>
      </c>
      <c r="D171" s="90" t="inlineStr">
        <is>
          <t>Legacy</t>
        </is>
      </c>
      <c r="E171" s="91" t="inlineStr">
        <is>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is>
      </c>
    </row>
    <row r="172" ht="22.5" customHeight="1">
      <c r="A172" s="87" t="inlineStr">
        <is>
          <t>STRATEGY</t>
        </is>
      </c>
      <c r="B172" s="88" t="n">
        <v>60</v>
      </c>
      <c r="C172" s="89" t="inlineStr">
        <is>
          <t>Share in NAV (%)</t>
        </is>
      </c>
      <c r="D172" s="90" t="inlineStr">
        <is>
          <t>Mandatory</t>
        </is>
      </c>
      <c r="E172" s="91" t="inlineStr">
        <is>
          <t>NAV rate expressed as a percentage for each reported investment strategy.
For each AIF the total of all strategies should be 100.</t>
        </is>
      </c>
    </row>
    <row r="173" ht="45" customHeight="1">
      <c r="A173" s="87" t="inlineStr">
        <is>
          <t>STRATEGY</t>
        </is>
      </c>
      <c r="B173" s="88" t="n">
        <v>61</v>
      </c>
      <c r="C173" s="91" t="inlineStr">
        <is>
          <t>Description for strategy type Other</t>
        </is>
      </c>
      <c r="D173" s="90" t="inlineStr">
        <is>
          <t>Conditional
M for strategy codes "OTHR_HFND", "OTHR_PEQF", "OTHR_REST", "OTHR_FOFS" or "OTHR_OTHF".
Forbidden otherwise</t>
        </is>
      </c>
      <c r="E173" s="91" t="inlineStr">
        <is>
          <t>The field is mandatory for strategy codes "OTHR_HFND", "OTHR_PEQF", "OTHR_REST", "OTHR_FOFS" or "OTHR_OTHF".</t>
        </is>
      </c>
    </row>
    <row r="174">
      <c r="A174" s="87" t="n"/>
      <c r="B174" s="88" t="n"/>
      <c r="C174" s="89" t="n"/>
    </row>
    <row r="175">
      <c r="A175" s="83" t="inlineStr">
        <is>
          <t>Dominant influence(s) - Optional for AIFs with private equity and content type 2 and 4, and forbidden otherwise.</t>
        </is>
      </c>
      <c r="B175" s="93" t="n"/>
      <c r="C175" s="94" t="n"/>
      <c r="D175" s="95" t="inlineStr">
        <is>
          <t>C</t>
        </is>
      </c>
      <c r="E175" s="96" t="inlineStr">
        <is>
          <t>The DOMINANT_INFLUENCE record is optional for AIFs with private equity and content type 2 and 4, and forbidden otherwise.</t>
        </is>
      </c>
      <c r="F175" s="97" t="n"/>
    </row>
    <row r="176">
      <c r="A176" s="87" t="inlineStr">
        <is>
          <t>DOMINANT_INFLUENCE</t>
        </is>
      </c>
      <c r="B176" s="88" t="inlineStr">
        <is>
          <t>AIF_ID</t>
        </is>
      </c>
      <c r="C176" s="89" t="inlineStr">
        <is>
          <t>Custom AIF Identification</t>
        </is>
      </c>
      <c r="D176" s="90" t="inlineStr">
        <is>
          <t>Mandatory</t>
        </is>
      </c>
      <c r="E176" s="89" t="inlineStr">
        <is>
          <t>Custom AIF Identification to link AIF records to the correct AIF</t>
        </is>
      </c>
    </row>
    <row r="177" ht="33.75" customHeight="1">
      <c r="A177" s="87" t="inlineStr">
        <is>
          <t>DOMINANT_INFLUENCE</t>
        </is>
      </c>
      <c r="B177" s="88" t="n">
        <v>131</v>
      </c>
      <c r="C177" s="91" t="inlineStr">
        <is>
          <t>Dominant influence company name</t>
        </is>
      </c>
      <c r="D177" s="90" t="inlineStr">
        <is>
          <t>C
M for AIF predominant type “Private Equity funds”
F otherwise</t>
        </is>
      </c>
      <c r="E177" s="91" t="inlineStr">
        <is>
          <t>Entity name. (no standard)
It is strongly recommended to provide the full name corresponding to the allocated LEI code (or BIC code if any and LEI not available).
The field is mandatory for AIF predominant type “Private Equity funds” and forbidden otherwise.</t>
        </is>
      </c>
    </row>
    <row r="178" ht="78.75" customHeight="1">
      <c r="A178" s="87" t="inlineStr">
        <is>
          <t>DOMINANT_INFLUENCE</t>
        </is>
      </c>
      <c r="B178" s="88" t="n">
        <v>132</v>
      </c>
      <c r="C178" s="91" t="inlineStr">
        <is>
          <t>Dominant influence company LEI code</t>
        </is>
      </c>
      <c r="D178" s="90" t="inlineStr">
        <is>
          <t>C
O for AIF predominant type “Private Equity funds”
F otherwise</t>
        </is>
      </c>
      <c r="E178" s="91"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is>
      </c>
    </row>
    <row r="179" ht="33.75" customHeight="1">
      <c r="A179" s="87" t="inlineStr">
        <is>
          <t>DOMINANT_INFLUENCE</t>
        </is>
      </c>
      <c r="B179" s="88" t="n">
        <v>133</v>
      </c>
      <c r="C179" s="91" t="inlineStr">
        <is>
          <t xml:space="preserve">Dominant influence company BIC code </t>
        </is>
      </c>
      <c r="D179" s="90" t="inlineStr">
        <is>
          <t>C
O for AIF predominant type “Private Equity funds”
F otherwise</t>
        </is>
      </c>
      <c r="E179" s="91" t="inlineStr">
        <is>
          <t>11 Character BIC code (ISO 9362 standard)
The field is forbidden for AIF predominant type different from “Private Equity funds”.</t>
        </is>
      </c>
    </row>
    <row r="180" ht="146.25" customHeight="1">
      <c r="A180" s="87" t="inlineStr">
        <is>
          <t>DOMINANT_INFLUENCE</t>
        </is>
      </c>
      <c r="B180" s="88" t="n">
        <v>134</v>
      </c>
      <c r="C180" s="91" t="inlineStr">
        <is>
          <t>Transaction type</t>
        </is>
      </c>
      <c r="D180" s="90" t="inlineStr">
        <is>
          <t>C
M for AIF predominant type “Private Equity funds”
F otherwise</t>
        </is>
      </c>
      <c r="E180" s="91" t="inlineStr">
        <is>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is>
      </c>
      <c r="F180" s="99" t="inlineStr">
        <is>
          <t>See tab: #DOC Annex II Tables - Table 5 for allowed values</t>
        </is>
      </c>
    </row>
    <row r="181" ht="33.75" customHeight="1">
      <c r="A181" s="87" t="inlineStr">
        <is>
          <t>DOMINANT_INFLUENCE</t>
        </is>
      </c>
      <c r="B181" s="88" t="n">
        <v>135</v>
      </c>
      <c r="C181" s="91" t="inlineStr">
        <is>
          <t>Description of other transaction type</t>
        </is>
      </c>
      <c r="D181" s="90" t="inlineStr">
        <is>
          <t>C
M for transaction type equal to "OTHR"
F otherwise</t>
        </is>
      </c>
      <c r="E181" s="91" t="inlineStr">
        <is>
          <t>Free text.
The field is mandatory for transaction type equal to “OTHR”</t>
        </is>
      </c>
    </row>
    <row r="182" ht="33.75" customHeight="1">
      <c r="A182" s="87" t="inlineStr">
        <is>
          <t>DOMINANT_INFLUENCE</t>
        </is>
      </c>
      <c r="B182" s="88" t="n">
        <v>136</v>
      </c>
      <c r="C182" s="91" t="inlineStr">
        <is>
          <t>% Voting rights</t>
        </is>
      </c>
      <c r="D182" s="90" t="inlineStr">
        <is>
          <t>C
M for AIF predominant type “PEQF”
F otherwise</t>
        </is>
      </c>
      <c r="E182" s="91" t="inlineStr">
        <is>
          <t>Rate expressed as a percentage.
The field is mandatory for AIF predominant type “Private Equity funds” and forbidden otherwise.</t>
        </is>
      </c>
    </row>
    <row r="183">
      <c r="A183" s="87" t="n"/>
      <c r="B183" s="88" t="n"/>
      <c r="C183" s="89" t="n"/>
    </row>
    <row r="184">
      <c r="A184" s="83" t="inlineStr">
        <is>
          <t>Risk metrics</t>
        </is>
      </c>
      <c r="B184" s="93" t="n"/>
      <c r="C184" s="94" t="n"/>
      <c r="D184" s="95" t="inlineStr">
        <is>
          <t>C</t>
        </is>
      </c>
      <c r="E184" s="96" t="inlineStr">
        <is>
          <t>The RISK record is optional for AIFs with content type 2 and 4, and forbidden otherwise.</t>
        </is>
      </c>
      <c r="F184" s="97" t="n"/>
    </row>
    <row r="185">
      <c r="A185" s="87" t="inlineStr">
        <is>
          <t>RISK</t>
        </is>
      </c>
      <c r="B185" s="88" t="inlineStr">
        <is>
          <t>AIF_ID</t>
        </is>
      </c>
      <c r="C185" s="89" t="inlineStr">
        <is>
          <t>Custom AIF Identification</t>
        </is>
      </c>
      <c r="D185" s="90" t="inlineStr">
        <is>
          <t>Mandatory</t>
        </is>
      </c>
      <c r="E185" s="89" t="inlineStr">
        <is>
          <t>Custom AIF Identification to link AIF records to the correct AIF</t>
        </is>
      </c>
    </row>
    <row r="186" ht="90" customHeight="1">
      <c r="A186" s="87" t="inlineStr">
        <is>
          <t>RISK</t>
        </is>
      </c>
      <c r="B186" s="88" t="n">
        <v>138</v>
      </c>
      <c r="C186" s="91" t="inlineStr">
        <is>
          <t>Risk measure type</t>
        </is>
      </c>
      <c r="D186" s="90" t="inlineStr">
        <is>
          <t>Optional</t>
        </is>
      </c>
      <c r="E186" s="91" t="inlineStr">
        <is>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is>
      </c>
      <c r="F186" s="91" t="inlineStr">
        <is>
          <t>These metrics are position type dependent - 
See tab: #DOC Annex II Tables - Table risk for which risk method to apply</t>
        </is>
      </c>
    </row>
    <row r="187" ht="45" customHeight="1">
      <c r="A187" s="87" t="inlineStr">
        <is>
          <t>RISK</t>
        </is>
      </c>
      <c r="B187" s="88" t="n">
        <v>139</v>
      </c>
      <c r="C187" s="91" t="inlineStr">
        <is>
          <t>Risk measure value</t>
        </is>
      </c>
      <c r="D187" s="90" t="inlineStr">
        <is>
          <t>C
O for risk measure type equal to "NET_EQTY_DELTA" and "NET_FX_DELTA" and "NET_CTY_DELTA"
F otherwise</t>
        </is>
      </c>
      <c r="E187" s="91" t="inlineStr">
        <is>
          <t>This field is mandatory for risk measure type equal to "NET_EQTY_DELTA" and "NET_FX_DELTA" and "NET_CTY_DELTA" and forbidden otherwise. Expressed in base currency.</t>
        </is>
      </c>
    </row>
    <row r="188" ht="45" customHeight="1">
      <c r="A188" s="87" t="inlineStr">
        <is>
          <t>RISK</t>
        </is>
      </c>
      <c r="B188" s="88" t="n">
        <v>140</v>
      </c>
      <c r="C188" s="89" t="inlineStr">
        <is>
          <t>Risk measure value for bucket &lt; 5 years</t>
        </is>
      </c>
      <c r="D188" s="90" t="inlineStr">
        <is>
          <t>C
M for risk measure type equal to "NET_DV01" and "NET_CS01"
F otherwise</t>
        </is>
      </c>
      <c r="E188" s="91" t="inlineStr">
        <is>
          <t>This field is mandatory for risk measure type equal to "NET_DV01" and "NET_CS01" and forbidden otherwise. Expressed in base currency.</t>
        </is>
      </c>
    </row>
    <row r="189" ht="45" customHeight="1">
      <c r="A189" s="87" t="inlineStr">
        <is>
          <t>RISK</t>
        </is>
      </c>
      <c r="B189" s="88" t="n">
        <v>141</v>
      </c>
      <c r="C189" s="89" t="inlineStr">
        <is>
          <t>Risk measure value for bucket 5-15 years</t>
        </is>
      </c>
      <c r="D189" s="90" t="inlineStr">
        <is>
          <t>C
M for risk measure type equal to "NET_DV01" and "NET_CS01"
F otherwise</t>
        </is>
      </c>
      <c r="E189" s="91" t="inlineStr">
        <is>
          <t>This field is mandatory for risk measure type equal to "NET_DV01" and "NET_CS01" and forbidden otherwise. Expressed in base currency.</t>
        </is>
      </c>
    </row>
    <row r="190" ht="45" customHeight="1">
      <c r="A190" s="87" t="inlineStr">
        <is>
          <t>RISK</t>
        </is>
      </c>
      <c r="B190" s="88" t="n">
        <v>142</v>
      </c>
      <c r="C190" s="89" t="inlineStr">
        <is>
          <t>Risk measure value for bucket &gt; 15 years</t>
        </is>
      </c>
      <c r="D190" s="90" t="inlineStr">
        <is>
          <t>C
M for risk measure type equal to "NET_DV01" and "NET_CS01"
F otherwise</t>
        </is>
      </c>
      <c r="E190" s="91" t="inlineStr">
        <is>
          <t>This field is mandatory for risk measure type equal to "NET_DV01" and "NET_CS01" and forbidden otherwise. Expressed in base currency.</t>
        </is>
      </c>
    </row>
    <row r="191" ht="33.75" customHeight="1">
      <c r="A191" s="87" t="inlineStr">
        <is>
          <t>RISK</t>
        </is>
      </c>
      <c r="B191" s="88" t="n">
        <v>143</v>
      </c>
      <c r="C191" s="89" t="inlineStr">
        <is>
          <t>Risk measure value for Vega exposure at current market levels</t>
        </is>
      </c>
      <c r="D191" s="90" t="inlineStr">
        <is>
          <t>C
M for risk measure type equal to "VEGA_EXPO"
F otherwise</t>
        </is>
      </c>
      <c r="E191" s="91" t="inlineStr">
        <is>
          <t>This field is mandatory for risk measure type equal to "VEGA_EXPO" and forbidden otherwise. Expressed in base currency.</t>
        </is>
      </c>
    </row>
    <row r="192" ht="33.75" customHeight="1">
      <c r="A192" s="87" t="inlineStr">
        <is>
          <t>RISK</t>
        </is>
      </c>
      <c r="B192" s="88" t="n">
        <v>144</v>
      </c>
      <c r="C192" s="89" t="inlineStr">
        <is>
          <t>Risk measure value for Vega exposure at market levels 10% lower</t>
        </is>
      </c>
      <c r="D192" s="90" t="inlineStr">
        <is>
          <t>C
M for risk measure type equal to "VEGA_EXPO"
F otherwise</t>
        </is>
      </c>
      <c r="E192" s="91" t="inlineStr">
        <is>
          <t>This field is mandatory for risk measure type equal to "VEGA_EXPO" and forbidden otherwise. Expressed in base currency.</t>
        </is>
      </c>
    </row>
    <row r="193" ht="33.75" customHeight="1">
      <c r="A193" s="87" t="inlineStr">
        <is>
          <t>RISK</t>
        </is>
      </c>
      <c r="B193" s="88" t="n">
        <v>145</v>
      </c>
      <c r="C193" s="89" t="inlineStr">
        <is>
          <t>Risk measure value for Vega exposure at market levels 10% higher</t>
        </is>
      </c>
      <c r="D193" s="90" t="inlineStr">
        <is>
          <t>C
M for risk measure type equal to "VEGA_EXPO"
F otherwise</t>
        </is>
      </c>
      <c r="E193" s="91" t="inlineStr">
        <is>
          <t>This field is mandatory for risk measure type equal to "VEGA_EXPO" and forbidden otherwise. Expressed in base currency.</t>
        </is>
      </c>
    </row>
    <row r="194" ht="33.75" customHeight="1">
      <c r="A194" s="87" t="inlineStr">
        <is>
          <t>RISK</t>
        </is>
      </c>
      <c r="B194" s="88" t="n">
        <v>302</v>
      </c>
      <c r="C194" s="89" t="inlineStr">
        <is>
          <t>VAR Value</t>
        </is>
      </c>
      <c r="D194" s="90" t="inlineStr">
        <is>
          <t>C
M for risk measure type equal to "VAR"
F otherwise</t>
        </is>
      </c>
      <c r="E194" s="91" t="inlineStr">
        <is>
          <t>This field is mandatory for risk measure type equal to "VAR" and forbidden otherwise. Expressed as a percentage.</t>
        </is>
      </c>
    </row>
    <row r="195" ht="56.25" customHeight="1">
      <c r="A195" s="87" t="inlineStr">
        <is>
          <t>RISK</t>
        </is>
      </c>
      <c r="B195" s="88" t="n">
        <v>146</v>
      </c>
      <c r="C195" s="91" t="inlineStr">
        <is>
          <t>VAR Calculation Method Code Type</t>
        </is>
      </c>
      <c r="D195" s="90" t="inlineStr">
        <is>
          <t>C
M for risk measure type equal to "VAR"
F otherwise</t>
        </is>
      </c>
      <c r="E195" s="91" t="inlineStr">
        <is>
          <t>Allowed values are:
- HISTO for Historical simulation
- CARLO for Monte Carlo simulation
- PARAM for Parametric
This field mandory for risk measure type equal to "VAR" and forbidden otherwise.</t>
        </is>
      </c>
    </row>
    <row r="196" ht="22.5" customHeight="1">
      <c r="A196" s="87" t="inlineStr">
        <is>
          <t>RISK</t>
        </is>
      </c>
      <c r="B196" s="88" t="n">
        <v>147</v>
      </c>
      <c r="C196" s="91" t="inlineStr">
        <is>
          <t>Risk Measure description</t>
        </is>
      </c>
      <c r="D196" s="90" t="inlineStr">
        <is>
          <t>C
M for risk measure values equal to 0</t>
        </is>
      </c>
      <c r="E196" s="91" t="inlineStr">
        <is>
          <t>Free description.
The field is mandatory for  risk measure values equal to 0 and optional otherwise.</t>
        </is>
      </c>
    </row>
    <row r="197">
      <c r="A197" s="87" t="n"/>
      <c r="B197" s="88" t="n"/>
      <c r="C197" s="91" t="n"/>
    </row>
    <row r="198">
      <c r="A198" s="83" t="inlineStr">
        <is>
          <t>Counterparty risk profile - This describes the risk profile of the counterparties</t>
        </is>
      </c>
      <c r="B198" s="93" t="n"/>
      <c r="C198" s="94" t="n"/>
      <c r="D198" s="95" t="inlineStr">
        <is>
          <t>C</t>
        </is>
      </c>
      <c r="E198" s="96" t="inlineStr">
        <is>
          <t>The COUNTERPARTY_RISK_PROFILE record is optional for AIFs with content type 2 and 4, and forbidden otherwise.</t>
        </is>
      </c>
      <c r="F198" s="97" t="n"/>
    </row>
    <row r="199">
      <c r="A199" s="87" t="inlineStr">
        <is>
          <t>COUNTERPARTY_RISK_PROFILE</t>
        </is>
      </c>
      <c r="B199" s="88" t="inlineStr">
        <is>
          <t>AIF_ID</t>
        </is>
      </c>
      <c r="C199" s="89" t="inlineStr">
        <is>
          <t>Custom AIF Identification</t>
        </is>
      </c>
      <c r="D199" s="90" t="inlineStr">
        <is>
          <t>Mandatory</t>
        </is>
      </c>
      <c r="E199" s="89" t="inlineStr">
        <is>
          <t>Custom AIF Identification to link AIF records to the correct AIF</t>
        </is>
      </c>
    </row>
    <row r="200" ht="22.5" customHeight="1">
      <c r="A200" s="87" t="inlineStr">
        <is>
          <t>COUNTERPARTY_RISK_PROFILE</t>
        </is>
      </c>
      <c r="B200" s="88" t="n">
        <v>148</v>
      </c>
      <c r="C200" s="91" t="inlineStr">
        <is>
          <t>Percentage of market value for securities traded on regulated markets (non-OTC)</t>
        </is>
      </c>
      <c r="D200" s="90" t="inlineStr">
        <is>
          <t>Optional</t>
        </is>
      </c>
      <c r="E200" s="91" t="inlineStr">
        <is>
          <t>Estimated % in terms of market value of securities traded on regulated exchange markets.
Rate expressed as a percentage.</t>
        </is>
      </c>
    </row>
    <row r="201" ht="45" customHeight="1">
      <c r="A201" s="87" t="inlineStr">
        <is>
          <t>COUNTERPARTY_RISK_PROFILE</t>
        </is>
      </c>
      <c r="B201" s="88" t="n">
        <v>149</v>
      </c>
      <c r="C201" s="91" t="inlineStr">
        <is>
          <t>Percentage of market value for securities traded on OTC markets</t>
        </is>
      </c>
      <c r="D201" s="90" t="inlineStr">
        <is>
          <t>Legacy</t>
        </is>
      </c>
      <c r="E201" s="91" t="inlineStr">
        <is>
          <t>Legacy, not needed anymore. Now determined as 100 - [field 148], only when a value is present in field 148.
Estimated % in terms of market value of securities traded on OTC markets.
Rate expressed as a percentage.</t>
        </is>
      </c>
    </row>
    <row r="202" ht="22.5" customHeight="1">
      <c r="A202" s="87" t="inlineStr">
        <is>
          <t>COUNTERPARTY_RISK_PROFILE</t>
        </is>
      </c>
      <c r="B202" s="88" t="n">
        <v>150</v>
      </c>
      <c r="C202" s="91" t="inlineStr">
        <is>
          <t>Percentage of trade volumes for derivatives traded on regulated markets (non-OTC)</t>
        </is>
      </c>
      <c r="D202" s="90" t="inlineStr">
        <is>
          <t>Optional</t>
        </is>
      </c>
      <c r="E202" s="91" t="inlineStr">
        <is>
          <t>Estimated % in terms of trade volumes of derivatives that are traded on regulated exchange markets.
Rate expressed as a percentage.</t>
        </is>
      </c>
    </row>
    <row r="203" ht="45" customHeight="1">
      <c r="A203" s="87" t="inlineStr">
        <is>
          <t>COUNTERPARTY_RISK_PROFILE</t>
        </is>
      </c>
      <c r="B203" s="88" t="n">
        <v>151</v>
      </c>
      <c r="C203" s="91" t="inlineStr">
        <is>
          <t>Percentage of trade volumes for derivatives traded on OTC markets</t>
        </is>
      </c>
      <c r="D203" s="90" t="inlineStr">
        <is>
          <t>Legacy</t>
        </is>
      </c>
      <c r="E203" s="91" t="inlineStr">
        <is>
          <t>Legacy, not needed anymore. Now determined as 100 - [field 150], only when a value is present in field 150.
Estimated % in terms of trade volumes of derivatives that are traded on OTC markets.
Rate expressed as a percentage.</t>
        </is>
      </c>
    </row>
    <row r="204" ht="22.5" customHeight="1">
      <c r="A204" s="87" t="inlineStr">
        <is>
          <t>COUNTERPARTY_RISK_PROFILE</t>
        </is>
      </c>
      <c r="B204" s="88" t="n">
        <v>152</v>
      </c>
      <c r="C204" s="91" t="inlineStr">
        <is>
          <t>Percentage of trade volumes for derivatives cleared by a CCP</t>
        </is>
      </c>
      <c r="D204" s="90" t="inlineStr">
        <is>
          <t>Optional</t>
        </is>
      </c>
      <c r="E204" s="91" t="inlineStr">
        <is>
          <t>Estimated % in terms of trade volumes of derivatives transactions that are cleared by a CCP.
Rate expressed as a percentage.</t>
        </is>
      </c>
    </row>
    <row r="205" ht="45" customHeight="1">
      <c r="A205" s="87" t="inlineStr">
        <is>
          <t>COUNTERPARTY_RISK_PROFILE</t>
        </is>
      </c>
      <c r="B205" s="88" t="n">
        <v>153</v>
      </c>
      <c r="C205" s="91" t="inlineStr">
        <is>
          <t>Percentage of trade volumes for derivatives cleared bilaterally</t>
        </is>
      </c>
      <c r="D205" s="90" t="inlineStr">
        <is>
          <t>Legacy</t>
        </is>
      </c>
      <c r="E205" s="91" t="inlineStr">
        <is>
          <t>Legacy, not needed anymore. Now determined as 100 - [field 152], only when a value is present in field 152.
Estimated % in terms of trade volumes of derivatives transactions that are cleared bilateraly.
Rate expressed as a percentage.</t>
        </is>
      </c>
    </row>
    <row r="206" ht="22.5" customHeight="1">
      <c r="A206" s="87" t="inlineStr">
        <is>
          <t>COUNTERPARTY_RISK_PROFILE</t>
        </is>
      </c>
      <c r="B206" s="88" t="n">
        <v>154</v>
      </c>
      <c r="C206" s="91" t="inlineStr">
        <is>
          <t>Percentage of market value for repos trades cleared by a CCP</t>
        </is>
      </c>
      <c r="D206" s="90" t="inlineStr">
        <is>
          <t>Optional</t>
        </is>
      </c>
      <c r="E206" s="91" t="inlineStr">
        <is>
          <t>Estimated % in terms of market value of repo trades that are cleared by a CCP.
Rate expressed as a percentage.</t>
        </is>
      </c>
    </row>
    <row r="207" ht="22.5" customHeight="1">
      <c r="A207" s="87" t="inlineStr">
        <is>
          <t>COUNTERPARTY_RISK_PROFILE</t>
        </is>
      </c>
      <c r="B207" s="88" t="n">
        <v>155</v>
      </c>
      <c r="C207" s="91" t="inlineStr">
        <is>
          <t>Percentage of market value for repos trades cleared bilaterally</t>
        </is>
      </c>
      <c r="D207" s="90" t="inlineStr">
        <is>
          <t>Optional</t>
        </is>
      </c>
      <c r="E207" s="91" t="inlineStr">
        <is>
          <t>Estimated % in terms of market value of repo trades that are cleared bilateraly.
Rate expressed as a percentage.</t>
        </is>
      </c>
    </row>
    <row r="208" ht="22.5" customHeight="1">
      <c r="A208" s="87" t="inlineStr">
        <is>
          <t>COUNTERPARTY_RISK_PROFILE</t>
        </is>
      </c>
      <c r="B208" s="88" t="n">
        <v>156</v>
      </c>
      <c r="C208" s="91" t="inlineStr">
        <is>
          <t>Percentage of market value for repos trades cleared with triparty repos</t>
        </is>
      </c>
      <c r="D208" s="90" t="inlineStr">
        <is>
          <t>Optional</t>
        </is>
      </c>
      <c r="E208" s="91" t="inlineStr">
        <is>
          <t>Estimated % in terms of market value of repo trades that are cleared via tri party repos.
Rate expressed as a percentage.</t>
        </is>
      </c>
    </row>
    <row r="209">
      <c r="A209" s="87" t="inlineStr">
        <is>
          <t>COUNTERPARTY_RISK_PROFILE</t>
        </is>
      </c>
      <c r="B209" s="88" t="n">
        <v>157</v>
      </c>
      <c r="C209" s="91" t="inlineStr">
        <is>
          <t>Collateral Cash amount posted to all counterparties</t>
        </is>
      </c>
      <c r="D209" s="90" t="inlineStr">
        <is>
          <t>Optional</t>
        </is>
      </c>
      <c r="E209" s="91" t="inlineStr">
        <is>
          <t>Value of collateral posted in the form of cash and cash equivalent expressed in base currency filled in without decimal places.</t>
        </is>
      </c>
    </row>
    <row r="210" ht="22.5" customHeight="1">
      <c r="A210" s="87" t="inlineStr">
        <is>
          <t>COUNTERPARTY_RISK_PROFILE</t>
        </is>
      </c>
      <c r="B210" s="88" t="n">
        <v>158</v>
      </c>
      <c r="C210" s="91" t="inlineStr">
        <is>
          <t>Collateral Securities amount posted to all counterparties</t>
        </is>
      </c>
      <c r="D210" s="90" t="inlineStr">
        <is>
          <t>Optional</t>
        </is>
      </c>
      <c r="E210" s="91" t="inlineStr">
        <is>
          <t>Value of collateral posted in the form of other securities (excluding cash and cash equivalent) expressed in base currency filled in without decimal places.</t>
        </is>
      </c>
    </row>
    <row r="211" ht="22.5" customHeight="1">
      <c r="A211" s="87" t="inlineStr">
        <is>
          <t>COUNTERPARTY_RISK_PROFILE</t>
        </is>
      </c>
      <c r="B211" s="88" t="n">
        <v>159</v>
      </c>
      <c r="C211" s="91" t="inlineStr">
        <is>
          <t>Other Collateral amount posted to all counterparties</t>
        </is>
      </c>
      <c r="D211" s="90" t="inlineStr">
        <is>
          <t>Optional</t>
        </is>
      </c>
      <c r="E211" s="91" t="inlineStr">
        <is>
          <t>Value of other collateral and credit support posted (including face amount of letters of credit and similar third party credit support) expressed in base currency filled in without decimal places.</t>
        </is>
      </c>
    </row>
    <row r="212">
      <c r="A212" s="87" t="n"/>
      <c r="B212" s="88" t="n"/>
      <c r="C212" s="91" t="n"/>
    </row>
    <row r="213">
      <c r="A213" s="83" t="inlineStr">
        <is>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is>
      </c>
      <c r="B213" s="93" t="n"/>
      <c r="C213" s="94" t="n"/>
      <c r="D213" s="95" t="inlineStr">
        <is>
          <t>C</t>
        </is>
      </c>
      <c r="E213" s="96" t="inlineStr">
        <is>
          <t>The PORTFOLIO_LIQUIDITY_PROFILE record is mandatory for AIFs with content type 2 and 4, and forbidden otherwise.</t>
        </is>
      </c>
      <c r="F213" s="97" t="n"/>
    </row>
    <row r="214">
      <c r="A214" s="87" t="inlineStr">
        <is>
          <t>PORTFOLIO_LIQUIDITY_PROFILE</t>
        </is>
      </c>
      <c r="B214" s="88" t="inlineStr">
        <is>
          <t>AIF_ID</t>
        </is>
      </c>
      <c r="C214" s="89" t="inlineStr">
        <is>
          <t>Custom AIF Identification</t>
        </is>
      </c>
      <c r="D214" s="90" t="inlineStr">
        <is>
          <t>Mandatory</t>
        </is>
      </c>
      <c r="E214" s="89" t="inlineStr">
        <is>
          <t>Custom AIF Identification to link AIF records to the correct AIF</t>
        </is>
      </c>
    </row>
    <row r="215" ht="33.75" customHeight="1">
      <c r="A215" s="87" t="inlineStr">
        <is>
          <t>PORTFOLIO_LIQUIDITY_PROFILE</t>
        </is>
      </c>
      <c r="B215" s="88" t="n">
        <v>178</v>
      </c>
      <c r="C215" s="89" t="inlineStr">
        <is>
          <t>Percentage of portfolio liquidity in 0 to 1 day</t>
        </is>
      </c>
      <c r="D215" s="90" t="inlineStr">
        <is>
          <t>Mandatory</t>
        </is>
      </c>
      <c r="E215" s="91" t="inlineStr">
        <is>
          <t>The percentage of portfolio capable of being liquidated within 1 day or less.
The total sum of the percentage of the fund’s portfolio that is capable of being liquidated within each of the liquidity periods specified should equal 100%.</t>
        </is>
      </c>
    </row>
    <row r="216" ht="33.75" customHeight="1">
      <c r="A216" s="87" t="inlineStr">
        <is>
          <t>PORTFOLIO_LIQUIDITY_PROFILE</t>
        </is>
      </c>
      <c r="B216" s="88" t="n">
        <v>179</v>
      </c>
      <c r="C216" s="89" t="inlineStr">
        <is>
          <t>Percentage of portfolio liquidity in 2 to 7 days</t>
        </is>
      </c>
      <c r="D216" s="90" t="inlineStr">
        <is>
          <t>Mandatory</t>
        </is>
      </c>
      <c r="E216" s="91" t="inlineStr">
        <is>
          <t>The percentage of portfolio capable of being liquidated in 2 to 7 days.
The total sum of the percentage of the fund’s portfolio that is capable of being liquidated within each of the liquidity periods specified should equal 100%.</t>
        </is>
      </c>
    </row>
    <row r="217" ht="33.75" customHeight="1">
      <c r="A217" s="87" t="inlineStr">
        <is>
          <t>PORTFOLIO_LIQUIDITY_PROFILE</t>
        </is>
      </c>
      <c r="B217" s="88" t="n">
        <v>180</v>
      </c>
      <c r="C217" s="89" t="inlineStr">
        <is>
          <t>Percentage of portfolio liquidity in 8 to 30 days</t>
        </is>
      </c>
      <c r="D217" s="90" t="inlineStr">
        <is>
          <t>Mandatory</t>
        </is>
      </c>
      <c r="E217" s="91" t="inlineStr">
        <is>
          <t>The percentage of portfolio capable of being liquidated in 8 to 30 days.
The total sum of the percentage of the fund’s portfolio that is capable of being liquidated within each of the liquidity periods specified should equal 100%.</t>
        </is>
      </c>
    </row>
    <row r="218" ht="33.75" customHeight="1">
      <c r="A218" s="87" t="inlineStr">
        <is>
          <t>PORTFOLIO_LIQUIDITY_PROFILE</t>
        </is>
      </c>
      <c r="B218" s="88" t="n">
        <v>181</v>
      </c>
      <c r="C218" s="89" t="inlineStr">
        <is>
          <t>Percentage of portfolio liquidity in 31 to 90 days</t>
        </is>
      </c>
      <c r="D218" s="90" t="inlineStr">
        <is>
          <t>Mandatory</t>
        </is>
      </c>
      <c r="E218" s="91" t="inlineStr">
        <is>
          <t>The percentage of portfolio capable of being liquidated in 31 to 90 days.
The total sum of the percentage of the fund’s portfolio that is capable of being liquidated within each of the liquidity periods specified should equal 100%.</t>
        </is>
      </c>
    </row>
    <row r="219" ht="33.75" customHeight="1">
      <c r="A219" s="87" t="inlineStr">
        <is>
          <t>PORTFOLIO_LIQUIDITY_PROFILE</t>
        </is>
      </c>
      <c r="B219" s="88" t="n">
        <v>182</v>
      </c>
      <c r="C219" s="89" t="inlineStr">
        <is>
          <t>Percentage of portfolio liquidity in 91 to 180 days</t>
        </is>
      </c>
      <c r="D219" s="90" t="inlineStr">
        <is>
          <t>Mandatory</t>
        </is>
      </c>
      <c r="E219" s="91" t="inlineStr">
        <is>
          <t>The percentage of portfolio capable of being liquidated in 91 to 180 days.
The total sum of the percentage of the fund’s portfolio that is capable of being liquidated within each of the liquidity periods specified should equal 100%.</t>
        </is>
      </c>
    </row>
    <row r="220" ht="33.75" customHeight="1">
      <c r="A220" s="87" t="inlineStr">
        <is>
          <t>PORTFOLIO_LIQUIDITY_PROFILE</t>
        </is>
      </c>
      <c r="B220" s="88" t="n">
        <v>183</v>
      </c>
      <c r="C220" s="89" t="inlineStr">
        <is>
          <t>Percentage of portfolio liquidity in 181 to 365 days</t>
        </is>
      </c>
      <c r="D220" s="90" t="inlineStr">
        <is>
          <t>Mandatory</t>
        </is>
      </c>
      <c r="E220" s="91" t="inlineStr">
        <is>
          <t>The percentage of portfolio capable of being liquidated in 181 to 365 days.
The total sum of the percentage of the fund’s portfolio that is capable of being liquidated within each of the liquidity periods specified should equal 100%.</t>
        </is>
      </c>
    </row>
    <row r="221" ht="33.75" customHeight="1">
      <c r="A221" s="87" t="inlineStr">
        <is>
          <t>PORTFOLIO_LIQUIDITY_PROFILE</t>
        </is>
      </c>
      <c r="B221" s="88" t="n">
        <v>184</v>
      </c>
      <c r="C221" s="89" t="inlineStr">
        <is>
          <t>Percentage of portfolio liquidity in more than 365 days</t>
        </is>
      </c>
      <c r="D221" s="90" t="inlineStr">
        <is>
          <t>Mandatory</t>
        </is>
      </c>
      <c r="E221" s="91" t="inlineStr">
        <is>
          <t>The percentage of portfolio capable of being liquidated in more than 365 days.
The total sum of the percentage of the fund’s portfolio that is capable of being liquidated within each of the liquidity periods specified should equal 100%.</t>
        </is>
      </c>
    </row>
    <row r="222">
      <c r="A222" s="87" t="inlineStr">
        <is>
          <t>PORTFOLIO_LIQUIDITY_PROFILE</t>
        </is>
      </c>
      <c r="B222" s="88" t="n">
        <v>185</v>
      </c>
      <c r="C222" s="89" t="inlineStr">
        <is>
          <t>Unencumbered cash amount</t>
        </is>
      </c>
      <c r="D222" s="90" t="inlineStr">
        <is>
          <t>Mandatory</t>
        </is>
      </c>
      <c r="E222" s="91" t="inlineStr">
        <is>
          <t>Amount expressed in Base currency.</t>
        </is>
      </c>
    </row>
    <row r="223">
      <c r="A223" s="87" t="n"/>
      <c r="B223" s="88" t="n"/>
      <c r="C223" s="89" t="n"/>
    </row>
    <row r="224">
      <c r="A224" s="83" t="inlineStr">
        <is>
          <t>Investor liquidity - This describes how easily an investor can redeme investment (withdraw from fund)</t>
        </is>
      </c>
      <c r="B224" s="93" t="n"/>
      <c r="C224" s="94" t="n"/>
      <c r="D224" s="95" t="inlineStr">
        <is>
          <t>C</t>
        </is>
      </c>
      <c r="E224" s="96" t="inlineStr">
        <is>
          <t>The INVESTOR_LIQUIDITY_PROFILE record is mandatory for AIFs with content type 2 and 4, and forbidden otherwise.</t>
        </is>
      </c>
      <c r="F224" s="97" t="n"/>
    </row>
    <row r="225">
      <c r="A225" s="87" t="inlineStr">
        <is>
          <t>INVESTOR_LIQUIDITY_PROFILE</t>
        </is>
      </c>
      <c r="B225" s="88" t="inlineStr">
        <is>
          <t>AIF_ID</t>
        </is>
      </c>
      <c r="C225" s="89" t="inlineStr">
        <is>
          <t>Custom AIF Identification</t>
        </is>
      </c>
      <c r="D225" s="90" t="inlineStr">
        <is>
          <t>Mandatory</t>
        </is>
      </c>
      <c r="E225" s="89" t="inlineStr">
        <is>
          <t>Custom AIF Identification to link AIF records to the correct AIF</t>
        </is>
      </c>
    </row>
    <row r="226" ht="22.5" customHeight="1">
      <c r="A226" s="87" t="inlineStr">
        <is>
          <t>INVESTOR_LIQUIDITY_PROFILE</t>
        </is>
      </c>
      <c r="B226" s="88" t="n">
        <v>186</v>
      </c>
      <c r="C226" s="89" t="inlineStr">
        <is>
          <t>Percentage of investor liquidity in 0 to 1 day</t>
        </is>
      </c>
      <c r="D226" s="90" t="inlineStr">
        <is>
          <t>Mandatory</t>
        </is>
      </c>
      <c r="E226" s="91" t="inlineStr">
        <is>
          <t>Breakdown of the NAV divided among the 1 day or less period depending on  the shortest period within which the invested funds could be withdrawn or investors could receive redemption payments. The total should equal 100%.</t>
        </is>
      </c>
    </row>
    <row r="227" ht="22.5" customHeight="1">
      <c r="A227" s="87" t="inlineStr">
        <is>
          <t>INVESTOR_LIQUIDITY_PROFILE</t>
        </is>
      </c>
      <c r="B227" s="88" t="n">
        <v>187</v>
      </c>
      <c r="C227" s="89" t="inlineStr">
        <is>
          <t>Percentage of investor liquidity in 2 to 7 days</t>
        </is>
      </c>
      <c r="D227" s="90" t="inlineStr">
        <is>
          <t>Mandatory</t>
        </is>
      </c>
      <c r="E227" s="91" t="inlineStr">
        <is>
          <t>Breakdown of the NAV divided among the “2 to 7 days” period depending on  the shortest period within which the invested funds could be withdrawn or investors could receive redemption payments. The total should equal 100%.</t>
        </is>
      </c>
    </row>
    <row r="228" ht="22.5" customHeight="1">
      <c r="A228" s="87" t="inlineStr">
        <is>
          <t>INVESTOR_LIQUIDITY_PROFILE</t>
        </is>
      </c>
      <c r="B228" s="88" t="n">
        <v>188</v>
      </c>
      <c r="C228" s="89" t="inlineStr">
        <is>
          <t>Percentage of investor liquidity in 8 to 30 days</t>
        </is>
      </c>
      <c r="D228" s="90" t="inlineStr">
        <is>
          <t>Mandatory</t>
        </is>
      </c>
      <c r="E228" s="91" t="inlineStr">
        <is>
          <t>Breakdown of the NAV divided among the “8 to 30 days” period depending on  the shortest period within which the invested funds could be withdrawn or investors could receive redemption payments. The total should equal 100%.</t>
        </is>
      </c>
    </row>
    <row r="229" ht="22.5" customHeight="1">
      <c r="A229" s="87" t="inlineStr">
        <is>
          <t>INVESTOR_LIQUIDITY_PROFILE</t>
        </is>
      </c>
      <c r="B229" s="88" t="n">
        <v>189</v>
      </c>
      <c r="C229" s="89" t="inlineStr">
        <is>
          <t>Percentage of investor liquidity in 31 to 90 days</t>
        </is>
      </c>
      <c r="D229" s="90" t="inlineStr">
        <is>
          <t>Mandatory</t>
        </is>
      </c>
      <c r="E229" s="91" t="inlineStr">
        <is>
          <t>Breakdown of the NAV divided among the “31 to 90 days” period depending on  the shortest period within which the invested funds could be withdrawn or investors could receive redemption payments. The total should equal 100%.</t>
        </is>
      </c>
    </row>
    <row r="230" ht="22.5" customHeight="1">
      <c r="A230" s="87" t="inlineStr">
        <is>
          <t>INVESTOR_LIQUIDITY_PROFILE</t>
        </is>
      </c>
      <c r="B230" s="88" t="n">
        <v>190</v>
      </c>
      <c r="C230" s="89" t="inlineStr">
        <is>
          <t>Percentage of investor liquidity in 91 to 180 days</t>
        </is>
      </c>
      <c r="D230" s="90" t="inlineStr">
        <is>
          <t>Mandatory</t>
        </is>
      </c>
      <c r="E230" s="91" t="inlineStr">
        <is>
          <t>Breakdown of the NAV divided among the “91 to 180 days” period depending on  the shortest period within which the invested funds could be withdrawn or investors could receive redemption payments. The total should equal 100%.</t>
        </is>
      </c>
    </row>
    <row r="231" ht="22.5" customHeight="1">
      <c r="A231" s="87" t="inlineStr">
        <is>
          <t>INVESTOR_LIQUIDITY_PROFILE</t>
        </is>
      </c>
      <c r="B231" s="88" t="n">
        <v>191</v>
      </c>
      <c r="C231" s="89" t="inlineStr">
        <is>
          <t>Percentage of investor liquidity in 181 to 365 days</t>
        </is>
      </c>
      <c r="D231" s="90" t="inlineStr">
        <is>
          <t>Mandatory</t>
        </is>
      </c>
      <c r="E231" s="91" t="inlineStr">
        <is>
          <t>Breakdown of the NAV divided among the “181 to 365 days” period depending on  the shortest period within which the invested funds could be withdrawn or investors could receive redemption payments. The total should equal 100%.</t>
        </is>
      </c>
    </row>
    <row r="232" ht="22.5" customHeight="1">
      <c r="A232" s="87" t="inlineStr">
        <is>
          <t>INVESTOR_LIQUIDITY_PROFILE</t>
        </is>
      </c>
      <c r="B232" s="88" t="n">
        <v>192</v>
      </c>
      <c r="C232" s="89" t="inlineStr">
        <is>
          <t>Percentage of investor liquidity in more than 365 days</t>
        </is>
      </c>
      <c r="D232" s="90" t="inlineStr">
        <is>
          <t>Mandatory</t>
        </is>
      </c>
      <c r="E232" s="91" t="inlineStr">
        <is>
          <t>Breakdown of the NAV divided among the “more than 365 days” period depending on  the shortest period within which the invested funds could be withdrawn or investors could receive redemption payments. The total should equal 100%.</t>
        </is>
      </c>
    </row>
    <row r="233">
      <c r="A233" s="87" t="n"/>
      <c r="B233" s="88" t="n"/>
      <c r="C233" s="89" t="n"/>
    </row>
    <row r="234">
      <c r="A234" s="83" t="inlineStr">
        <is>
          <t>Investor redemption rules - Most funds have rules on how easily an investor can withdraw capital from a fund</t>
        </is>
      </c>
      <c r="B234" s="93" t="n"/>
      <c r="C234" s="94" t="n"/>
      <c r="D234" s="95" t="inlineStr">
        <is>
          <t>C</t>
        </is>
      </c>
      <c r="E234" s="96" t="inlineStr">
        <is>
          <t>The INVESTOR_REDEMPTION record is optional for AIFs with content type 2 and 4, and forbidden otherwise.</t>
        </is>
      </c>
      <c r="F234" s="97" t="n"/>
    </row>
    <row r="235">
      <c r="A235" s="87" t="inlineStr">
        <is>
          <t>INVESTOR_REDEMPTION</t>
        </is>
      </c>
      <c r="B235" s="88" t="inlineStr">
        <is>
          <t>AIF_ID</t>
        </is>
      </c>
      <c r="C235" s="89" t="inlineStr">
        <is>
          <t>Custom AIF Identification</t>
        </is>
      </c>
      <c r="D235" s="90" t="inlineStr">
        <is>
          <t>Mandatory</t>
        </is>
      </c>
      <c r="E235" s="89" t="inlineStr">
        <is>
          <t>Custom AIF Identification to link AIF records to the correct AIF</t>
        </is>
      </c>
    </row>
    <row r="236" ht="45" customHeight="1">
      <c r="A236" s="87" t="inlineStr">
        <is>
          <t>INVESTOR_REDEMPTION</t>
        </is>
      </c>
      <c r="B236" s="88" t="n">
        <v>193</v>
      </c>
      <c r="C236" s="89" t="inlineStr">
        <is>
          <t>Withdrawal redemption rights flag</t>
        </is>
      </c>
      <c r="D236" s="136" t="inlineStr">
        <is>
          <t>Legacy</t>
        </is>
      </c>
      <c r="E236" s="118" t="inlineStr">
        <is>
          <t>Legacy, not needed anymore. Now determined based on fields 194-196.
Flag indicating whether the AIF provides investors with withdrawal/redemption rights in the ordinary course.
true or false</t>
        </is>
      </c>
    </row>
    <row r="237" ht="146.25" customHeight="1">
      <c r="A237" s="87" t="inlineStr">
        <is>
          <t>INVESTOR_REDEMPTION</t>
        </is>
      </c>
      <c r="B237" s="88" t="n">
        <v>194</v>
      </c>
      <c r="C237" s="89" t="inlineStr">
        <is>
          <t>Investor Redemption Frequency</t>
        </is>
      </c>
      <c r="D237" s="90" t="inlineStr">
        <is>
          <t>Optional</t>
        </is>
      </c>
      <c r="E237" s="118" t="inlineStr">
        <is>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is>
      </c>
      <c r="F237" s="99" t="inlineStr">
        <is>
          <t>See tab: #DOC Annex II Tables - Table 6 for allowed values</t>
        </is>
      </c>
    </row>
    <row r="238" ht="22.5" customHeight="1">
      <c r="A238" s="87" t="inlineStr">
        <is>
          <t>INVESTOR_REDEMPTION</t>
        </is>
      </c>
      <c r="B238" s="88" t="n">
        <v>195</v>
      </c>
      <c r="C238" s="89" t="inlineStr">
        <is>
          <t>Investor Redemption Notice Period</t>
        </is>
      </c>
      <c r="D238" s="90" t="inlineStr">
        <is>
          <t>Optional</t>
        </is>
      </c>
      <c r="E238" s="118" t="inlineStr">
        <is>
          <t>The notice period required by investors for redemptions in days.
If there are multiple classes of shares or units, the notice period reported is the asset weighted notice period.</t>
        </is>
      </c>
    </row>
    <row r="239" ht="22.5" customHeight="1">
      <c r="A239" s="87" t="inlineStr">
        <is>
          <t>INVESTOR_REDEMPTION</t>
        </is>
      </c>
      <c r="B239" s="88" t="n">
        <v>196</v>
      </c>
      <c r="C239" s="89" t="inlineStr">
        <is>
          <t>Investor Redemption Lock Up Period</t>
        </is>
      </c>
      <c r="D239" s="90" t="inlineStr">
        <is>
          <t>Optional</t>
        </is>
      </c>
      <c r="E239" s="118" t="inlineStr">
        <is>
          <t>The investor lock-up period in days.
If there are multiple classes of shares or units, the notice period reported is the asset weighted lock-up period.</t>
        </is>
      </c>
    </row>
    <row r="240">
      <c r="A240" s="87" t="n"/>
      <c r="B240" s="88" t="n"/>
      <c r="C240" s="89" t="n"/>
    </row>
    <row r="241">
      <c r="A241" s="83" t="inlineStr">
        <is>
          <t>Special Arrangements - details whether the fund has provided any special arrangements for a particular share class or investor.</t>
        </is>
      </c>
      <c r="B241" s="93" t="n"/>
      <c r="C241" s="94" t="n"/>
      <c r="D241" s="95" t="inlineStr">
        <is>
          <t>O</t>
        </is>
      </c>
      <c r="E241" s="96" t="inlineStr">
        <is>
          <t>The SPECIAL_ARRANGEMENT record is optional for AIFs with content type 2 and 4, and forbidden otherwise.</t>
        </is>
      </c>
      <c r="F241" s="97" t="n"/>
    </row>
    <row r="242">
      <c r="A242" s="87" t="inlineStr">
        <is>
          <t>SPECIAL_ARRANGEMENT</t>
        </is>
      </c>
      <c r="B242" s="88" t="inlineStr">
        <is>
          <t>AIF_ID</t>
        </is>
      </c>
      <c r="C242" s="89" t="inlineStr">
        <is>
          <t>Custom AIF Identification</t>
        </is>
      </c>
      <c r="D242" s="90" t="inlineStr">
        <is>
          <t>Mandatory</t>
        </is>
      </c>
      <c r="E242" s="89" t="inlineStr">
        <is>
          <t>Custom AIF Identification to link AIF records to the correct AIF</t>
        </is>
      </c>
    </row>
    <row r="243" ht="22.5" customHeight="1">
      <c r="A243" s="87" t="inlineStr">
        <is>
          <t>SPECIAL_ARRANGEMENT</t>
        </is>
      </c>
      <c r="B243" s="88" t="n">
        <v>197</v>
      </c>
      <c r="C243" s="89" t="inlineStr">
        <is>
          <t>Side Pocket percentage</t>
        </is>
      </c>
      <c r="D243" s="90" t="inlineStr">
        <is>
          <t>Optional</t>
        </is>
      </c>
      <c r="E243" s="91" t="inlineStr">
        <is>
          <t>The NAV percentage of the AIF's assets that are currently subject to side pockets arrangements.
Rate expressed as a percentage.</t>
        </is>
      </c>
    </row>
    <row r="244" ht="22.5" customHeight="1">
      <c r="A244" s="87" t="inlineStr">
        <is>
          <t>SPECIAL_ARRANGEMENT</t>
        </is>
      </c>
      <c r="B244" s="88" t="n">
        <v>198</v>
      </c>
      <c r="C244" s="89" t="inlineStr">
        <is>
          <t>Gates percentage</t>
        </is>
      </c>
      <c r="D244" s="90" t="inlineStr">
        <is>
          <t>Optional</t>
        </is>
      </c>
      <c r="E244" s="91" t="inlineStr">
        <is>
          <t>The NAV percentage of the AIF's assets that are currently subject to Gates arrangements.
Rate expressed as a percentage.</t>
        </is>
      </c>
    </row>
    <row r="245" ht="22.5" customHeight="1">
      <c r="A245" s="87" t="inlineStr">
        <is>
          <t>SPECIAL_ARRANGEMENT</t>
        </is>
      </c>
      <c r="B245" s="88" t="n">
        <v>199</v>
      </c>
      <c r="C245" s="89" t="inlineStr">
        <is>
          <t>Dealing Suspension percentage</t>
        </is>
      </c>
      <c r="D245" s="90" t="inlineStr">
        <is>
          <t>Optional</t>
        </is>
      </c>
      <c r="E245" s="91" t="inlineStr">
        <is>
          <t>The NAV percentage of the AIF's assets that are currently subject to suspension of dealing arrangements.
Rate expressed as a percentage.</t>
        </is>
      </c>
    </row>
    <row r="246" ht="45" customHeight="1">
      <c r="A246" s="87" t="inlineStr">
        <is>
          <t>SPECIAL_ARRANGEMENT</t>
        </is>
      </c>
      <c r="B246" s="88" t="n">
        <v>200</v>
      </c>
      <c r="C246" s="89" t="inlineStr">
        <is>
          <t>Other Arrangement Type</t>
        </is>
      </c>
      <c r="D246" s="90" t="inlineStr">
        <is>
          <t>C
M when "Other arrangement percentage" (201) is filled in,
O otherwise.</t>
        </is>
      </c>
      <c r="E246" s="91" t="inlineStr">
        <is>
          <t>Free text for other arrangement for managing illiquid assets.</t>
        </is>
      </c>
    </row>
    <row r="247" ht="33.75" customHeight="1">
      <c r="A247" s="87" t="inlineStr">
        <is>
          <t>SPECIAL_ARRANGEMENT</t>
        </is>
      </c>
      <c r="B247" s="88" t="n">
        <v>201</v>
      </c>
      <c r="C247" s="89" t="inlineStr">
        <is>
          <t>Other arrangement percentage</t>
        </is>
      </c>
      <c r="D247" s="90" t="inlineStr">
        <is>
          <t>C
M when "Other Arrangement Type" (200) is filled in,
O otherwise.</t>
        </is>
      </c>
      <c r="E247" s="91" t="inlineStr">
        <is>
          <t>The NAV percentage of the AIF's assets that are currently subject to other arrangements for managing illiquid assets.
Rate expressed as a percentage.</t>
        </is>
      </c>
    </row>
    <row r="248" ht="33.75" customHeight="1">
      <c r="A248" s="87" t="inlineStr">
        <is>
          <t>SPECIAL_ARRANGEMENT</t>
        </is>
      </c>
      <c r="B248" s="88" t="n">
        <v>202</v>
      </c>
      <c r="C248" s="89" t="inlineStr">
        <is>
          <t>Total arrangement percentage</t>
        </is>
      </c>
      <c r="D248" s="90" t="inlineStr">
        <is>
          <t>Optional</t>
        </is>
      </c>
      <c r="E248" s="91" t="inlineStr">
        <is>
          <t>The NAV percentage of the AIF's assets that are currently subject to the special arrangements arising fron their illiquid nature under Article 23.4 of the AIFMD.
Rate expressed as a percentage.</t>
        </is>
      </c>
    </row>
    <row r="249" ht="45" customHeight="1">
      <c r="A249" s="87" t="inlineStr">
        <is>
          <t>SPECIAL_ARRANGEMENT</t>
        </is>
      </c>
      <c r="B249" s="88" t="n">
        <v>203</v>
      </c>
      <c r="C249" s="89" t="inlineStr">
        <is>
          <t>Investor preferential treatment Flag</t>
        </is>
      </c>
      <c r="D249" s="136" t="inlineStr">
        <is>
          <t>Legacy</t>
        </is>
      </c>
      <c r="E249" s="91" t="inlineStr">
        <is>
          <t>Legacy, not needed anymore. Now determined based on fields 204-207.
Flag indicating whether there are any investors who obtain preferential treatment or the right to preferential treatment.
true or false</t>
        </is>
      </c>
    </row>
    <row r="250" ht="22.5" customHeight="1">
      <c r="A250" s="87" t="inlineStr">
        <is>
          <t>SPECIAL_ARRANGEMENT</t>
        </is>
      </c>
      <c r="B250" s="88" t="n">
        <v>204</v>
      </c>
      <c r="C250" s="89" t="inlineStr">
        <is>
          <t>Disclosure Terms Preferential Treatment Flag</t>
        </is>
      </c>
      <c r="D250" s="90" t="inlineStr">
        <is>
          <t>Optional</t>
        </is>
      </c>
      <c r="E250" s="91" t="inlineStr">
        <is>
          <t>Flag indicating whether there are any different disclosure/reporting to investors
true or false</t>
        </is>
      </c>
    </row>
    <row r="251" ht="22.5" customHeight="1">
      <c r="A251" s="87" t="inlineStr">
        <is>
          <t>SPECIAL_ARRANGEMENT</t>
        </is>
      </c>
      <c r="B251" s="88" t="n">
        <v>205</v>
      </c>
      <c r="C251" s="89" t="inlineStr">
        <is>
          <t>Liquidity Terms Preferential Treatment Flag</t>
        </is>
      </c>
      <c r="D251" s="90" t="inlineStr">
        <is>
          <t>Optional</t>
        </is>
      </c>
      <c r="E251" s="91" t="inlineStr">
        <is>
          <t>Flag indicating whether there are any different investor liquidity terms
true or false</t>
        </is>
      </c>
    </row>
    <row r="252" ht="22.5" customHeight="1">
      <c r="A252" s="87" t="inlineStr">
        <is>
          <t>SPECIAL_ARRANGEMENT</t>
        </is>
      </c>
      <c r="B252" s="88" t="n">
        <v>206</v>
      </c>
      <c r="C252" s="89" t="inlineStr">
        <is>
          <t>Fee Terms Preferential Treatment Flag</t>
        </is>
      </c>
      <c r="D252" s="90" t="inlineStr">
        <is>
          <t>Optional</t>
        </is>
      </c>
      <c r="E252" s="91" t="inlineStr">
        <is>
          <t>Flag indicating whether there are any different fee terms for investors
true or false</t>
        </is>
      </c>
    </row>
    <row r="253" ht="22.5" customHeight="1">
      <c r="A253" s="87" t="inlineStr">
        <is>
          <t>SPECIAL_ARRANGEMENT</t>
        </is>
      </c>
      <c r="B253" s="88" t="n">
        <v>207</v>
      </c>
      <c r="C253" s="89" t="inlineStr">
        <is>
          <t>Other Terms Preferential Treatment Flag</t>
        </is>
      </c>
      <c r="D253" s="90" t="inlineStr">
        <is>
          <t>Optional</t>
        </is>
      </c>
      <c r="E253" s="91" t="inlineStr">
        <is>
          <t>Flag indicating whether there are any other preferential treatment
true or false</t>
        </is>
      </c>
    </row>
    <row r="254">
      <c r="A254" s="87" t="n"/>
      <c r="B254" s="88" t="n"/>
      <c r="C254" s="89" t="n"/>
      <c r="D254" s="106" t="n"/>
    </row>
    <row r="255">
      <c r="A255" s="83" t="inlineStr">
        <is>
          <t>Investor  - Breakdown of investor types (individual investor not needed but type of investor, % of NAV ownership required)</t>
        </is>
      </c>
      <c r="B255" s="93" t="n"/>
      <c r="C255" s="94" t="n"/>
      <c r="D255" s="95" t="inlineStr">
        <is>
          <t>C</t>
        </is>
      </c>
      <c r="E255" s="96" t="inlineStr">
        <is>
          <t>The INVESTOR record is mandatory for AIFs with content type 2 and 4, and forbidden otherwise.</t>
        </is>
      </c>
      <c r="F255" s="97" t="n"/>
    </row>
    <row r="256">
      <c r="A256" s="87" t="inlineStr">
        <is>
          <t>INVESTOR</t>
        </is>
      </c>
      <c r="B256" s="88" t="inlineStr">
        <is>
          <t>AIF_ID</t>
        </is>
      </c>
      <c r="C256" s="89" t="inlineStr">
        <is>
          <t>Custom AIF Identification</t>
        </is>
      </c>
      <c r="D256" s="90" t="inlineStr">
        <is>
          <t>Mandatory</t>
        </is>
      </c>
      <c r="E256" s="89" t="inlineStr">
        <is>
          <t>Custom AIF Identification to link AIF records to the correct AIF</t>
        </is>
      </c>
      <c r="F256" s="91" t="n">
        <v>1</v>
      </c>
    </row>
    <row r="257" ht="146.25" customHeight="1">
      <c r="A257" s="87" t="inlineStr">
        <is>
          <t>INVESTOR</t>
        </is>
      </c>
      <c r="B257" s="88" t="n">
        <v>208</v>
      </c>
      <c r="C257" s="89" t="inlineStr">
        <is>
          <t>Investor Group Type</t>
        </is>
      </c>
      <c r="D257" s="90" t="inlineStr">
        <is>
          <t>Mandatory</t>
        </is>
      </c>
      <c r="E257" s="91" t="inlineStr">
        <is>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is>
      </c>
      <c r="F257" s="99" t="inlineStr">
        <is>
          <t>See tab: Annex II Table 4-7</t>
        </is>
      </c>
    </row>
    <row r="258">
      <c r="A258" s="87" t="inlineStr">
        <is>
          <t>INVESTOR</t>
        </is>
      </c>
      <c r="B258" s="88" t="n">
        <v>209</v>
      </c>
      <c r="C258" s="89" t="inlineStr">
        <is>
          <t>Investor group NAV rate</t>
        </is>
      </c>
      <c r="D258" s="90" t="inlineStr">
        <is>
          <t>Mandatory</t>
        </is>
      </c>
      <c r="E258" s="91" t="inlineStr">
        <is>
          <t>The percentage of NAV for each typology of investors.</t>
        </is>
      </c>
    </row>
    <row r="259">
      <c r="A259" s="87" t="n"/>
      <c r="B259" s="88" t="n"/>
      <c r="C259" s="89" t="n"/>
    </row>
    <row r="260">
      <c r="A260" s="83" t="inlineStr">
        <is>
          <t>Financing Liquidity - describes liquidity of financing buckets of a fund (how long certain financing is available for)</t>
        </is>
      </c>
      <c r="B260" s="107" t="n"/>
      <c r="C260" s="83" t="n"/>
      <c r="D260" s="95" t="inlineStr">
        <is>
          <t>O</t>
        </is>
      </c>
      <c r="E260" s="96" t="inlineStr">
        <is>
          <t>The FINANCING_LIQUIDITY record is optional for AIFs with content type 2 and 4, and forbidden otherwise.</t>
        </is>
      </c>
      <c r="F260" s="86" t="n"/>
    </row>
    <row r="261">
      <c r="A261" s="87" t="inlineStr">
        <is>
          <t>FINANCING_LIQUIDITY</t>
        </is>
      </c>
      <c r="B261" s="88" t="inlineStr">
        <is>
          <t>AIF_ID</t>
        </is>
      </c>
      <c r="C261" s="89" t="inlineStr">
        <is>
          <t>Custom AIF Identification</t>
        </is>
      </c>
      <c r="D261" s="90" t="inlineStr">
        <is>
          <t>Mandatory</t>
        </is>
      </c>
      <c r="E261" s="89" t="inlineStr">
        <is>
          <t>Custom AIF Identification to link AIF records to the correct AIF</t>
        </is>
      </c>
    </row>
    <row r="262" ht="33.75" customHeight="1">
      <c r="A262" s="87" t="inlineStr">
        <is>
          <t>FINANCING_LIQUIDITY</t>
        </is>
      </c>
      <c r="B262" s="88" t="n">
        <v>210</v>
      </c>
      <c r="C262" s="89" t="inlineStr">
        <is>
          <t>Available financing amount</t>
        </is>
      </c>
      <c r="D262" s="90" t="inlineStr">
        <is>
          <t>Mandatory</t>
        </is>
      </c>
      <c r="E262" s="91" t="inlineStr">
        <is>
          <t>The amount of borrowing by and cash financing available to the AIF (including all drawn and undrawn, committed and uncommitted lines of credit as well as any term financing.
Amount expressed in base currency filled in without decimal places.</t>
        </is>
      </c>
    </row>
    <row r="263" ht="22.5" customHeight="1">
      <c r="A263" s="87" t="inlineStr">
        <is>
          <t>FINANCING_LIQUIDITY</t>
        </is>
      </c>
      <c r="B263" s="88" t="n">
        <v>211</v>
      </c>
      <c r="C263" s="89" t="inlineStr">
        <is>
          <t>Percentage of financing amount in 0 to 1 day</t>
        </is>
      </c>
      <c r="D263" s="90" t="inlineStr">
        <is>
          <t>Mandatory</t>
        </is>
      </c>
      <c r="E263" s="91" t="inlineStr">
        <is>
          <t>Breakdown of the total financing amount divided among the 1 day or less period depending on  the longest period for which the creditor is contractually committed to provide such financing. The total should equal 100%.</t>
        </is>
      </c>
    </row>
    <row r="264" ht="22.5" customHeight="1">
      <c r="A264" s="87" t="inlineStr">
        <is>
          <t>FINANCING_LIQUIDITY</t>
        </is>
      </c>
      <c r="B264" s="88" t="n">
        <v>212</v>
      </c>
      <c r="C264" s="89" t="inlineStr">
        <is>
          <t>Percentage of financing amount in 2 to 7 days</t>
        </is>
      </c>
      <c r="D264" s="90" t="inlineStr">
        <is>
          <t>Mandatory</t>
        </is>
      </c>
      <c r="E264" s="91" t="inlineStr">
        <is>
          <t>Breakdown of the total financing amount divided among the “2 to 7 days” period depending on  the longest period for which the creditor is contractually committed to provide such financing. The total should equal 100%.</t>
        </is>
      </c>
    </row>
    <row r="265" ht="22.5" customHeight="1">
      <c r="A265" s="87" t="inlineStr">
        <is>
          <t>FINANCING_LIQUIDITY</t>
        </is>
      </c>
      <c r="B265" s="88" t="n">
        <v>213</v>
      </c>
      <c r="C265" s="89" t="inlineStr">
        <is>
          <t>Percentage of financing amount in 8 to 30 days</t>
        </is>
      </c>
      <c r="D265" s="90" t="inlineStr">
        <is>
          <t>Mandatory</t>
        </is>
      </c>
      <c r="E265" s="91" t="inlineStr">
        <is>
          <t>Breakdown of the total financing amount divided among the “8 to 30 days” period depending on  the longest period for which the creditor is contractually committed to provide such financing. The total should equal 100%.</t>
        </is>
      </c>
    </row>
    <row r="266" ht="22.5" customHeight="1">
      <c r="A266" s="87" t="inlineStr">
        <is>
          <t>FINANCING_LIQUIDITY</t>
        </is>
      </c>
      <c r="B266" s="88" t="n">
        <v>214</v>
      </c>
      <c r="C266" s="89" t="inlineStr">
        <is>
          <t>Percentage of financing amount in 31 to 90 days</t>
        </is>
      </c>
      <c r="D266" s="90" t="inlineStr">
        <is>
          <t>Mandatory</t>
        </is>
      </c>
      <c r="E266" s="91" t="inlineStr">
        <is>
          <t>Breakdown of the total financing amount divided among the “91 to 180 days” period depending on  the longest period for which the creditor is contractually committed to provide such financing. The total should equal 100%.</t>
        </is>
      </c>
    </row>
    <row r="267" ht="22.5" customHeight="1">
      <c r="A267" s="87" t="inlineStr">
        <is>
          <t>FINANCING_LIQUIDITY</t>
        </is>
      </c>
      <c r="B267" s="88" t="n">
        <v>215</v>
      </c>
      <c r="C267" s="89" t="inlineStr">
        <is>
          <t>Percentage of financing amount in 91 to 180 days</t>
        </is>
      </c>
      <c r="D267" s="90" t="inlineStr">
        <is>
          <t>Mandatory</t>
        </is>
      </c>
      <c r="E267" s="91" t="inlineStr">
        <is>
          <t>Breakdown of the total financing amount divided among the “8 to 30 days” period depending on  the longest period for which the creditor is contractually committed to provide such financing. The total should equal 100%.</t>
        </is>
      </c>
    </row>
    <row r="268" ht="22.5" customHeight="1">
      <c r="A268" s="87" t="inlineStr">
        <is>
          <t>FINANCING_LIQUIDITY</t>
        </is>
      </c>
      <c r="B268" s="88" t="n">
        <v>216</v>
      </c>
      <c r="C268" s="89" t="inlineStr">
        <is>
          <t>Percentage of financing amount in 181 to 365 days</t>
        </is>
      </c>
      <c r="D268" s="90" t="inlineStr">
        <is>
          <t>Mandatory</t>
        </is>
      </c>
      <c r="E268" s="91" t="inlineStr">
        <is>
          <t>Breakdown of the total financing amount divided among the “181 to 365 days” period depending on  the longest period for which the creditor is contractually committed to provide such financing. The total should equal 100%.</t>
        </is>
      </c>
    </row>
    <row r="269" ht="22.5" customHeight="1">
      <c r="A269" s="87" t="inlineStr">
        <is>
          <t>FINANCING_LIQUIDITY</t>
        </is>
      </c>
      <c r="B269" s="88" t="n">
        <v>217</v>
      </c>
      <c r="C269" s="89" t="inlineStr">
        <is>
          <t>Percentage of financing amount longer than 365 days</t>
        </is>
      </c>
      <c r="D269" s="90" t="inlineStr">
        <is>
          <t>Mandatory</t>
        </is>
      </c>
      <c r="E269" s="91" t="inlineStr">
        <is>
          <t>Breakdown of the total financing amount divided among the “more than 365 days” period depending on  the longest period for which the creditor is contractually committed to provide such financing. The total should equal 100%.</t>
        </is>
      </c>
    </row>
    <row r="270">
      <c r="A270" s="87" t="n"/>
      <c r="B270" s="88" t="n"/>
      <c r="C270" s="89" t="n"/>
    </row>
    <row r="271">
      <c r="A271" s="83" t="inlineStr">
        <is>
          <t>Historical Risk Profile - For months that the fund is reporting for need to detail fund returns, NAV changes, subscriptions, redemptions)</t>
        </is>
      </c>
      <c r="B271" s="93" t="n"/>
      <c r="C271" s="94" t="n"/>
      <c r="D271" s="95" t="inlineStr">
        <is>
          <t>C</t>
        </is>
      </c>
      <c r="E271" s="96" t="inlineStr">
        <is>
          <t>The HISTORICAL_RISK_PROFILE record is mandatory for AIFs with content type 2 and 4, and forbidden otherwise.</t>
        </is>
      </c>
      <c r="F271" s="97" t="n"/>
    </row>
    <row r="272">
      <c r="A272" s="87" t="inlineStr">
        <is>
          <t>HISTORICAL_RISK_PROFILE</t>
        </is>
      </c>
      <c r="B272" s="88" t="inlineStr">
        <is>
          <t>AIF_ID</t>
        </is>
      </c>
      <c r="C272" s="89" t="inlineStr">
        <is>
          <t>Custom AIF Identification</t>
        </is>
      </c>
      <c r="D272" s="90" t="inlineStr">
        <is>
          <t>Mandatory</t>
        </is>
      </c>
      <c r="E272" s="92" t="inlineStr">
        <is>
          <t>Custom AIF Identification to link AIF records to the correct AIF</t>
        </is>
      </c>
    </row>
    <row r="273" ht="33.75" customHeight="1">
      <c r="A273" s="87" t="inlineStr">
        <is>
          <t>HISTORICAL_RISK_PROFILE</t>
        </is>
      </c>
      <c r="B273" s="88" t="inlineStr">
        <is>
          <t>MONTH</t>
        </is>
      </c>
      <c r="C273" s="89" t="inlineStr">
        <is>
          <t>Month</t>
        </is>
      </c>
      <c r="D273" s="90" t="inlineStr">
        <is>
          <t>Mandatory</t>
        </is>
      </c>
      <c r="E273" s="91" t="inlineStr">
        <is>
          <t>Number of month: 1-12.
Make a separate row per month. Only for months within the reporting period (i.e. Q1 =&gt; 1, 2 &amp; 3).
Any missing months are amended with records with all zero values.</t>
        </is>
      </c>
    </row>
    <row r="274" ht="22.5" customHeight="1">
      <c r="A274" s="87" t="inlineStr">
        <is>
          <t>HISTORICAL_RISK_PROFILE</t>
        </is>
      </c>
      <c r="B274" s="88" t="inlineStr">
        <is>
          <t>219-230</t>
        </is>
      </c>
      <c r="C274" s="89" t="inlineStr">
        <is>
          <t>Percentage of gross investment returns</t>
        </is>
      </c>
      <c r="D274" s="90" t="inlineStr">
        <is>
          <t>Mandatory</t>
        </is>
      </c>
      <c r="E274" s="91" t="inlineStr">
        <is>
          <t>Gross investment returns or IRR of the AIF for the month (in %, gross of management and performance fees).
Rate expressed as a percentage.</t>
        </is>
      </c>
    </row>
    <row r="275" ht="22.5" customHeight="1">
      <c r="A275" s="87" t="inlineStr">
        <is>
          <t>HISTORICAL_RISK_PROFILE</t>
        </is>
      </c>
      <c r="B275" s="88" t="inlineStr">
        <is>
          <t>231-242</t>
        </is>
      </c>
      <c r="C275" s="89" t="inlineStr">
        <is>
          <t>Percentage of net investment returns</t>
        </is>
      </c>
      <c r="D275" s="90" t="inlineStr">
        <is>
          <t>Mandatory</t>
        </is>
      </c>
      <c r="E275" s="91" t="inlineStr">
        <is>
          <t>Net investment returns or IRR of the AIF for the month (in %, gross of management and performance fees).
Rate expressed as a percentage.</t>
        </is>
      </c>
    </row>
    <row r="276" ht="22.5" customHeight="1">
      <c r="A276" s="87" t="inlineStr">
        <is>
          <t>HISTORICAL_RISK_PROFILE</t>
        </is>
      </c>
      <c r="B276" s="88" t="inlineStr">
        <is>
          <t>243-254</t>
        </is>
      </c>
      <c r="C276" s="89" t="inlineStr">
        <is>
          <t>Percentage of NAV change</t>
        </is>
      </c>
      <c r="D276" s="90" t="inlineStr">
        <is>
          <t>Mandatory</t>
        </is>
      </c>
      <c r="E276" s="91" t="inlineStr">
        <is>
          <t>Month-to-month change in NAV including the impact of subscriptions and redemptions for the month.
Rate expressed as a percentage.</t>
        </is>
      </c>
    </row>
    <row r="277">
      <c r="A277" s="87" t="inlineStr">
        <is>
          <t>HISTORICAL_RISK_PROFILE</t>
        </is>
      </c>
      <c r="B277" s="88" t="inlineStr">
        <is>
          <t>255-266</t>
        </is>
      </c>
      <c r="C277" s="89" t="inlineStr">
        <is>
          <t>Subscriptions in base currency</t>
        </is>
      </c>
      <c r="D277" s="90" t="inlineStr">
        <is>
          <t>Mandatory</t>
        </is>
      </c>
      <c r="E277" s="89" t="inlineStr">
        <is>
          <t>Subscriptions in base currency during the month.</t>
        </is>
      </c>
    </row>
    <row r="278">
      <c r="A278" s="87" t="inlineStr">
        <is>
          <t>HISTORICAL_RISK_PROFILE</t>
        </is>
      </c>
      <c r="B278" s="88" t="inlineStr">
        <is>
          <t>267-278</t>
        </is>
      </c>
      <c r="C278" s="89" t="inlineStr">
        <is>
          <t>Redemptions in base currency</t>
        </is>
      </c>
      <c r="D278" s="90" t="inlineStr">
        <is>
          <t>Mandatory</t>
        </is>
      </c>
      <c r="E278" s="89" t="inlineStr">
        <is>
          <t>Redemptions in base currency during the month.</t>
        </is>
      </c>
    </row>
    <row r="279">
      <c r="A279" s="87" t="n"/>
      <c r="B279" s="88" t="n"/>
      <c r="C279" s="89" t="n"/>
    </row>
    <row r="280">
      <c r="A280" s="83" t="inlineStr">
        <is>
          <t>Stress Test - details any stress tests a fund has performed on portfolio</t>
        </is>
      </c>
      <c r="B280" s="93" t="n"/>
      <c r="C280" s="94" t="n"/>
      <c r="D280" s="95" t="inlineStr">
        <is>
          <t>C</t>
        </is>
      </c>
      <c r="E280" s="96" t="inlineStr">
        <is>
          <t>The STRESS_TEST record is mandatory for AIFs with content type 2 and 4, and forbidden otherwise.</t>
        </is>
      </c>
      <c r="F280" s="97" t="n"/>
    </row>
    <row r="281">
      <c r="A281" s="87" t="inlineStr">
        <is>
          <t>STRESS_TEST</t>
        </is>
      </c>
      <c r="B281" s="88" t="inlineStr">
        <is>
          <t>AIF_ID</t>
        </is>
      </c>
      <c r="C281" s="89" t="inlineStr">
        <is>
          <t>Custom AIF Identification</t>
        </is>
      </c>
      <c r="D281" s="90" t="inlineStr">
        <is>
          <t>Mandatory</t>
        </is>
      </c>
      <c r="E281" s="89" t="inlineStr">
        <is>
          <t>Custom AIF Identification to link AIF records to the correct AIF</t>
        </is>
      </c>
    </row>
    <row r="282" ht="33.75" customHeight="1">
      <c r="A282" s="87" t="inlineStr">
        <is>
          <t>STRESS_TEST</t>
        </is>
      </c>
      <c r="B282" s="88" t="n">
        <v>279</v>
      </c>
      <c r="C282" s="89" t="inlineStr">
        <is>
          <t>Results of stress tests performed in accordance with point(b) of Article 15(3)</t>
        </is>
      </c>
      <c r="D282" s="90" t="inlineStr">
        <is>
          <t>Mandatory</t>
        </is>
      </c>
      <c r="E282" s="91" t="inlineStr">
        <is>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is>
      </c>
    </row>
    <row r="283" ht="45" customHeight="1">
      <c r="A283" s="87" t="inlineStr">
        <is>
          <t>STRESS_TEST</t>
        </is>
      </c>
      <c r="B283" s="88" t="n">
        <v>280</v>
      </c>
      <c r="C283" s="89" t="inlineStr">
        <is>
          <t>Results of stress tests performed in accordance with the second subparagraph of Article 16(1)</t>
        </is>
      </c>
      <c r="D283" s="90" t="inlineStr">
        <is>
          <t>Mandatory</t>
        </is>
      </c>
      <c r="E283" s="91" t="inlineStr">
        <is>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is>
      </c>
    </row>
    <row r="284">
      <c r="A284" s="87" t="n"/>
      <c r="B284" s="88" t="n"/>
      <c r="C284" s="89" t="n"/>
      <c r="D284" s="106" t="n"/>
    </row>
    <row r="285">
      <c r="A285" s="83" t="inlineStr">
        <is>
          <t xml:space="preserve">Finance - details any financing the fund has received through cash, rehypothecation, collaterised loans etc), also details leverage under gross and commitment methods. Only required if fund needs to fill in 24(4) </t>
        </is>
      </c>
      <c r="B285" s="93" t="n"/>
      <c r="C285" s="94" t="n"/>
      <c r="D285" s="95" t="inlineStr">
        <is>
          <t>C</t>
        </is>
      </c>
      <c r="E285" s="96" t="inlineStr">
        <is>
          <t>The FINANCE record is mandatory for AIFs with content type 2, 4 and 5, and forbidden otherwise.</t>
        </is>
      </c>
      <c r="F285" s="97" t="n"/>
    </row>
    <row r="286">
      <c r="A286" s="87" t="inlineStr">
        <is>
          <t>FINANCE</t>
        </is>
      </c>
      <c r="B286" s="88" t="inlineStr">
        <is>
          <t>AIF_ID</t>
        </is>
      </c>
      <c r="C286" s="89" t="inlineStr">
        <is>
          <t>Custom AIF Identification</t>
        </is>
      </c>
      <c r="D286" s="90" t="inlineStr">
        <is>
          <t>Mandatory</t>
        </is>
      </c>
      <c r="E286" s="89" t="inlineStr">
        <is>
          <t>Custom AIF Identification to link AIF records to the correct AIF</t>
        </is>
      </c>
    </row>
    <row r="287" ht="22.5" customHeight="1">
      <c r="A287" s="87" t="inlineStr">
        <is>
          <t>FINANCE</t>
        </is>
      </c>
      <c r="B287" s="88" t="n">
        <v>281</v>
      </c>
      <c r="C287" s="89" t="inlineStr">
        <is>
          <t>Rehypothecation flag</t>
        </is>
      </c>
      <c r="D287" s="90" t="inlineStr">
        <is>
          <t>Mandatory</t>
        </is>
      </c>
      <c r="E287" s="91" t="inlineStr">
        <is>
          <t>Flag indicating whether the contract between the AIFM and the counterparty allow the counterparty to re-hypothecate collateral for a given AIF. true when the contract allows, false otherwise.</t>
        </is>
      </c>
    </row>
    <row r="288" ht="33.75" customHeight="1">
      <c r="A288" s="87" t="inlineStr">
        <is>
          <t>FINANCE</t>
        </is>
      </c>
      <c r="B288" s="88" t="n">
        <v>282</v>
      </c>
      <c r="C288" s="89" t="inlineStr">
        <is>
          <t>Rehypothecated percentage of collateral amount posted to all counterparties</t>
        </is>
      </c>
      <c r="D288" s="90" t="inlineStr">
        <is>
          <t>C
F for rehypothecation flag false
O otherwise</t>
        </is>
      </c>
      <c r="E288" s="91" t="inlineStr">
        <is>
          <t xml:space="preserve">Percentage of the amounts of collateral and other credit support (that the AIF has posted to counterparties) that have been rehypothecated by counterparties.
Rate expressed as a percentage. </t>
        </is>
      </c>
    </row>
    <row r="289" ht="22.5" customHeight="1">
      <c r="A289" s="87" t="inlineStr">
        <is>
          <t>FINANCE</t>
        </is>
      </c>
      <c r="B289" s="88" t="n">
        <v>283</v>
      </c>
      <c r="C289" s="89" t="inlineStr">
        <is>
          <t>Unsecured cash borrowing amount</t>
        </is>
      </c>
      <c r="D289" s="90" t="inlineStr">
        <is>
          <t>Optional</t>
        </is>
      </c>
      <c r="E289" s="91" t="inlineStr">
        <is>
          <t>Value of borrowings of cash or securities by unsecured cash borrowing.
Amount expressed in base currency filled in without decimal places.</t>
        </is>
      </c>
    </row>
    <row r="290" ht="22.5" customHeight="1">
      <c r="A290" s="87" t="inlineStr">
        <is>
          <t>FINANCE</t>
        </is>
      </c>
      <c r="B290" s="88" t="n">
        <v>284</v>
      </c>
      <c r="C290" s="89" t="inlineStr">
        <is>
          <t>Collaterised/secured cash borrowing prime broker amount</t>
        </is>
      </c>
      <c r="D290" s="90" t="inlineStr">
        <is>
          <t>Optional</t>
        </is>
      </c>
      <c r="E290" s="91" t="inlineStr">
        <is>
          <t>Value of borrowings of cash or securities by collateralised/secured cash borrowing - via prime broker.
Amount expressed in base currency filled in without decimal places.</t>
        </is>
      </c>
    </row>
    <row r="291" ht="22.5" customHeight="1">
      <c r="A291" s="87" t="inlineStr">
        <is>
          <t>FINANCE</t>
        </is>
      </c>
      <c r="B291" s="88" t="n">
        <v>285</v>
      </c>
      <c r="C291" s="89" t="inlineStr">
        <is>
          <t>Collaterised/secured cash borrowing reverse repo amount</t>
        </is>
      </c>
      <c r="D291" s="90" t="inlineStr">
        <is>
          <t>Optional</t>
        </is>
      </c>
      <c r="E291" s="91" t="inlineStr">
        <is>
          <t>Value of borrowings of cash or securities by collateralised/secured cash borrowing - via reverse repo.
Amount expressed in base currency filled in without decimal places.</t>
        </is>
      </c>
    </row>
    <row r="292" ht="22.5" customHeight="1">
      <c r="A292" s="87" t="inlineStr">
        <is>
          <t>FINANCE</t>
        </is>
      </c>
      <c r="B292" s="88" t="n">
        <v>286</v>
      </c>
      <c r="C292" s="89" t="inlineStr">
        <is>
          <t>Collaterised/secured cash borrowing other amount</t>
        </is>
      </c>
      <c r="D292" s="90" t="inlineStr">
        <is>
          <t>Optional</t>
        </is>
      </c>
      <c r="E292" s="91" t="inlineStr">
        <is>
          <t>Value of borrowings of cash or securities by collateralised/secured cash borrowing - via other.
Amount expressed in base currency filled in without decimal places.</t>
        </is>
      </c>
    </row>
    <row r="293" ht="22.5" customHeight="1">
      <c r="A293" s="87" t="inlineStr">
        <is>
          <t>FINANCE</t>
        </is>
      </c>
      <c r="B293" s="88" t="n">
        <v>287</v>
      </c>
      <c r="C293" s="89" t="inlineStr">
        <is>
          <t>Exchange traded derivatives exposure amount</t>
        </is>
      </c>
      <c r="D293" s="90" t="inlineStr">
        <is>
          <t>Optional</t>
        </is>
      </c>
      <c r="E293" s="91" t="inlineStr">
        <is>
          <t>Value of borrowing embedded in financial instruments by exchange traded derivatives (gross exposure less margin posted).
Amount expressed in base currency filled in without decimal places.</t>
        </is>
      </c>
    </row>
    <row r="294" ht="22.5" customHeight="1">
      <c r="A294" s="87" t="inlineStr">
        <is>
          <t>FINANCE</t>
        </is>
      </c>
      <c r="B294" s="88" t="n">
        <v>288</v>
      </c>
      <c r="C294" s="89" t="inlineStr">
        <is>
          <t>OTC derivatives exposure amount</t>
        </is>
      </c>
      <c r="D294" s="90" t="inlineStr">
        <is>
          <t>Optional</t>
        </is>
      </c>
      <c r="E294" s="91" t="inlineStr">
        <is>
          <t>Value of borrowing embedded in financial instruments by OTC derivatives (gross exposure less margin posted).
Amount expressed in base currency filled in without decimal places.</t>
        </is>
      </c>
    </row>
    <row r="295" ht="22.5" customHeight="1">
      <c r="A295" s="87" t="inlineStr">
        <is>
          <t>FINANCE</t>
        </is>
      </c>
      <c r="B295" s="88" t="n">
        <v>289</v>
      </c>
      <c r="C295" s="89" t="inlineStr">
        <is>
          <t>Short position borrowed securities value</t>
        </is>
      </c>
      <c r="D295" s="90" t="inlineStr">
        <is>
          <t>Optional</t>
        </is>
      </c>
      <c r="E295" s="91" t="inlineStr">
        <is>
          <t>Value of securities borrowed for short positions.
Amount expressed in base currency filled in without decimal places.</t>
        </is>
      </c>
    </row>
    <row r="296">
      <c r="A296" s="87" t="inlineStr">
        <is>
          <t>FINANCE</t>
        </is>
      </c>
      <c r="B296" s="88" t="n">
        <v>294</v>
      </c>
      <c r="C296" s="89" t="inlineStr">
        <is>
          <t>Leverage under gross method</t>
        </is>
      </c>
      <c r="D296" s="90" t="inlineStr">
        <is>
          <t>Mandatory</t>
        </is>
      </c>
      <c r="E296" s="91" t="inlineStr">
        <is>
          <t>Leverage value of the AIF under gross method espressed as a percentage of the NAV.</t>
        </is>
      </c>
    </row>
    <row r="297">
      <c r="A297" s="87" t="inlineStr">
        <is>
          <t>FINANCE</t>
        </is>
      </c>
      <c r="B297" s="88" t="n">
        <v>295</v>
      </c>
      <c r="C297" s="89" t="inlineStr">
        <is>
          <t>Leverage under commitment method</t>
        </is>
      </c>
      <c r="D297" s="90" t="inlineStr">
        <is>
          <t>Mandatory</t>
        </is>
      </c>
      <c r="E297" s="91" t="inlineStr">
        <is>
          <t>Leverage value of the AIF under commitment method espressed as a percentage of the NAV.</t>
        </is>
      </c>
    </row>
    <row r="298">
      <c r="A298" s="87" t="n"/>
      <c r="B298" s="88" t="n"/>
      <c r="C298" s="89" t="n"/>
    </row>
    <row r="299">
      <c r="A299" s="83" t="inlineStr">
        <is>
          <t>Controlled Structure - Gross exposure of financial and, as the case may be, or legal structures controlled by the AIF as defined in Recital 78 of the AIFMD</t>
        </is>
      </c>
      <c r="B299" s="94" t="n"/>
      <c r="C299" s="94" t="n"/>
      <c r="D299" s="95" t="inlineStr">
        <is>
          <t>C</t>
        </is>
      </c>
      <c r="E299" s="96" t="inlineStr">
        <is>
          <t>The CONTROLLED_STRUCTURE record is optional for AIFs with content type 2, 4 and 5, and forbidden otherwise.</t>
        </is>
      </c>
      <c r="F299" s="94" t="n"/>
    </row>
    <row r="300">
      <c r="A300" s="87" t="inlineStr">
        <is>
          <t>CONTROLLED_STRUCTURE</t>
        </is>
      </c>
      <c r="B300" s="88" t="inlineStr">
        <is>
          <t>AIF_ID</t>
        </is>
      </c>
      <c r="C300" s="89" t="inlineStr">
        <is>
          <t>Custom AIF Identification</t>
        </is>
      </c>
      <c r="D300" s="90" t="inlineStr">
        <is>
          <t>Mandatory</t>
        </is>
      </c>
      <c r="E300" s="89" t="inlineStr">
        <is>
          <t>Custom AIF Identification to link AIF records to the correct AIF</t>
        </is>
      </c>
    </row>
    <row r="301" ht="22.5" customHeight="1">
      <c r="A301" s="87" t="inlineStr">
        <is>
          <t>CONTROLLED_STRUCTURE</t>
        </is>
      </c>
      <c r="B301" s="88" t="n">
        <v>290</v>
      </c>
      <c r="C301" s="89" t="inlineStr">
        <is>
          <t>Controlled structure Name</t>
        </is>
      </c>
      <c r="D301" s="90" t="inlineStr">
        <is>
          <t>Mandatory</t>
        </is>
      </c>
      <c r="E301" s="91" t="inlineStr">
        <is>
          <t>Entity name (no standard).
It is strongly recommended to provide the full name corresponding to the allocated LEI code (or BIC code if any and LEI not available).</t>
        </is>
      </c>
    </row>
    <row r="302" ht="67.5" customHeight="1">
      <c r="A302" s="87" t="inlineStr">
        <is>
          <t>CONTROLLED_STRUCTURE</t>
        </is>
      </c>
      <c r="B302" s="88" t="n">
        <v>291</v>
      </c>
      <c r="C302" s="89" t="inlineStr">
        <is>
          <t>Controlled structure LEI code</t>
        </is>
      </c>
      <c r="D302" s="90" t="inlineStr">
        <is>
          <t>Optional</t>
        </is>
      </c>
      <c r="E302" s="91"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03">
      <c r="A303" s="87" t="inlineStr">
        <is>
          <t>CONTROLLED_STRUCTURE</t>
        </is>
      </c>
      <c r="B303" s="88" t="n">
        <v>292</v>
      </c>
      <c r="C303" s="89" t="inlineStr">
        <is>
          <t>Controlled structure BIC code</t>
        </is>
      </c>
      <c r="D303" s="90" t="inlineStr">
        <is>
          <t>Optional</t>
        </is>
      </c>
      <c r="E303" s="91" t="inlineStr">
        <is>
          <t>11 Character BIC code (ISO 9362 standard)</t>
        </is>
      </c>
    </row>
    <row r="304">
      <c r="A304" s="87" t="inlineStr">
        <is>
          <t>CONTROLLED_STRUCTURE</t>
        </is>
      </c>
      <c r="B304" s="88" t="n">
        <v>293</v>
      </c>
      <c r="C304" s="89" t="inlineStr">
        <is>
          <t>Controlled structure Exposure value</t>
        </is>
      </c>
      <c r="D304" s="90" t="inlineStr">
        <is>
          <t>Mandatory</t>
        </is>
      </c>
      <c r="E304" s="91" t="inlineStr">
        <is>
          <t>Gross exposure of financial and/or legal structures controlled by the AIF as defined in Recital 78 of the AIFMD expressed in base currency.</t>
        </is>
      </c>
    </row>
    <row r="305">
      <c r="A305" s="87" t="n"/>
      <c r="B305" s="88" t="n"/>
      <c r="C305" s="89" t="n"/>
    </row>
    <row r="306">
      <c r="A306" s="83" t="inlineStr">
        <is>
          <t>Borrow Source - Five largest sources of borrowed cash or securities (short positions)</t>
        </is>
      </c>
      <c r="B306" s="93" t="n"/>
      <c r="C306" s="94" t="n"/>
      <c r="D306" s="95" t="inlineStr">
        <is>
          <t>C</t>
        </is>
      </c>
      <c r="E306" s="96" t="inlineStr">
        <is>
          <t>The BORROW_SOURCE record is optional for AIFs with content type 4 and 5, and forbidden otherwise.</t>
        </is>
      </c>
      <c r="F306" s="97" t="n"/>
    </row>
    <row r="307">
      <c r="A307" s="82" t="inlineStr">
        <is>
          <t>BORROW_SOURCE</t>
        </is>
      </c>
      <c r="B307" s="88" t="inlineStr">
        <is>
          <t>AIF_ID</t>
        </is>
      </c>
      <c r="C307" s="89" t="inlineStr">
        <is>
          <t>Custom AIF Identification</t>
        </is>
      </c>
      <c r="D307" s="90" t="inlineStr">
        <is>
          <t>Mandatory</t>
        </is>
      </c>
      <c r="E307" s="89" t="inlineStr">
        <is>
          <t>Custom AIF Identification to link AIF records to the correct AIF</t>
        </is>
      </c>
    </row>
    <row r="308" ht="22.5" customHeight="1">
      <c r="A308" s="82" t="inlineStr">
        <is>
          <t>BORROW_SOURCE</t>
        </is>
      </c>
      <c r="B308" s="108" t="n">
        <v>298</v>
      </c>
      <c r="C308" s="92" t="inlineStr">
        <is>
          <t>Name of the source</t>
        </is>
      </c>
      <c r="D308" s="90" t="inlineStr">
        <is>
          <t>Mandatory</t>
        </is>
      </c>
      <c r="E308" s="91" t="inlineStr">
        <is>
          <t>Entity name (no standard).
It is strongly recommended to provide the full name corresponding to the allocated LEI code (or BIC code if any and LEI not available).</t>
        </is>
      </c>
    </row>
    <row r="309" ht="67.5" customHeight="1">
      <c r="A309" s="82" t="inlineStr">
        <is>
          <t>BORROW_SOURCE</t>
        </is>
      </c>
      <c r="B309" s="108" t="n">
        <v>299</v>
      </c>
      <c r="C309" s="92" t="inlineStr">
        <is>
          <t>LEI code of the source</t>
        </is>
      </c>
      <c r="D309" s="90" t="inlineStr">
        <is>
          <t>Optional</t>
        </is>
      </c>
      <c r="E309" s="91"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10">
      <c r="A310" s="82" t="inlineStr">
        <is>
          <t>BORROW_SOURCE</t>
        </is>
      </c>
      <c r="B310" s="108" t="n">
        <v>300</v>
      </c>
      <c r="C310" s="92" t="inlineStr">
        <is>
          <t>BIC code of the source</t>
        </is>
      </c>
      <c r="D310" s="90" t="inlineStr">
        <is>
          <t>Optional</t>
        </is>
      </c>
      <c r="E310" s="91" t="inlineStr">
        <is>
          <t>11 Character BIC code (ISO 9362 standard)</t>
        </is>
      </c>
    </row>
    <row r="311">
      <c r="A311" s="82" t="inlineStr">
        <is>
          <t>BORROW_SOURCE</t>
        </is>
      </c>
      <c r="B311" s="108" t="n">
        <v>301</v>
      </c>
      <c r="C311" s="92" t="inlineStr">
        <is>
          <t>Received leverage amount</t>
        </is>
      </c>
      <c r="D311" s="90" t="inlineStr">
        <is>
          <t>Mandatory</t>
        </is>
      </c>
      <c r="E311" s="91" t="inlineStr">
        <is>
          <t>Received leverage amount expressed in base currency.</t>
        </is>
      </c>
    </row>
    <row r="312"/>
    <row r="313"/>
    <row r="314">
      <c r="A314" s="83" t="inlineStr">
        <is>
          <t>Custom FX rates to overwrite or complement ECB FX rates, used in both AIF and AIFM report.  Optional record, by default standard ECB rates are used (AIF 24/1)</t>
        </is>
      </c>
      <c r="B314" s="93" t="n"/>
      <c r="C314" s="94" t="n"/>
      <c r="D314" s="95" t="inlineStr">
        <is>
          <t>O</t>
        </is>
      </c>
      <c r="E314" s="96" t="inlineStr">
        <is>
          <t>For all AIF Content Types</t>
        </is>
      </c>
      <c r="F314" s="97" t="n"/>
    </row>
    <row r="315">
      <c r="A315" s="82" t="inlineStr">
        <is>
          <t>CUSTOM_FX_RATE</t>
        </is>
      </c>
      <c r="B315" s="109" t="inlineStr">
        <is>
          <t>FX_DATE</t>
        </is>
      </c>
      <c r="C315" s="92" t="inlineStr">
        <is>
          <t>Value Date</t>
        </is>
      </c>
      <c r="D315" s="90" t="inlineStr">
        <is>
          <t>Mandatory</t>
        </is>
      </c>
      <c r="E315" s="91" t="inlineStr">
        <is>
          <t>Date of the FX rate. yyyy-mm-dd (ISO 8601 Date Format)</t>
        </is>
      </c>
    </row>
    <row r="316">
      <c r="A316" s="82" t="inlineStr">
        <is>
          <t>CUSTOM_FX_RATE</t>
        </is>
      </c>
      <c r="B316" s="109" t="n">
        <v>49</v>
      </c>
      <c r="C316" s="92" t="inlineStr">
        <is>
          <t>Currency</t>
        </is>
      </c>
      <c r="D316" s="90" t="inlineStr">
        <is>
          <t>Mandatory</t>
        </is>
      </c>
      <c r="E316" s="91" t="inlineStr">
        <is>
          <t>Currency code (3-character currency code according to the ISO 4217)</t>
        </is>
      </c>
    </row>
    <row r="317">
      <c r="A317" s="82" t="inlineStr">
        <is>
          <t>CUSTOM_FX_RATE</t>
        </is>
      </c>
      <c r="B317" s="109" t="n">
        <v>50</v>
      </c>
      <c r="C317" s="92" t="inlineStr">
        <is>
          <t>Currency / EUR FX rate</t>
        </is>
      </c>
      <c r="D317" s="90" t="inlineStr">
        <is>
          <t>Mandatory</t>
        </is>
      </c>
      <c r="E317" s="91" t="inlineStr">
        <is>
          <t>Conversion rate filled in with 4 decimal places. Rate in the non-eur currency. E.g. 2019-03-31 JPY: 124.45</t>
        </is>
      </c>
    </row>
    <row r="318" ht="33.75" customHeight="1">
      <c r="A318" s="82" t="inlineStr">
        <is>
          <t>CUSTOM_FX_RATE</t>
        </is>
      </c>
      <c r="B318" s="109" t="n">
        <v>51</v>
      </c>
      <c r="C318" s="92" t="inlineStr">
        <is>
          <t>Rate type (ECB or OTH)</t>
        </is>
      </c>
      <c r="D318" s="90" t="inlineStr">
        <is>
          <t>Mandatory</t>
        </is>
      </c>
      <c r="E318" s="91" t="inlineStr">
        <is>
          <t>2 types are admitted:
-          “ECB” when the rate is a euro reference rate as published by the ECB
-          “OTH” in other cases</t>
        </is>
      </c>
    </row>
    <row r="319" ht="33.75" customHeight="1">
      <c r="A319" s="82" t="inlineStr">
        <is>
          <t>CUSTOM_FX_RATE</t>
        </is>
      </c>
      <c r="B319" s="109" t="n">
        <v>52</v>
      </c>
      <c r="C319" s="92" t="inlineStr">
        <is>
          <t>Description for non-ECB rates</t>
        </is>
      </c>
      <c r="D319" s="90" t="inlineStr">
        <is>
          <t>C
Mandatory for reference rate type equal "OTH"
F otherwise</t>
        </is>
      </c>
      <c r="E319" s="91" t="inlineStr">
        <is>
          <t>Name of the source of the euro reference rate indicated in field 50
-          Free text for “OTH” type when the corresponding euro reference rate is not published by the ECB
-          Empty for “ECB” type when the corresponding euro reference rate is published by the ECB</t>
        </is>
      </c>
    </row>
  </sheetData>
  <dataValidations count="2">
    <dataValidation sqref="B1" showDropDown="0" showInputMessage="1" showErrorMessage="1" allowBlank="1" prompt="Current version of the Excel template"/>
    <dataValidation sqref="A1" showDropDown="0" showInputMessage="0" showErrorMessage="1" allowBlank="1" promptTitle="Mandatory" prompt="INPUT_FORMAT_x000a__x000a_Required to select the right report type"/>
  </dataValidations>
  <hyperlinks>
    <hyperlink xmlns:r="http://schemas.openxmlformats.org/officeDocument/2006/relationships" ref="C1" display="(click here to download the latest template)" r:id="rId1"/>
    <hyperlink xmlns:r="http://schemas.openxmlformats.org/officeDocument/2006/relationships" ref="C2" r:id="rId2"/>
  </hyperlinks>
  <pageMargins left="0.7086614173228347" right="0.7086614173228347" top="0.7480314960629921" bottom="0.7480314960629921" header="0.3149606299212598" footer="0.3149606299212598"/>
  <pageSetup orientation="landscape" paperSize="9" scale="43" fitToHeight="0"/>
</worksheet>
</file>

<file path=xl/worksheets/sheet3.xml><?xml version="1.0" encoding="utf-8"?>
<worksheet xmlns="http://schemas.openxmlformats.org/spreadsheetml/2006/main">
  <sheetPr>
    <tabColor theme="4" tint="0.5999938962981048"/>
    <outlinePr summaryBelow="1" summaryRight="1"/>
    <pageSetUpPr fitToPage="1"/>
  </sheetPr>
  <dimension ref="A1:B1"/>
  <sheetViews>
    <sheetView workbookViewId="0">
      <selection activeCell="AD10" sqref="AD10"/>
    </sheetView>
  </sheetViews>
  <sheetFormatPr baseColWidth="10" defaultColWidth="9.140625" defaultRowHeight="15"/>
  <cols>
    <col width="9.140625" customWidth="1" style="19" min="1" max="16384"/>
  </cols>
  <sheetData>
    <row r="1">
      <c r="A1" s="19" t="inlineStr">
        <is>
          <t># Source:</t>
        </is>
      </c>
      <c r="B1" s="172" t="inlineStr">
        <is>
          <t>ESMA Consultation paper</t>
        </is>
      </c>
    </row>
  </sheetData>
  <hyperlinks>
    <hyperlink xmlns:r="http://schemas.openxmlformats.org/officeDocument/2006/relationships" ref="B1" r:id="rId1"/>
  </hyperlinks>
  <pageMargins left="0.7" right="0.7" top="0.75" bottom="0.75" header="0.3" footer="0.3"/>
  <pageSetup orientation="landscape" paperSize="9" scale="51" fitToHeight="0" horizontalDpi="0" verticalDpi="0"/>
  <drawing xmlns:r="http://schemas.openxmlformats.org/officeDocument/2006/relationships" r:id="rId2"/>
</worksheet>
</file>

<file path=xl/worksheets/sheet4.xml><?xml version="1.0" encoding="utf-8"?>
<worksheet xmlns="http://schemas.openxmlformats.org/spreadsheetml/2006/main">
  <sheetPr filterMode="1">
    <tabColor theme="4" tint="0.5999938962981048"/>
    <outlinePr summaryBelow="1" summaryRight="1"/>
    <pageSetUpPr fitToPage="1"/>
  </sheetPr>
  <dimension ref="A1:P51"/>
  <sheetViews>
    <sheetView zoomScale="80" zoomScaleNormal="80" workbookViewId="0">
      <pane xSplit="4" ySplit="2" topLeftCell="E37" activePane="bottomRight" state="frozen"/>
      <selection pane="topRight" activeCell="E1" sqref="E1"/>
      <selection pane="bottomLeft" activeCell="A3" sqref="A3"/>
      <selection pane="bottomRight" activeCell="I55" sqref="I55"/>
    </sheetView>
  </sheetViews>
  <sheetFormatPr baseColWidth="10" defaultColWidth="8.85546875" defaultRowHeight="11.25"/>
  <cols>
    <col width="2" customWidth="1" style="65" min="1" max="1"/>
    <col width="9.5703125" customWidth="1" style="127" min="2" max="3"/>
    <col width="2.140625" customWidth="1" style="65" min="4" max="4"/>
    <col width="14.5703125" bestFit="1" customWidth="1" style="61" min="5" max="5"/>
    <col width="46.85546875" customWidth="1" style="62" min="6" max="6"/>
    <col width="3" customWidth="1" style="62" min="7" max="7"/>
    <col width="13.140625" bestFit="1" customWidth="1" style="63" min="8" max="8"/>
    <col width="51.42578125" customWidth="1" style="62" min="9" max="9"/>
    <col width="16" bestFit="1" customWidth="1" style="64" min="10" max="10"/>
    <col width="8" bestFit="1" customWidth="1" style="64" min="11" max="11"/>
    <col width="5.85546875" bestFit="1" customWidth="1" style="64" min="12" max="12"/>
    <col width="9.85546875" bestFit="1" customWidth="1" style="64" min="13" max="13"/>
    <col width="14.85546875" bestFit="1" customWidth="1" style="64" min="14" max="14"/>
    <col width="10.42578125" customWidth="1" style="64" min="15" max="15"/>
    <col width="9.140625" bestFit="1" customWidth="1" style="64" min="16" max="16"/>
    <col width="8.85546875" customWidth="1" style="21" min="17" max="16384"/>
  </cols>
  <sheetData>
    <row r="1" ht="16.5" customHeight="1" thickBot="1">
      <c r="A1" s="65" t="inlineStr">
        <is>
          <t>#</t>
        </is>
      </c>
      <c r="B1" s="286" t="inlineStr">
        <is>
          <t>CONTENT TYPE</t>
        </is>
      </c>
      <c r="C1" s="287" t="n"/>
      <c r="E1" s="288" t="inlineStr">
        <is>
          <t>AIFM (MANAGER)</t>
        </is>
      </c>
      <c r="F1" s="285" t="n"/>
      <c r="G1" s="20" t="n"/>
      <c r="H1" s="262" t="inlineStr">
        <is>
          <t>AIF (FUND)</t>
        </is>
      </c>
      <c r="I1" s="289" t="n"/>
      <c r="J1" s="289" t="n"/>
      <c r="K1" s="289" t="n"/>
      <c r="L1" s="289" t="n"/>
      <c r="M1" s="289" t="n"/>
      <c r="N1" s="289" t="n"/>
      <c r="O1" s="289" t="n"/>
      <c r="P1" s="289" t="n"/>
    </row>
    <row r="2" ht="57" customFormat="1" customHeight="1" s="29" thickBot="1">
      <c r="A2" s="66" t="n"/>
      <c r="B2" s="120" t="inlineStr">
        <is>
          <t>AIFM Content Type
AIFM (Field 5)</t>
        </is>
      </c>
      <c r="C2" s="121" t="inlineStr">
        <is>
          <t>AIF Content Type
AIF (Field 5)</t>
        </is>
      </c>
      <c r="D2" s="66" t="n"/>
      <c r="E2" s="22" t="inlineStr">
        <is>
          <t>AIFM reporting code
AIFM (Field 16)</t>
        </is>
      </c>
      <c r="F2" s="23" t="inlineStr">
        <is>
          <t>AIFM reporting label</t>
        </is>
      </c>
      <c r="G2" s="290" t="n"/>
      <c r="H2" s="24" t="inlineStr">
        <is>
          <t>AIF reporting code
AIF (Field 20)</t>
        </is>
      </c>
      <c r="I2" s="25" t="inlineStr">
        <is>
          <t>AIF reporting label</t>
        </is>
      </c>
      <c r="J2" s="24" t="inlineStr">
        <is>
          <t>Unleveraged AIF investing in non-listed companies in order to acquire control</t>
        </is>
      </c>
      <c r="K2" s="26" t="inlineStr">
        <is>
          <t>Leveraged AIF</t>
        </is>
      </c>
      <c r="L2" s="26" t="inlineStr">
        <is>
          <t>EU AIF</t>
        </is>
      </c>
      <c r="M2" s="26" t="inlineStr">
        <is>
          <t>AIF marketed in the Union</t>
        </is>
      </c>
      <c r="N2" s="27" t="inlineStr">
        <is>
          <t>Above 500 M EUR AIF Threshold</t>
        </is>
      </c>
      <c r="O2" s="28" t="inlineStr">
        <is>
          <t>Reporting frequency
AIF (field 8)</t>
        </is>
      </c>
      <c r="P2" s="27" t="inlineStr">
        <is>
          <t>Reporting Contents</t>
        </is>
      </c>
    </row>
    <row r="3" hidden="1">
      <c r="B3" s="122" t="n">
        <v>2</v>
      </c>
      <c r="C3" s="123" t="n">
        <v>3</v>
      </c>
      <c r="E3" s="30" t="n">
        <v>1</v>
      </c>
      <c r="F3" s="31" t="inlineStr">
        <is>
          <t>Registered AIFM (Light)</t>
        </is>
      </c>
      <c r="G3" s="291" t="n"/>
      <c r="H3" s="32" t="n">
        <v>1</v>
      </c>
      <c r="I3" s="33" t="inlineStr">
        <is>
          <t>EU AIF (of an Registered AIFM)  (light)</t>
        </is>
      </c>
      <c r="J3" s="34" t="inlineStr">
        <is>
          <t>Yes/No</t>
        </is>
      </c>
      <c r="K3" s="35" t="inlineStr">
        <is>
          <t>Yes/No</t>
        </is>
      </c>
      <c r="L3" s="44" t="inlineStr">
        <is>
          <t>Yes</t>
        </is>
      </c>
      <c r="M3" s="35" t="inlineStr">
        <is>
          <t>Yes/No</t>
        </is>
      </c>
      <c r="N3" s="36" t="inlineStr">
        <is>
          <t>No</t>
        </is>
      </c>
      <c r="O3" s="37" t="inlineStr">
        <is>
          <t>Yearly</t>
        </is>
      </c>
      <c r="P3" s="38" t="inlineStr">
        <is>
          <t>3(3d)</t>
        </is>
      </c>
    </row>
    <row r="4" hidden="1" ht="22.5" customHeight="1">
      <c r="B4" s="124" t="n">
        <v>1</v>
      </c>
      <c r="C4" s="125" t="n">
        <v>4</v>
      </c>
      <c r="E4" s="39" t="n">
        <v>2</v>
      </c>
      <c r="F4" s="40" t="inlineStr">
        <is>
          <t>Authorised AIFM (opt-in)</t>
        </is>
      </c>
      <c r="G4" s="291" t="n"/>
      <c r="H4" s="41" t="n">
        <v>2</v>
      </c>
      <c r="I4" s="42" t="inlineStr">
        <is>
          <t>Leveraged EU AIF (of an opt-in AIFM)</t>
        </is>
      </c>
      <c r="J4" s="43" t="inlineStr">
        <is>
          <t>No</t>
        </is>
      </c>
      <c r="K4" s="44" t="inlineStr">
        <is>
          <t>Yes</t>
        </is>
      </c>
      <c r="L4" s="44" t="inlineStr">
        <is>
          <t>Yes</t>
        </is>
      </c>
      <c r="M4" s="44" t="inlineStr">
        <is>
          <t>Yes/No</t>
        </is>
      </c>
      <c r="N4" s="45" t="inlineStr">
        <is>
          <t>No</t>
        </is>
      </c>
      <c r="O4" s="46" t="inlineStr">
        <is>
          <t>Yearly</t>
        </is>
      </c>
      <c r="P4" s="47" t="inlineStr">
        <is>
          <t>24(1)+(2)+(4)</t>
        </is>
      </c>
    </row>
    <row r="5" hidden="1" ht="22.5" customHeight="1">
      <c r="B5" s="124" t="n">
        <v>1</v>
      </c>
      <c r="C5" s="125" t="n">
        <v>4</v>
      </c>
      <c r="E5" s="39" t="n">
        <v>2</v>
      </c>
      <c r="F5" s="40" t="inlineStr">
        <is>
          <t>Authorised AIFM (opt-in)</t>
        </is>
      </c>
      <c r="G5" s="291" t="n"/>
      <c r="H5" s="41" t="n">
        <v>3</v>
      </c>
      <c r="I5" s="42" t="inlineStr">
        <is>
          <t>Leveraged non EU AIF (of an opt-in AIFM) marketed in the Union</t>
        </is>
      </c>
      <c r="J5" s="43" t="inlineStr">
        <is>
          <t>No</t>
        </is>
      </c>
      <c r="K5" s="44" t="inlineStr">
        <is>
          <t>Yes</t>
        </is>
      </c>
      <c r="L5" s="44" t="inlineStr">
        <is>
          <t>No</t>
        </is>
      </c>
      <c r="M5" s="44" t="inlineStr">
        <is>
          <t>Yes</t>
        </is>
      </c>
      <c r="N5" s="45" t="inlineStr">
        <is>
          <t>No</t>
        </is>
      </c>
      <c r="O5" s="46" t="inlineStr">
        <is>
          <t>Yearly</t>
        </is>
      </c>
      <c r="P5" s="47" t="inlineStr">
        <is>
          <t>24(1)+(2)+(4)</t>
        </is>
      </c>
    </row>
    <row r="6" hidden="1">
      <c r="B6" s="124" t="n">
        <v>1</v>
      </c>
      <c r="C6" s="125" t="n">
        <v>5</v>
      </c>
      <c r="E6" s="39" t="n">
        <v>2</v>
      </c>
      <c r="F6" s="40" t="inlineStr">
        <is>
          <t>Authorised AIFM (opt-in)</t>
        </is>
      </c>
      <c r="G6" s="291" t="n"/>
      <c r="H6" s="41" t="n">
        <v>4</v>
      </c>
      <c r="I6" s="42" t="inlineStr">
        <is>
          <t>Leveraged non EU AIF (of an opt-in AIFM), not marketed in the Union</t>
        </is>
      </c>
      <c r="J6" s="43" t="inlineStr">
        <is>
          <t>No</t>
        </is>
      </c>
      <c r="K6" s="44" t="inlineStr">
        <is>
          <t>Yes</t>
        </is>
      </c>
      <c r="L6" s="44" t="inlineStr">
        <is>
          <t>No</t>
        </is>
      </c>
      <c r="M6" s="44" t="inlineStr">
        <is>
          <t>No</t>
        </is>
      </c>
      <c r="N6" s="45" t="inlineStr">
        <is>
          <t>No</t>
        </is>
      </c>
      <c r="O6" s="46" t="inlineStr">
        <is>
          <t>Yearly</t>
        </is>
      </c>
      <c r="P6" s="47" t="inlineStr">
        <is>
          <t>24(1)+(4)</t>
        </is>
      </c>
    </row>
    <row r="7" hidden="1">
      <c r="B7" s="124" t="n">
        <v>1</v>
      </c>
      <c r="C7" s="125" t="n">
        <v>2</v>
      </c>
      <c r="E7" s="39" t="n">
        <v>2</v>
      </c>
      <c r="F7" s="40" t="inlineStr">
        <is>
          <t>Authorised AIFM (opt-in)</t>
        </is>
      </c>
      <c r="G7" s="291" t="n"/>
      <c r="H7" s="41" t="n">
        <v>5</v>
      </c>
      <c r="I7" s="42" t="inlineStr">
        <is>
          <t>Unleveraged EU AIF (of an opt-in AIFM)</t>
        </is>
      </c>
      <c r="J7" s="48" t="inlineStr">
        <is>
          <t>Yes/No</t>
        </is>
      </c>
      <c r="K7" s="49" t="inlineStr">
        <is>
          <t>No</t>
        </is>
      </c>
      <c r="L7" s="44" t="inlineStr">
        <is>
          <t>Yes</t>
        </is>
      </c>
      <c r="M7" s="44" t="inlineStr">
        <is>
          <t>Yes/No</t>
        </is>
      </c>
      <c r="N7" s="45" t="inlineStr">
        <is>
          <t>No</t>
        </is>
      </c>
      <c r="O7" s="46" t="inlineStr">
        <is>
          <t>Yearly</t>
        </is>
      </c>
      <c r="P7" s="47" t="inlineStr">
        <is>
          <t>24(1)+(2)</t>
        </is>
      </c>
    </row>
    <row r="8" hidden="1">
      <c r="B8" s="124" t="n">
        <v>1</v>
      </c>
      <c r="C8" s="125" t="n">
        <v>2</v>
      </c>
      <c r="E8" s="39" t="n">
        <v>2</v>
      </c>
      <c r="F8" s="40" t="inlineStr">
        <is>
          <t>Authorised AIFM (opt-in)</t>
        </is>
      </c>
      <c r="G8" s="291" t="n"/>
      <c r="H8" s="41" t="n">
        <v>6</v>
      </c>
      <c r="I8" s="42" t="inlineStr">
        <is>
          <t>Unleveraged non EU AIF (of an opt-in AIFM) marketed in the Union</t>
        </is>
      </c>
      <c r="J8" s="48" t="inlineStr">
        <is>
          <t>Yes/No</t>
        </is>
      </c>
      <c r="K8" s="49" t="inlineStr">
        <is>
          <t>No</t>
        </is>
      </c>
      <c r="L8" s="44" t="inlineStr">
        <is>
          <t>No</t>
        </is>
      </c>
      <c r="M8" s="44" t="inlineStr">
        <is>
          <t>Yes</t>
        </is>
      </c>
      <c r="N8" s="45" t="inlineStr">
        <is>
          <t>No</t>
        </is>
      </c>
      <c r="O8" s="46" t="inlineStr">
        <is>
          <t>Yearly</t>
        </is>
      </c>
      <c r="P8" s="47" t="inlineStr">
        <is>
          <t>24(1)+(2)</t>
        </is>
      </c>
    </row>
    <row r="9" hidden="1">
      <c r="B9" s="124" t="n">
        <v>1</v>
      </c>
      <c r="C9" s="125" t="n">
        <v>1</v>
      </c>
      <c r="E9" s="39" t="n">
        <v>2</v>
      </c>
      <c r="F9" s="40" t="inlineStr">
        <is>
          <t>Authorised AIFM (opt-in)</t>
        </is>
      </c>
      <c r="G9" s="291" t="n"/>
      <c r="H9" s="41" t="n">
        <v>7</v>
      </c>
      <c r="I9" s="42" t="inlineStr">
        <is>
          <t>Unleveraged non EU AIF (of an opt-in AIFM), not marketed in the Union</t>
        </is>
      </c>
      <c r="J9" s="48" t="inlineStr">
        <is>
          <t>Yes/No</t>
        </is>
      </c>
      <c r="K9" s="49" t="inlineStr">
        <is>
          <t>No</t>
        </is>
      </c>
      <c r="L9" s="44" t="inlineStr">
        <is>
          <t>No</t>
        </is>
      </c>
      <c r="M9" s="44" t="inlineStr">
        <is>
          <t>No</t>
        </is>
      </c>
      <c r="N9" s="45" t="inlineStr">
        <is>
          <t>No</t>
        </is>
      </c>
      <c r="O9" s="46" t="inlineStr">
        <is>
          <t>Yearly</t>
        </is>
      </c>
      <c r="P9" s="47" t="inlineStr">
        <is>
          <t>24(1)</t>
        </is>
      </c>
    </row>
    <row r="10" hidden="1" ht="22.5" customHeight="1">
      <c r="B10" s="124" t="n">
        <v>1</v>
      </c>
      <c r="C10" s="125" t="n">
        <v>2</v>
      </c>
      <c r="E10" s="39" t="n">
        <v>3</v>
      </c>
      <c r="F10" s="40" t="inlineStr">
        <is>
          <t>Authorised AIFM with only unleveraged AIFs investing in non-listed companies and issuers in order to acquire control</t>
        </is>
      </c>
      <c r="G10" s="291" t="n"/>
      <c r="H10" s="41" t="n">
        <v>8</v>
      </c>
      <c r="I10" s="42" t="inlineStr">
        <is>
          <t>Unleveraged EU AIF (of an AIFM with only unleveraged AIFs investing in non-listed companies and issuers in order to acquire control)</t>
        </is>
      </c>
      <c r="J10" s="43" t="inlineStr">
        <is>
          <t>Yes</t>
        </is>
      </c>
      <c r="K10" s="49" t="inlineStr">
        <is>
          <t>No</t>
        </is>
      </c>
      <c r="L10" s="44" t="inlineStr">
        <is>
          <t>Yes</t>
        </is>
      </c>
      <c r="M10" s="44" t="inlineStr">
        <is>
          <t>Yes/No</t>
        </is>
      </c>
      <c r="N10" s="50" t="inlineStr">
        <is>
          <t>Yes/No</t>
        </is>
      </c>
      <c r="O10" s="46" t="inlineStr">
        <is>
          <t>Yearly</t>
        </is>
      </c>
      <c r="P10" s="47" t="inlineStr">
        <is>
          <t>24(1)+(2)</t>
        </is>
      </c>
    </row>
    <row r="11" hidden="1" ht="33.75" customHeight="1">
      <c r="B11" s="124" t="n">
        <v>1</v>
      </c>
      <c r="C11" s="125" t="n">
        <v>2</v>
      </c>
      <c r="E11" s="39" t="n">
        <v>3</v>
      </c>
      <c r="F11" s="40" t="inlineStr">
        <is>
          <t>Authorised AIFM with only unleveraged AIFs investing in non-listed companies and issuers in order to acquire control</t>
        </is>
      </c>
      <c r="G11" s="291" t="n"/>
      <c r="H11" s="41" t="n">
        <v>9</v>
      </c>
      <c r="I11" s="42" t="inlineStr">
        <is>
          <t>Unleveraged non EU AIF (of an AIFM with only unleveraged AIFs investing in non-listed companies and issuers in order to acquire control) marketed in the Union</t>
        </is>
      </c>
      <c r="J11" s="43" t="inlineStr">
        <is>
          <t>Yes</t>
        </is>
      </c>
      <c r="K11" s="49" t="inlineStr">
        <is>
          <t>No</t>
        </is>
      </c>
      <c r="L11" s="44" t="inlineStr">
        <is>
          <t>No</t>
        </is>
      </c>
      <c r="M11" s="44" t="inlineStr">
        <is>
          <t>Yes</t>
        </is>
      </c>
      <c r="N11" s="50" t="inlineStr">
        <is>
          <t>Yes/No</t>
        </is>
      </c>
      <c r="O11" s="46" t="inlineStr">
        <is>
          <t>Yearly</t>
        </is>
      </c>
      <c r="P11" s="47" t="inlineStr">
        <is>
          <t>24(1)+(2)</t>
        </is>
      </c>
    </row>
    <row r="12" hidden="1" ht="33.75" customHeight="1">
      <c r="B12" s="124" t="n">
        <v>1</v>
      </c>
      <c r="C12" s="125" t="n">
        <v>1</v>
      </c>
      <c r="E12" s="39" t="n">
        <v>3</v>
      </c>
      <c r="F12" s="40" t="inlineStr">
        <is>
          <t>Authorised AIFM with only unleveraged AIFs investing in non-listed companies and issuers in order to acquire control</t>
        </is>
      </c>
      <c r="G12" s="291" t="n"/>
      <c r="H12" s="41" t="n">
        <v>10</v>
      </c>
      <c r="I12" s="42" t="inlineStr">
        <is>
          <t>Unleveraged non EU AIF (of an AIFM with only unleveraged AIFs investing in non-listed companies and issuers in order to acquire control), not marketed in the Union</t>
        </is>
      </c>
      <c r="J12" s="43" t="inlineStr">
        <is>
          <t>Yes</t>
        </is>
      </c>
      <c r="K12" s="49" t="inlineStr">
        <is>
          <t>No</t>
        </is>
      </c>
      <c r="L12" s="44" t="inlineStr">
        <is>
          <t>No</t>
        </is>
      </c>
      <c r="M12" s="44" t="inlineStr">
        <is>
          <t>No</t>
        </is>
      </c>
      <c r="N12" s="50" t="inlineStr">
        <is>
          <t>Yes/No</t>
        </is>
      </c>
      <c r="O12" s="46" t="inlineStr">
        <is>
          <t>Yearly</t>
        </is>
      </c>
      <c r="P12" s="47" t="inlineStr">
        <is>
          <t>24(1)</t>
        </is>
      </c>
    </row>
    <row r="13" hidden="1" ht="22.5" customHeight="1">
      <c r="B13" s="124" t="n">
        <v>1</v>
      </c>
      <c r="C13" s="125" t="n">
        <v>4</v>
      </c>
      <c r="E13" s="39" t="n">
        <v>4</v>
      </c>
      <c r="F13" s="40" t="inlineStr">
        <is>
          <t>Authorised AIFM with half yearly obligation</t>
        </is>
      </c>
      <c r="G13" s="291" t="n"/>
      <c r="H13" s="41" t="n">
        <v>11</v>
      </c>
      <c r="I13" s="42" t="inlineStr">
        <is>
          <t>Under 500M Leveraged EU AIF (of an AIFM with half yearly obligation)</t>
        </is>
      </c>
      <c r="J13" s="43" t="inlineStr">
        <is>
          <t>No</t>
        </is>
      </c>
      <c r="K13" s="44" t="inlineStr">
        <is>
          <t>Yes</t>
        </is>
      </c>
      <c r="L13" s="44" t="inlineStr">
        <is>
          <t>Yes</t>
        </is>
      </c>
      <c r="M13" s="44" t="inlineStr">
        <is>
          <t>Yes/No</t>
        </is>
      </c>
      <c r="N13" s="50" t="inlineStr">
        <is>
          <t>No</t>
        </is>
      </c>
      <c r="O13" s="46" t="inlineStr">
        <is>
          <t>Half yearly</t>
        </is>
      </c>
      <c r="P13" s="47" t="inlineStr">
        <is>
          <t>24(1)+(2)+(4)</t>
        </is>
      </c>
    </row>
    <row r="14" hidden="1" ht="22.5" customHeight="1">
      <c r="B14" s="124" t="n">
        <v>1</v>
      </c>
      <c r="C14" s="125" t="n">
        <v>4</v>
      </c>
      <c r="E14" s="39" t="n">
        <v>4</v>
      </c>
      <c r="F14" s="40" t="inlineStr">
        <is>
          <t>Authorised AIFM with half yearly obligation</t>
        </is>
      </c>
      <c r="G14" s="291" t="n"/>
      <c r="H14" s="41" t="n">
        <v>12</v>
      </c>
      <c r="I14" s="42" t="inlineStr">
        <is>
          <t>Under 500M Leveraged non EU AIF (of an AIFM with half yearly obligation) marketed in the Union</t>
        </is>
      </c>
      <c r="J14" s="43" t="inlineStr">
        <is>
          <t>No</t>
        </is>
      </c>
      <c r="K14" s="44" t="inlineStr">
        <is>
          <t>Yes</t>
        </is>
      </c>
      <c r="L14" s="44" t="inlineStr">
        <is>
          <t>No</t>
        </is>
      </c>
      <c r="M14" s="44" t="inlineStr">
        <is>
          <t>Yes</t>
        </is>
      </c>
      <c r="N14" s="50" t="inlineStr">
        <is>
          <t>No</t>
        </is>
      </c>
      <c r="O14" s="46" t="inlineStr">
        <is>
          <t>Half yearly</t>
        </is>
      </c>
      <c r="P14" s="47" t="inlineStr">
        <is>
          <t>24(1)+(2)+(4)</t>
        </is>
      </c>
    </row>
    <row r="15" hidden="1" ht="22.5" customHeight="1">
      <c r="B15" s="124" t="n">
        <v>1</v>
      </c>
      <c r="C15" s="125" t="n">
        <v>5</v>
      </c>
      <c r="E15" s="39" t="n">
        <v>4</v>
      </c>
      <c r="F15" s="40" t="inlineStr">
        <is>
          <t>Authorised AIFM with half yearly obligation</t>
        </is>
      </c>
      <c r="G15" s="291" t="n"/>
      <c r="H15" s="41" t="n">
        <v>13</v>
      </c>
      <c r="I15" s="42" t="inlineStr">
        <is>
          <t>Under 500M Leveraged non EU AIF (of an AIFM with half yearly obligation), not marketed in the Union</t>
        </is>
      </c>
      <c r="J15" s="43" t="inlineStr">
        <is>
          <t>No</t>
        </is>
      </c>
      <c r="K15" s="44" t="inlineStr">
        <is>
          <t>Yes</t>
        </is>
      </c>
      <c r="L15" s="44" t="inlineStr">
        <is>
          <t>No</t>
        </is>
      </c>
      <c r="M15" s="44" t="inlineStr">
        <is>
          <t>No</t>
        </is>
      </c>
      <c r="N15" s="50" t="inlineStr">
        <is>
          <t>No</t>
        </is>
      </c>
      <c r="O15" s="46" t="inlineStr">
        <is>
          <t>Half yearly</t>
        </is>
      </c>
      <c r="P15" s="47" t="inlineStr">
        <is>
          <t>24(1)+(4)</t>
        </is>
      </c>
    </row>
    <row r="16" hidden="1" ht="22.5" customHeight="1">
      <c r="B16" s="124" t="n">
        <v>1</v>
      </c>
      <c r="C16" s="125" t="n">
        <v>2</v>
      </c>
      <c r="E16" s="39" t="n">
        <v>4</v>
      </c>
      <c r="F16" s="40" t="inlineStr">
        <is>
          <t>Authorised AIFM with half yearly obligation</t>
        </is>
      </c>
      <c r="G16" s="291" t="n"/>
      <c r="H16" s="41" t="n">
        <v>14</v>
      </c>
      <c r="I16" s="42" t="inlineStr">
        <is>
          <t>Under 500M Unleveraged EU AIF (of an AIFM with half yearly obligation)</t>
        </is>
      </c>
      <c r="J16" s="48" t="inlineStr">
        <is>
          <t>No</t>
        </is>
      </c>
      <c r="K16" s="44" t="inlineStr">
        <is>
          <t>No</t>
        </is>
      </c>
      <c r="L16" s="44" t="inlineStr">
        <is>
          <t>Yes</t>
        </is>
      </c>
      <c r="M16" s="44" t="inlineStr">
        <is>
          <t>Yes/No</t>
        </is>
      </c>
      <c r="N16" s="50" t="inlineStr">
        <is>
          <t>No</t>
        </is>
      </c>
      <c r="O16" s="46" t="inlineStr">
        <is>
          <t>Half yearly</t>
        </is>
      </c>
      <c r="P16" s="47" t="inlineStr">
        <is>
          <t>24(1)+(2)</t>
        </is>
      </c>
    </row>
    <row r="17" hidden="1" ht="22.5" customHeight="1">
      <c r="B17" s="124" t="n">
        <v>1</v>
      </c>
      <c r="C17" s="125" t="n">
        <v>2</v>
      </c>
      <c r="E17" s="39" t="n">
        <v>4</v>
      </c>
      <c r="F17" s="40" t="inlineStr">
        <is>
          <t>Authorised AIFM with half yearly obligation</t>
        </is>
      </c>
      <c r="G17" s="291" t="n"/>
      <c r="H17" s="41" t="n">
        <v>15</v>
      </c>
      <c r="I17" s="42" t="inlineStr">
        <is>
          <t>Under 500M Unleveraged non EU AIF (of an AIFM with half yearly obligation) marketed in the Union</t>
        </is>
      </c>
      <c r="J17" s="48" t="inlineStr">
        <is>
          <t>No</t>
        </is>
      </c>
      <c r="K17" s="44" t="inlineStr">
        <is>
          <t>No</t>
        </is>
      </c>
      <c r="L17" s="44" t="inlineStr">
        <is>
          <t>No</t>
        </is>
      </c>
      <c r="M17" s="44" t="inlineStr">
        <is>
          <t>Yes</t>
        </is>
      </c>
      <c r="N17" s="50" t="inlineStr">
        <is>
          <t>No</t>
        </is>
      </c>
      <c r="O17" s="46" t="inlineStr">
        <is>
          <t>Half yearly</t>
        </is>
      </c>
      <c r="P17" s="47" t="inlineStr">
        <is>
          <t>24(1)+(2)</t>
        </is>
      </c>
    </row>
    <row r="18" hidden="1" ht="22.5" customHeight="1">
      <c r="B18" s="124" t="n">
        <v>1</v>
      </c>
      <c r="C18" s="125" t="n">
        <v>1</v>
      </c>
      <c r="E18" s="39" t="n">
        <v>4</v>
      </c>
      <c r="F18" s="40" t="inlineStr">
        <is>
          <t>Authorised AIFM with half yearly obligation</t>
        </is>
      </c>
      <c r="G18" s="291" t="n"/>
      <c r="H18" s="41" t="n">
        <v>16</v>
      </c>
      <c r="I18" s="42" t="inlineStr">
        <is>
          <t>Under 500M Unleveraged non EU AIF (of an AIFM with half yearly obligation), not marketed in the Union</t>
        </is>
      </c>
      <c r="J18" s="48" t="inlineStr">
        <is>
          <t>No</t>
        </is>
      </c>
      <c r="K18" s="44" t="inlineStr">
        <is>
          <t>No</t>
        </is>
      </c>
      <c r="L18" s="44" t="inlineStr">
        <is>
          <t>No</t>
        </is>
      </c>
      <c r="M18" s="44" t="inlineStr">
        <is>
          <t>No</t>
        </is>
      </c>
      <c r="N18" s="50" t="inlineStr">
        <is>
          <t>No</t>
        </is>
      </c>
      <c r="O18" s="46" t="inlineStr">
        <is>
          <t>Half yearly</t>
        </is>
      </c>
      <c r="P18" s="47" t="inlineStr">
        <is>
          <t>24(1)</t>
        </is>
      </c>
    </row>
    <row r="19" hidden="1" ht="22.5" customHeight="1">
      <c r="B19" s="124" t="n">
        <v>1</v>
      </c>
      <c r="C19" s="125" t="n">
        <v>2</v>
      </c>
      <c r="E19" s="39" t="n">
        <v>4</v>
      </c>
      <c r="F19" s="40" t="inlineStr">
        <is>
          <t>Authorised AIFM with half yearly obligation</t>
        </is>
      </c>
      <c r="G19" s="291" t="n"/>
      <c r="H19" s="41" t="n">
        <v>17</v>
      </c>
      <c r="I19" s="42" t="inlineStr">
        <is>
          <t>Unleveraged EU AIF, investing in non-listed companies in order to acquire control (of an AIFM with half yearly obligation)</t>
        </is>
      </c>
      <c r="J19" s="48" t="inlineStr">
        <is>
          <t>Yes</t>
        </is>
      </c>
      <c r="K19" s="49" t="inlineStr">
        <is>
          <t>No</t>
        </is>
      </c>
      <c r="L19" s="44" t="inlineStr">
        <is>
          <t>Yes</t>
        </is>
      </c>
      <c r="M19" s="44" t="inlineStr">
        <is>
          <t>Yes/No</t>
        </is>
      </c>
      <c r="N19" s="50" t="inlineStr">
        <is>
          <t>Yes/No</t>
        </is>
      </c>
      <c r="O19" s="46" t="inlineStr">
        <is>
          <t>Yearly</t>
        </is>
      </c>
      <c r="P19" s="47" t="inlineStr">
        <is>
          <t>24(1)+(2)</t>
        </is>
      </c>
    </row>
    <row r="20" hidden="1" ht="33.75" customHeight="1">
      <c r="B20" s="124" t="n">
        <v>1</v>
      </c>
      <c r="C20" s="125" t="n">
        <v>2</v>
      </c>
      <c r="E20" s="39" t="n">
        <v>4</v>
      </c>
      <c r="F20" s="40" t="inlineStr">
        <is>
          <t>Authorised AIFM with half yearly obligation</t>
        </is>
      </c>
      <c r="G20" s="291" t="n"/>
      <c r="H20" s="41" t="n">
        <v>18</v>
      </c>
      <c r="I20" s="42" t="inlineStr">
        <is>
          <t>Unleveraged non EU AIF, investing in non-listed companies in order to acquire control (of an AIFM with half yearly obligation) marketed in the Union</t>
        </is>
      </c>
      <c r="J20" s="48" t="inlineStr">
        <is>
          <t>Yes</t>
        </is>
      </c>
      <c r="K20" s="49" t="inlineStr">
        <is>
          <t>No</t>
        </is>
      </c>
      <c r="L20" s="44" t="inlineStr">
        <is>
          <t>No</t>
        </is>
      </c>
      <c r="M20" s="44" t="inlineStr">
        <is>
          <t>Yes</t>
        </is>
      </c>
      <c r="N20" s="50" t="inlineStr">
        <is>
          <t>Yes/No</t>
        </is>
      </c>
      <c r="O20" s="46" t="inlineStr">
        <is>
          <t>Yearly</t>
        </is>
      </c>
      <c r="P20" s="47" t="inlineStr">
        <is>
          <t>24(1)+(2)</t>
        </is>
      </c>
    </row>
    <row r="21" hidden="1" ht="33.75" customHeight="1">
      <c r="B21" s="124" t="n">
        <v>1</v>
      </c>
      <c r="C21" s="125" t="n">
        <v>1</v>
      </c>
      <c r="E21" s="39" t="n">
        <v>4</v>
      </c>
      <c r="F21" s="40" t="inlineStr">
        <is>
          <t>Authorised AIFM with half yearly obligation</t>
        </is>
      </c>
      <c r="G21" s="291" t="n"/>
      <c r="H21" s="41" t="n">
        <v>19</v>
      </c>
      <c r="I21" s="42" t="inlineStr">
        <is>
          <t>Unleveraged non EU AIF, investing in non-listed companies in order to acquire control (of an AIFM with half yearly obligation) not marketed in the Union</t>
        </is>
      </c>
      <c r="J21" s="48" t="inlineStr">
        <is>
          <t>Yes</t>
        </is>
      </c>
      <c r="K21" s="49" t="inlineStr">
        <is>
          <t>No</t>
        </is>
      </c>
      <c r="L21" s="44" t="inlineStr">
        <is>
          <t>No</t>
        </is>
      </c>
      <c r="M21" s="44" t="inlineStr">
        <is>
          <t>No</t>
        </is>
      </c>
      <c r="N21" s="50" t="inlineStr">
        <is>
          <t>Yes/No</t>
        </is>
      </c>
      <c r="O21" s="46" t="inlineStr">
        <is>
          <t>Yearly</t>
        </is>
      </c>
      <c r="P21" s="47" t="inlineStr">
        <is>
          <t>24(1)</t>
        </is>
      </c>
    </row>
    <row r="22" hidden="1" ht="22.5" customHeight="1">
      <c r="B22" s="124" t="n">
        <v>1</v>
      </c>
      <c r="C22" s="125" t="n">
        <v>4</v>
      </c>
      <c r="E22" s="39" t="n">
        <v>4</v>
      </c>
      <c r="F22" s="40" t="inlineStr">
        <is>
          <t>Authorised AIFM with half yearly obligation</t>
        </is>
      </c>
      <c r="G22" s="291" t="n"/>
      <c r="H22" s="41" t="n">
        <v>20</v>
      </c>
      <c r="I22" s="42" t="inlineStr">
        <is>
          <t>Over 500M Leveraged EU AIF (of an AIFM with half yearly obligation)</t>
        </is>
      </c>
      <c r="J22" s="43" t="inlineStr">
        <is>
          <t>No</t>
        </is>
      </c>
      <c r="K22" s="44" t="inlineStr">
        <is>
          <t>Yes</t>
        </is>
      </c>
      <c r="L22" s="44" t="inlineStr">
        <is>
          <t>Yes</t>
        </is>
      </c>
      <c r="M22" s="44" t="inlineStr">
        <is>
          <t>Yes/No</t>
        </is>
      </c>
      <c r="N22" s="50" t="inlineStr">
        <is>
          <t>Yes</t>
        </is>
      </c>
      <c r="O22" s="46" t="inlineStr">
        <is>
          <t>Quarterly</t>
        </is>
      </c>
      <c r="P22" s="47" t="inlineStr">
        <is>
          <t>24(1)+(2)+(4)</t>
        </is>
      </c>
    </row>
    <row r="23" hidden="1" ht="22.5" customHeight="1">
      <c r="B23" s="124" t="n">
        <v>1</v>
      </c>
      <c r="C23" s="125" t="n">
        <v>4</v>
      </c>
      <c r="E23" s="39" t="n">
        <v>4</v>
      </c>
      <c r="F23" s="40" t="inlineStr">
        <is>
          <t>Authorised AIFM with half yearly obligation</t>
        </is>
      </c>
      <c r="G23" s="291" t="n"/>
      <c r="H23" s="41" t="n">
        <v>21</v>
      </c>
      <c r="I23" s="42" t="inlineStr">
        <is>
          <t>Over 500M Leveraged non EU AIF (of an AIFM with half yearly obligation) marketed in the Union</t>
        </is>
      </c>
      <c r="J23" s="43" t="inlineStr">
        <is>
          <t>No</t>
        </is>
      </c>
      <c r="K23" s="44" t="inlineStr">
        <is>
          <t>Yes</t>
        </is>
      </c>
      <c r="L23" s="44" t="inlineStr">
        <is>
          <t>No</t>
        </is>
      </c>
      <c r="M23" s="44" t="inlineStr">
        <is>
          <t>Yes</t>
        </is>
      </c>
      <c r="N23" s="50" t="inlineStr">
        <is>
          <t>Yes</t>
        </is>
      </c>
      <c r="O23" s="46" t="inlineStr">
        <is>
          <t>Quarterly</t>
        </is>
      </c>
      <c r="P23" s="47" t="inlineStr">
        <is>
          <t>24(1)+(2)+(4)</t>
        </is>
      </c>
    </row>
    <row r="24" hidden="1" ht="22.5" customHeight="1">
      <c r="B24" s="124" t="n">
        <v>1</v>
      </c>
      <c r="C24" s="125" t="n">
        <v>5</v>
      </c>
      <c r="E24" s="39" t="n">
        <v>4</v>
      </c>
      <c r="F24" s="40" t="inlineStr">
        <is>
          <t>Authorised AIFM with half yearly obligation</t>
        </is>
      </c>
      <c r="G24" s="291" t="n"/>
      <c r="H24" s="41" t="n">
        <v>22</v>
      </c>
      <c r="I24" s="42" t="inlineStr">
        <is>
          <t>Over 500M Leveraged non EU AIF (of an AIFM with half yearly obligation), not marketed in the Union</t>
        </is>
      </c>
      <c r="J24" s="43" t="inlineStr">
        <is>
          <t>No</t>
        </is>
      </c>
      <c r="K24" s="44" t="inlineStr">
        <is>
          <t>Yes</t>
        </is>
      </c>
      <c r="L24" s="44" t="inlineStr">
        <is>
          <t>No</t>
        </is>
      </c>
      <c r="M24" s="44" t="inlineStr">
        <is>
          <t>No</t>
        </is>
      </c>
      <c r="N24" s="50" t="inlineStr">
        <is>
          <t>Yes</t>
        </is>
      </c>
      <c r="O24" s="46" t="inlineStr">
        <is>
          <t>Quarterly</t>
        </is>
      </c>
      <c r="P24" s="47" t="inlineStr">
        <is>
          <t>24(1)+(4)</t>
        </is>
      </c>
    </row>
    <row r="25" hidden="1">
      <c r="B25" s="124" t="n">
        <v>1</v>
      </c>
      <c r="C25" s="125" t="n">
        <v>2</v>
      </c>
      <c r="E25" s="39" t="n">
        <v>4</v>
      </c>
      <c r="F25" s="40" t="inlineStr">
        <is>
          <t>Authorised AIFM with half yearly obligation</t>
        </is>
      </c>
      <c r="G25" s="291" t="n"/>
      <c r="H25" s="41" t="n">
        <v>23</v>
      </c>
      <c r="I25" s="42" t="inlineStr">
        <is>
          <t>Over 500M Unleveraged EU AIF (of an AIFM with half yearly obligation)</t>
        </is>
      </c>
      <c r="J25" s="48" t="inlineStr">
        <is>
          <t>No</t>
        </is>
      </c>
      <c r="K25" s="44" t="inlineStr">
        <is>
          <t>No</t>
        </is>
      </c>
      <c r="L25" s="44" t="inlineStr">
        <is>
          <t>Yes</t>
        </is>
      </c>
      <c r="M25" s="44" t="inlineStr">
        <is>
          <t>Yes/No</t>
        </is>
      </c>
      <c r="N25" s="50" t="inlineStr">
        <is>
          <t>Yes</t>
        </is>
      </c>
      <c r="O25" s="46" t="inlineStr">
        <is>
          <t>Quarterly</t>
        </is>
      </c>
      <c r="P25" s="47" t="inlineStr">
        <is>
          <t>24(1)+(2)</t>
        </is>
      </c>
    </row>
    <row r="26" hidden="1" ht="22.5" customHeight="1">
      <c r="B26" s="124" t="n">
        <v>1</v>
      </c>
      <c r="C26" s="125" t="n">
        <v>2</v>
      </c>
      <c r="E26" s="39" t="n">
        <v>4</v>
      </c>
      <c r="F26" s="40" t="inlineStr">
        <is>
          <t>Authorised AIFM with half yearly obligation</t>
        </is>
      </c>
      <c r="G26" s="291" t="n"/>
      <c r="H26" s="41" t="n">
        <v>24</v>
      </c>
      <c r="I26" s="42" t="inlineStr">
        <is>
          <t>Over 500M Unleveraged non EU AIF (of an AIFM with half yearly obligation) marketed in the Union</t>
        </is>
      </c>
      <c r="J26" s="48" t="inlineStr">
        <is>
          <t>No</t>
        </is>
      </c>
      <c r="K26" s="44" t="inlineStr">
        <is>
          <t>No</t>
        </is>
      </c>
      <c r="L26" s="44" t="inlineStr">
        <is>
          <t>No</t>
        </is>
      </c>
      <c r="M26" s="44" t="inlineStr">
        <is>
          <t>Yes</t>
        </is>
      </c>
      <c r="N26" s="50" t="inlineStr">
        <is>
          <t>Yes</t>
        </is>
      </c>
      <c r="O26" s="46" t="inlineStr">
        <is>
          <t>Quarterly</t>
        </is>
      </c>
      <c r="P26" s="47" t="inlineStr">
        <is>
          <t>24(1)+(2)</t>
        </is>
      </c>
    </row>
    <row r="27" hidden="1" ht="22.5" customHeight="1">
      <c r="B27" s="124" t="n">
        <v>1</v>
      </c>
      <c r="C27" s="125" t="n">
        <v>1</v>
      </c>
      <c r="E27" s="39" t="n">
        <v>4</v>
      </c>
      <c r="F27" s="40" t="inlineStr">
        <is>
          <t>Authorised AIFM with half yearly obligation</t>
        </is>
      </c>
      <c r="G27" s="291" t="n"/>
      <c r="H27" s="41" t="n">
        <v>25</v>
      </c>
      <c r="I27" s="42" t="inlineStr">
        <is>
          <t>Over 500M Unleveraged non EU AIF (of an AIFM with half yearly obligation), not marketed in the Union</t>
        </is>
      </c>
      <c r="J27" s="48" t="inlineStr">
        <is>
          <t>No</t>
        </is>
      </c>
      <c r="K27" s="44" t="inlineStr">
        <is>
          <t>No</t>
        </is>
      </c>
      <c r="L27" s="44" t="inlineStr">
        <is>
          <t>No</t>
        </is>
      </c>
      <c r="M27" s="44" t="inlineStr">
        <is>
          <t>No</t>
        </is>
      </c>
      <c r="N27" s="50" t="inlineStr">
        <is>
          <t>Yes</t>
        </is>
      </c>
      <c r="O27" s="46" t="inlineStr">
        <is>
          <t>Quarterly</t>
        </is>
      </c>
      <c r="P27" s="47" t="inlineStr">
        <is>
          <t>24(1)</t>
        </is>
      </c>
    </row>
    <row r="28" hidden="1" ht="22.5" customHeight="1">
      <c r="B28" s="124" t="n">
        <v>1</v>
      </c>
      <c r="C28" s="125" t="n">
        <v>2</v>
      </c>
      <c r="E28" s="39" t="n">
        <v>5</v>
      </c>
      <c r="F28" s="40" t="inlineStr">
        <is>
          <t>Authorised AIFM with quarterly obligation</t>
        </is>
      </c>
      <c r="G28" s="291" t="n"/>
      <c r="H28" s="41" t="n">
        <v>26</v>
      </c>
      <c r="I28" s="42" t="inlineStr">
        <is>
          <t>Unleveraged EU AIF, investing in non-listed companies in order to acquire control (of an AIFM with quarterly obligation)</t>
        </is>
      </c>
      <c r="J28" s="48" t="inlineStr">
        <is>
          <t>Yes</t>
        </is>
      </c>
      <c r="K28" s="49" t="inlineStr">
        <is>
          <t>No</t>
        </is>
      </c>
      <c r="L28" s="44" t="inlineStr">
        <is>
          <t>Yes</t>
        </is>
      </c>
      <c r="M28" s="44" t="inlineStr">
        <is>
          <t>Yes/No</t>
        </is>
      </c>
      <c r="N28" s="50" t="inlineStr">
        <is>
          <t>Yes/No</t>
        </is>
      </c>
      <c r="O28" s="46" t="inlineStr">
        <is>
          <t>Yearly</t>
        </is>
      </c>
      <c r="P28" s="47" t="inlineStr">
        <is>
          <t>24(1)+(2)</t>
        </is>
      </c>
    </row>
    <row r="29" hidden="1" ht="33.75" customHeight="1">
      <c r="B29" s="124" t="n">
        <v>1</v>
      </c>
      <c r="C29" s="125" t="n">
        <v>2</v>
      </c>
      <c r="E29" s="39" t="n">
        <v>5</v>
      </c>
      <c r="F29" s="40" t="inlineStr">
        <is>
          <t>Authorised AIFM with quarterly obligation</t>
        </is>
      </c>
      <c r="G29" s="291" t="n"/>
      <c r="H29" s="41" t="n">
        <v>27</v>
      </c>
      <c r="I29" s="42" t="inlineStr">
        <is>
          <t>Unleveraged non EU AIF, investing in non-listed companies in order to acquire control (of an AIFM with quarterly obligation) marketed in the Union</t>
        </is>
      </c>
      <c r="J29" s="48" t="inlineStr">
        <is>
          <t>Yes</t>
        </is>
      </c>
      <c r="K29" s="44" t="inlineStr">
        <is>
          <t>No</t>
        </is>
      </c>
      <c r="L29" s="44" t="inlineStr">
        <is>
          <t>No</t>
        </is>
      </c>
      <c r="M29" s="44" t="inlineStr">
        <is>
          <t>Yes</t>
        </is>
      </c>
      <c r="N29" s="50" t="inlineStr">
        <is>
          <t>Yes/No</t>
        </is>
      </c>
      <c r="O29" s="46" t="inlineStr">
        <is>
          <t>Yearly</t>
        </is>
      </c>
      <c r="P29" s="47" t="inlineStr">
        <is>
          <t>24(1)+(2)</t>
        </is>
      </c>
    </row>
    <row r="30" hidden="1" ht="33.75" customHeight="1">
      <c r="B30" s="124" t="n">
        <v>1</v>
      </c>
      <c r="C30" s="125" t="n">
        <v>1</v>
      </c>
      <c r="E30" s="39" t="n">
        <v>5</v>
      </c>
      <c r="F30" s="40" t="inlineStr">
        <is>
          <t>Authorised AIFM with quarterly obligation</t>
        </is>
      </c>
      <c r="G30" s="291" t="n"/>
      <c r="H30" s="41" t="n">
        <v>28</v>
      </c>
      <c r="I30" s="42" t="inlineStr">
        <is>
          <t>Unleveraged non EU AIF, investing in non-listed companies in order to acquire control (of an AIFM with quarterly obligation) not marketed in the Union</t>
        </is>
      </c>
      <c r="J30" s="48" t="inlineStr">
        <is>
          <t>Yes</t>
        </is>
      </c>
      <c r="K30" s="49" t="inlineStr">
        <is>
          <t>No</t>
        </is>
      </c>
      <c r="L30" s="44" t="inlineStr">
        <is>
          <t>No</t>
        </is>
      </c>
      <c r="M30" s="44" t="inlineStr">
        <is>
          <t>No</t>
        </is>
      </c>
      <c r="N30" s="50" t="inlineStr">
        <is>
          <t>Yes/No</t>
        </is>
      </c>
      <c r="O30" s="46" t="inlineStr">
        <is>
          <t>Yearly</t>
        </is>
      </c>
      <c r="P30" s="47" t="inlineStr">
        <is>
          <t>24(1)</t>
        </is>
      </c>
    </row>
    <row r="31" hidden="1" ht="22.5" customHeight="1">
      <c r="B31" s="124" t="n">
        <v>1</v>
      </c>
      <c r="C31" s="125" t="n">
        <v>4</v>
      </c>
      <c r="E31" s="39" t="n">
        <v>5</v>
      </c>
      <c r="F31" s="40" t="inlineStr">
        <is>
          <t>Authorised AIFM with quarterly obligation</t>
        </is>
      </c>
      <c r="G31" s="291" t="n"/>
      <c r="H31" s="41" t="n">
        <v>29</v>
      </c>
      <c r="I31" s="42" t="inlineStr">
        <is>
          <t>Leveraged EU AIF (of an AIFM with quarterly obligation)</t>
        </is>
      </c>
      <c r="J31" s="43" t="inlineStr">
        <is>
          <t>No</t>
        </is>
      </c>
      <c r="K31" s="44" t="inlineStr">
        <is>
          <t>Yes</t>
        </is>
      </c>
      <c r="L31" s="44" t="inlineStr">
        <is>
          <t>Yes</t>
        </is>
      </c>
      <c r="M31" s="44" t="inlineStr">
        <is>
          <t>Yes/No</t>
        </is>
      </c>
      <c r="N31" s="50" t="inlineStr">
        <is>
          <t>Yes/No</t>
        </is>
      </c>
      <c r="O31" s="46" t="inlineStr">
        <is>
          <t>Quarterly</t>
        </is>
      </c>
      <c r="P31" s="47" t="inlineStr">
        <is>
          <t>24(1)+(2)+(4)</t>
        </is>
      </c>
    </row>
    <row r="32" hidden="1" ht="22.5" customHeight="1">
      <c r="B32" s="124" t="n">
        <v>1</v>
      </c>
      <c r="C32" s="125" t="n">
        <v>4</v>
      </c>
      <c r="E32" s="39" t="n">
        <v>5</v>
      </c>
      <c r="F32" s="40" t="inlineStr">
        <is>
          <t>Authorised AIFM with quarterly obligation</t>
        </is>
      </c>
      <c r="G32" s="291" t="n"/>
      <c r="H32" s="41" t="n">
        <v>30</v>
      </c>
      <c r="I32" s="42" t="inlineStr">
        <is>
          <t>Leveraged non EU AIF (of an AIFM with quarterly obligation) marketed in the Union</t>
        </is>
      </c>
      <c r="J32" s="43" t="inlineStr">
        <is>
          <t>No</t>
        </is>
      </c>
      <c r="K32" s="44" t="inlineStr">
        <is>
          <t>Yes</t>
        </is>
      </c>
      <c r="L32" s="44" t="inlineStr">
        <is>
          <t>No</t>
        </is>
      </c>
      <c r="M32" s="44" t="inlineStr">
        <is>
          <t>Yes</t>
        </is>
      </c>
      <c r="N32" s="50" t="inlineStr">
        <is>
          <t>Yes/No</t>
        </is>
      </c>
      <c r="O32" s="46" t="inlineStr">
        <is>
          <t>Quarterly</t>
        </is>
      </c>
      <c r="P32" s="47" t="inlineStr">
        <is>
          <t>24(1)+(2)+(4)</t>
        </is>
      </c>
    </row>
    <row r="33" hidden="1" ht="22.5" customHeight="1">
      <c r="B33" s="124" t="n">
        <v>1</v>
      </c>
      <c r="C33" s="125" t="n">
        <v>5</v>
      </c>
      <c r="E33" s="39" t="n">
        <v>5</v>
      </c>
      <c r="F33" s="40" t="inlineStr">
        <is>
          <t>Authorised AIFM with quarterly obligation</t>
        </is>
      </c>
      <c r="G33" s="291" t="n"/>
      <c r="H33" s="41" t="n">
        <v>31</v>
      </c>
      <c r="I33" s="42" t="inlineStr">
        <is>
          <t>Leveraged non EU AIF (of an AIFM with quarterly obligation), not marketed in the Union</t>
        </is>
      </c>
      <c r="J33" s="43" t="inlineStr">
        <is>
          <t>No</t>
        </is>
      </c>
      <c r="K33" s="44" t="inlineStr">
        <is>
          <t>Yes</t>
        </is>
      </c>
      <c r="L33" s="44" t="inlineStr">
        <is>
          <t>No</t>
        </is>
      </c>
      <c r="M33" s="44" t="inlineStr">
        <is>
          <t>No</t>
        </is>
      </c>
      <c r="N33" s="50" t="inlineStr">
        <is>
          <t>Yes/No</t>
        </is>
      </c>
      <c r="O33" s="46" t="inlineStr">
        <is>
          <t>Quarterly</t>
        </is>
      </c>
      <c r="P33" s="47" t="inlineStr">
        <is>
          <t>24(1)+(4)</t>
        </is>
      </c>
    </row>
    <row r="34" hidden="1">
      <c r="B34" s="124" t="n">
        <v>1</v>
      </c>
      <c r="C34" s="125" t="n">
        <v>2</v>
      </c>
      <c r="E34" s="39" t="n">
        <v>5</v>
      </c>
      <c r="F34" s="40" t="inlineStr">
        <is>
          <t>Authorised AIFM with quarterly obligation</t>
        </is>
      </c>
      <c r="G34" s="291" t="n"/>
      <c r="H34" s="41" t="n">
        <v>32</v>
      </c>
      <c r="I34" s="42" t="inlineStr">
        <is>
          <t>Unleveraged EU AIF (of an AIFM with quarterly obligation)</t>
        </is>
      </c>
      <c r="J34" s="48" t="inlineStr">
        <is>
          <t>No</t>
        </is>
      </c>
      <c r="K34" s="44" t="inlineStr">
        <is>
          <t>No</t>
        </is>
      </c>
      <c r="L34" s="44" t="inlineStr">
        <is>
          <t>Yes</t>
        </is>
      </c>
      <c r="M34" s="44" t="inlineStr">
        <is>
          <t>Yes/No</t>
        </is>
      </c>
      <c r="N34" s="50" t="inlineStr">
        <is>
          <t>Yes/No</t>
        </is>
      </c>
      <c r="O34" s="46" t="inlineStr">
        <is>
          <t>Quarterly</t>
        </is>
      </c>
      <c r="P34" s="47" t="inlineStr">
        <is>
          <t>24(1)+(2)</t>
        </is>
      </c>
    </row>
    <row r="35" hidden="1" ht="22.5" customHeight="1">
      <c r="B35" s="124" t="n">
        <v>1</v>
      </c>
      <c r="C35" s="125" t="n">
        <v>2</v>
      </c>
      <c r="E35" s="39" t="n">
        <v>5</v>
      </c>
      <c r="F35" s="40" t="inlineStr">
        <is>
          <t>Authorised AIFM with quarterly obligation</t>
        </is>
      </c>
      <c r="G35" s="291" t="n"/>
      <c r="H35" s="41" t="n">
        <v>33</v>
      </c>
      <c r="I35" s="42" t="inlineStr">
        <is>
          <t>Unleveraged non EU AIF (of an AIFM with quarterly obligation) marketed in the Union</t>
        </is>
      </c>
      <c r="J35" s="48" t="inlineStr">
        <is>
          <t>No</t>
        </is>
      </c>
      <c r="K35" s="44" t="inlineStr">
        <is>
          <t>No</t>
        </is>
      </c>
      <c r="L35" s="44" t="inlineStr">
        <is>
          <t>No</t>
        </is>
      </c>
      <c r="M35" s="44" t="inlineStr">
        <is>
          <t>Yes</t>
        </is>
      </c>
      <c r="N35" s="50" t="inlineStr">
        <is>
          <t>Yes/No</t>
        </is>
      </c>
      <c r="O35" s="46" t="inlineStr">
        <is>
          <t>Quarterly</t>
        </is>
      </c>
      <c r="P35" s="47" t="inlineStr">
        <is>
          <t>24(1)+(2)</t>
        </is>
      </c>
    </row>
    <row r="36" hidden="1" ht="22.5" customHeight="1">
      <c r="B36" s="124" t="n">
        <v>1</v>
      </c>
      <c r="C36" s="125" t="n">
        <v>1</v>
      </c>
      <c r="E36" s="39" t="n">
        <v>5</v>
      </c>
      <c r="F36" s="40" t="inlineStr">
        <is>
          <t>Authorised AIFM with quarterly obligation</t>
        </is>
      </c>
      <c r="G36" s="291" t="n"/>
      <c r="H36" s="41" t="n">
        <v>34</v>
      </c>
      <c r="I36" s="42" t="inlineStr">
        <is>
          <t>Unleveraged non EU AIF (of an AIFM with quarterly obligation), not marketed in the Union</t>
        </is>
      </c>
      <c r="J36" s="48" t="inlineStr">
        <is>
          <t>No</t>
        </is>
      </c>
      <c r="K36" s="44" t="inlineStr">
        <is>
          <t>No</t>
        </is>
      </c>
      <c r="L36" s="44" t="inlineStr">
        <is>
          <t>No</t>
        </is>
      </c>
      <c r="M36" s="44" t="inlineStr">
        <is>
          <t>No</t>
        </is>
      </c>
      <c r="N36" s="50" t="inlineStr">
        <is>
          <t>Yes/No</t>
        </is>
      </c>
      <c r="O36" s="46" t="inlineStr">
        <is>
          <t>Quarterly</t>
        </is>
      </c>
      <c r="P36" s="47" t="inlineStr">
        <is>
          <t>24(1)</t>
        </is>
      </c>
    </row>
    <row r="37" ht="22.5" customHeight="1">
      <c r="B37" s="124" t="n">
        <v>3</v>
      </c>
      <c r="C37" s="125" t="n">
        <v>4</v>
      </c>
      <c r="E37" s="39" t="n">
        <v>6</v>
      </c>
      <c r="F37" s="40" t="inlineStr">
        <is>
          <t>Non-EU AIFM under Private Placement Regime with annual obligation</t>
        </is>
      </c>
      <c r="G37" s="291" t="n"/>
      <c r="H37" s="41" t="n">
        <v>35</v>
      </c>
      <c r="I37" s="42" t="inlineStr">
        <is>
          <t>Leveraged AIF (of an AIFM under Private Placement Regime with yearly obligation) marketed in the Union</t>
        </is>
      </c>
      <c r="J37" s="43" t="inlineStr">
        <is>
          <t>No</t>
        </is>
      </c>
      <c r="K37" s="44" t="inlineStr">
        <is>
          <t>Yes</t>
        </is>
      </c>
      <c r="L37" s="44" t="inlineStr">
        <is>
          <t>No</t>
        </is>
      </c>
      <c r="M37" s="44" t="inlineStr">
        <is>
          <t>Yes</t>
        </is>
      </c>
      <c r="N37" s="45" t="inlineStr">
        <is>
          <t>No</t>
        </is>
      </c>
      <c r="O37" s="46" t="inlineStr">
        <is>
          <t>Yearly</t>
        </is>
      </c>
      <c r="P37" s="47" t="inlineStr">
        <is>
          <t>24(1)+(2)+(4)</t>
        </is>
      </c>
    </row>
    <row r="38" ht="22.5" customHeight="1">
      <c r="B38" s="124" t="n">
        <v>3</v>
      </c>
      <c r="C38" s="125" t="n">
        <v>2</v>
      </c>
      <c r="E38" s="39" t="n">
        <v>6</v>
      </c>
      <c r="F38" s="40" t="inlineStr">
        <is>
          <t>Non-EU AIFM under Private Placement Regime with annual obligation</t>
        </is>
      </c>
      <c r="G38" s="291" t="n"/>
      <c r="H38" s="41" t="n">
        <v>36</v>
      </c>
      <c r="I38" s="42" t="inlineStr">
        <is>
          <t>Unleveraged AIF (of an AIFM under Private Placement Regime with yearly obligation) marketed in the Union</t>
        </is>
      </c>
      <c r="J38" s="48" t="inlineStr">
        <is>
          <t>Yes/No</t>
        </is>
      </c>
      <c r="K38" s="49" t="inlineStr">
        <is>
          <t>No</t>
        </is>
      </c>
      <c r="L38" s="44" t="inlineStr">
        <is>
          <t>No</t>
        </is>
      </c>
      <c r="M38" s="44" t="inlineStr">
        <is>
          <t>Yes</t>
        </is>
      </c>
      <c r="N38" s="45" t="inlineStr">
        <is>
          <t>No</t>
        </is>
      </c>
      <c r="O38" s="46" t="inlineStr">
        <is>
          <t>Yearly</t>
        </is>
      </c>
      <c r="P38" s="47" t="inlineStr">
        <is>
          <t>24(1)+(2)</t>
        </is>
      </c>
    </row>
    <row r="39" ht="22.5" customHeight="1">
      <c r="B39" s="124" t="n">
        <v>3</v>
      </c>
      <c r="C39" s="128" t="inlineStr">
        <is>
          <t>N/A</t>
        </is>
      </c>
      <c r="E39" s="39" t="n">
        <v>6</v>
      </c>
      <c r="F39" s="40" t="inlineStr">
        <is>
          <t>Non-EU AIFM under Private Placement Regime with annual obligation</t>
        </is>
      </c>
      <c r="G39" s="291" t="n"/>
      <c r="H39" s="41">
        <f>""</f>
        <v/>
      </c>
      <c r="I39" s="42" t="inlineStr">
        <is>
          <t>AIF not marketed in the Member State</t>
        </is>
      </c>
      <c r="J39" s="48" t="inlineStr">
        <is>
          <t>Yes/No</t>
        </is>
      </c>
      <c r="K39" s="44" t="inlineStr">
        <is>
          <t>Yes/No</t>
        </is>
      </c>
      <c r="L39" s="44" t="inlineStr">
        <is>
          <t>Yes/No</t>
        </is>
      </c>
      <c r="M39" s="44" t="inlineStr">
        <is>
          <t>No</t>
        </is>
      </c>
      <c r="N39" s="51" t="inlineStr">
        <is>
          <t>Yes/No</t>
        </is>
      </c>
      <c r="O39" s="46" t="inlineStr">
        <is>
          <t>N/A</t>
        </is>
      </c>
      <c r="P39" s="47" t="inlineStr">
        <is>
          <t>N/A</t>
        </is>
      </c>
    </row>
    <row r="40" ht="33.75" customHeight="1">
      <c r="B40" s="124" t="n">
        <v>3</v>
      </c>
      <c r="C40" s="128" t="n">
        <v>2</v>
      </c>
      <c r="E40" s="39" t="n">
        <v>7</v>
      </c>
      <c r="F40" s="40" t="inlineStr">
        <is>
          <t>Non-EU AIFM under Private Placement Regime with only unleveraged AIFs investing in non-listed companies and issuers in order to acquire control</t>
        </is>
      </c>
      <c r="G40" s="291" t="n"/>
      <c r="H40" s="41" t="n">
        <v>37</v>
      </c>
      <c r="I40" s="42" t="inlineStr">
        <is>
          <t>Unleveraged AIF (of an AIFM under Private Placement Regime with only unleveraged AIFs investing in non-listed companies and issuers in order to acquire control) marketed in the Union</t>
        </is>
      </c>
      <c r="J40" s="43" t="inlineStr">
        <is>
          <t>Yes</t>
        </is>
      </c>
      <c r="K40" s="49" t="inlineStr">
        <is>
          <t>No</t>
        </is>
      </c>
      <c r="L40" s="44" t="inlineStr">
        <is>
          <t>No</t>
        </is>
      </c>
      <c r="M40" s="44" t="inlineStr">
        <is>
          <t>Yes</t>
        </is>
      </c>
      <c r="N40" s="50" t="inlineStr">
        <is>
          <t>Yes/No</t>
        </is>
      </c>
      <c r="O40" s="46" t="inlineStr">
        <is>
          <t>Yearly</t>
        </is>
      </c>
      <c r="P40" s="47" t="inlineStr">
        <is>
          <t>24(1)+(2)</t>
        </is>
      </c>
    </row>
    <row r="41" ht="33.75" customHeight="1">
      <c r="B41" s="124" t="n">
        <v>3</v>
      </c>
      <c r="C41" s="128" t="inlineStr">
        <is>
          <t>N/A</t>
        </is>
      </c>
      <c r="E41" s="39" t="n">
        <v>7</v>
      </c>
      <c r="F41" s="40" t="inlineStr">
        <is>
          <t>Non-EU AIFM under Private Placement Regime with only unleveraged AIFs investing in non-listed companies and issuers in order to acquire control</t>
        </is>
      </c>
      <c r="G41" s="291" t="n"/>
      <c r="H41" s="41">
        <f>""</f>
        <v/>
      </c>
      <c r="I41" s="42" t="inlineStr">
        <is>
          <t>AIF not marketed in the Member State</t>
        </is>
      </c>
      <c r="J41" s="48" t="inlineStr">
        <is>
          <t>Yes/No</t>
        </is>
      </c>
      <c r="K41" s="44" t="inlineStr">
        <is>
          <t>Yes/No</t>
        </is>
      </c>
      <c r="L41" s="44" t="inlineStr">
        <is>
          <t>Yes/No</t>
        </is>
      </c>
      <c r="M41" s="44" t="inlineStr">
        <is>
          <t>No</t>
        </is>
      </c>
      <c r="N41" s="51" t="inlineStr">
        <is>
          <t>Yes/No</t>
        </is>
      </c>
      <c r="O41" s="46" t="inlineStr">
        <is>
          <t>N/A</t>
        </is>
      </c>
      <c r="P41" s="47" t="inlineStr">
        <is>
          <t>N/A</t>
        </is>
      </c>
    </row>
    <row r="42" ht="22.5" customHeight="1">
      <c r="B42" s="124" t="n">
        <v>3</v>
      </c>
      <c r="C42" s="128" t="n">
        <v>4</v>
      </c>
      <c r="E42" s="39" t="n">
        <v>8</v>
      </c>
      <c r="F42" s="40" t="inlineStr">
        <is>
          <t>Non-EU AIFM under Private Placement Regime with half yearly obligation</t>
        </is>
      </c>
      <c r="G42" s="291" t="n"/>
      <c r="H42" s="41" t="n">
        <v>38</v>
      </c>
      <c r="I42" s="42" t="inlineStr">
        <is>
          <t>Under 500M Leveraged AIF (of an AIFM under Private Placement Regime with half yearly obligation) marketed in the union</t>
        </is>
      </c>
      <c r="J42" s="43" t="inlineStr">
        <is>
          <t>No</t>
        </is>
      </c>
      <c r="K42" s="44" t="inlineStr">
        <is>
          <t>Yes</t>
        </is>
      </c>
      <c r="L42" s="44" t="inlineStr">
        <is>
          <t>No</t>
        </is>
      </c>
      <c r="M42" s="44" t="inlineStr">
        <is>
          <t>Yes</t>
        </is>
      </c>
      <c r="N42" s="50" t="inlineStr">
        <is>
          <t>No</t>
        </is>
      </c>
      <c r="O42" s="46" t="inlineStr">
        <is>
          <t>Half yearly</t>
        </is>
      </c>
      <c r="P42" s="47" t="inlineStr">
        <is>
          <t>24(1)+(2)+(4)</t>
        </is>
      </c>
    </row>
    <row r="43" ht="22.5" customHeight="1">
      <c r="B43" s="124" t="n">
        <v>3</v>
      </c>
      <c r="C43" s="128" t="n">
        <v>2</v>
      </c>
      <c r="E43" s="39" t="n">
        <v>8</v>
      </c>
      <c r="F43" s="40" t="inlineStr">
        <is>
          <t>Non-EU AIFM under Private Placement Regime with half yearly obligation</t>
        </is>
      </c>
      <c r="G43" s="291" t="n"/>
      <c r="H43" s="41" t="n">
        <v>39</v>
      </c>
      <c r="I43" s="42" t="inlineStr">
        <is>
          <t>Under 500M Unleveraged AIF (of an AIFM under Private Placement Regime with half yearly obligation) marketed in the union</t>
        </is>
      </c>
      <c r="J43" s="48" t="inlineStr">
        <is>
          <t>No</t>
        </is>
      </c>
      <c r="K43" s="44" t="inlineStr">
        <is>
          <t>No</t>
        </is>
      </c>
      <c r="L43" s="44" t="inlineStr">
        <is>
          <t>No</t>
        </is>
      </c>
      <c r="M43" s="44" t="inlineStr">
        <is>
          <t>Yes</t>
        </is>
      </c>
      <c r="N43" s="50" t="inlineStr">
        <is>
          <t>No</t>
        </is>
      </c>
      <c r="O43" s="46" t="inlineStr">
        <is>
          <t>Half yearly</t>
        </is>
      </c>
      <c r="P43" s="47" t="inlineStr">
        <is>
          <t>24(1)+(2)</t>
        </is>
      </c>
    </row>
    <row r="44" ht="33.75" customHeight="1">
      <c r="B44" s="124" t="n">
        <v>3</v>
      </c>
      <c r="C44" s="128" t="n">
        <v>2</v>
      </c>
      <c r="E44" s="39" t="n">
        <v>8</v>
      </c>
      <c r="F44" s="40" t="inlineStr">
        <is>
          <t>Non-EU AIFM under Private Placement Regime with half yearly obligation</t>
        </is>
      </c>
      <c r="G44" s="291" t="n"/>
      <c r="H44" s="41" t="n">
        <v>40</v>
      </c>
      <c r="I44" s="42" t="inlineStr">
        <is>
          <t>Unleveraged AIF, investing in non-listed companies in order to acquire control (of an AIFM under Private Placement Regime with half yearly obligation) marketed in the Union</t>
        </is>
      </c>
      <c r="J44" s="48" t="inlineStr">
        <is>
          <t>Yes</t>
        </is>
      </c>
      <c r="K44" s="49" t="inlineStr">
        <is>
          <t>No</t>
        </is>
      </c>
      <c r="L44" s="44" t="inlineStr">
        <is>
          <t>No</t>
        </is>
      </c>
      <c r="M44" s="44" t="inlineStr">
        <is>
          <t>Yes</t>
        </is>
      </c>
      <c r="N44" s="50" t="inlineStr">
        <is>
          <t>Yes/No</t>
        </is>
      </c>
      <c r="O44" s="46" t="inlineStr">
        <is>
          <t>Yearly</t>
        </is>
      </c>
      <c r="P44" s="47" t="inlineStr">
        <is>
          <t>24(1)+(2)</t>
        </is>
      </c>
    </row>
    <row r="45" ht="22.5" customHeight="1">
      <c r="B45" s="124" t="n">
        <v>3</v>
      </c>
      <c r="C45" s="128" t="n">
        <v>4</v>
      </c>
      <c r="E45" s="39" t="n">
        <v>8</v>
      </c>
      <c r="F45" s="40" t="inlineStr">
        <is>
          <t>Non-EU AIFM under Private Placement Regime with half yearly obligation</t>
        </is>
      </c>
      <c r="G45" s="291" t="n"/>
      <c r="H45" s="41" t="n">
        <v>41</v>
      </c>
      <c r="I45" s="42" t="inlineStr">
        <is>
          <t>Over 500M Leveraged AIF (of an AIFM under Private Placement Regime with half yearly obligation) marketed in the union</t>
        </is>
      </c>
      <c r="J45" s="43" t="inlineStr">
        <is>
          <t>No</t>
        </is>
      </c>
      <c r="K45" s="44" t="inlineStr">
        <is>
          <t>Yes</t>
        </is>
      </c>
      <c r="L45" s="44" t="inlineStr">
        <is>
          <t>No</t>
        </is>
      </c>
      <c r="M45" s="44" t="inlineStr">
        <is>
          <t>Yes</t>
        </is>
      </c>
      <c r="N45" s="50" t="inlineStr">
        <is>
          <t>Yes</t>
        </is>
      </c>
      <c r="O45" s="46" t="inlineStr">
        <is>
          <t>Quarterly</t>
        </is>
      </c>
      <c r="P45" s="47" t="inlineStr">
        <is>
          <t>24(1)+(2)+(4)</t>
        </is>
      </c>
    </row>
    <row r="46" ht="22.5" customHeight="1">
      <c r="B46" s="124" t="n">
        <v>3</v>
      </c>
      <c r="C46" s="128" t="n">
        <v>2</v>
      </c>
      <c r="E46" s="39" t="n">
        <v>8</v>
      </c>
      <c r="F46" s="40" t="inlineStr">
        <is>
          <t>Non-EU AIFM under Private Placement Regime with half yearly obligation</t>
        </is>
      </c>
      <c r="G46" s="291" t="n"/>
      <c r="H46" s="41" t="n">
        <v>42</v>
      </c>
      <c r="I46" s="42" t="inlineStr">
        <is>
          <t>Over 500M Unleveraged AIF (of an AIFM under Private Placement Regime with half yearly obligation) marketed in the union</t>
        </is>
      </c>
      <c r="J46" s="48" t="inlineStr">
        <is>
          <t>No</t>
        </is>
      </c>
      <c r="K46" s="44" t="inlineStr">
        <is>
          <t>No</t>
        </is>
      </c>
      <c r="L46" s="44" t="inlineStr">
        <is>
          <t>No</t>
        </is>
      </c>
      <c r="M46" s="44" t="inlineStr">
        <is>
          <t>Yes</t>
        </is>
      </c>
      <c r="N46" s="50" t="inlineStr">
        <is>
          <t>Yes</t>
        </is>
      </c>
      <c r="O46" s="46" t="inlineStr">
        <is>
          <t>Quarterly</t>
        </is>
      </c>
      <c r="P46" s="47" t="inlineStr">
        <is>
          <t>24(1)+(2)</t>
        </is>
      </c>
    </row>
    <row r="47" ht="22.5" customHeight="1">
      <c r="B47" s="124" t="n">
        <v>3</v>
      </c>
      <c r="C47" s="128" t="inlineStr">
        <is>
          <t>N/A</t>
        </is>
      </c>
      <c r="E47" s="39" t="n">
        <v>8</v>
      </c>
      <c r="F47" s="40" t="inlineStr">
        <is>
          <t>Non-EU AIFM under Private Placement Regime with half yearly obligation</t>
        </is>
      </c>
      <c r="G47" s="291" t="n"/>
      <c r="H47" s="41">
        <f>""</f>
        <v/>
      </c>
      <c r="I47" s="42" t="inlineStr">
        <is>
          <t>AIF not marketed in the Member State</t>
        </is>
      </c>
      <c r="J47" s="48" t="inlineStr">
        <is>
          <t>Yes/No</t>
        </is>
      </c>
      <c r="K47" s="44" t="inlineStr">
        <is>
          <t>Yes/No</t>
        </is>
      </c>
      <c r="L47" s="44" t="inlineStr">
        <is>
          <t>Yes/No</t>
        </is>
      </c>
      <c r="M47" s="44" t="inlineStr">
        <is>
          <t>No</t>
        </is>
      </c>
      <c r="N47" s="51" t="inlineStr">
        <is>
          <t>Yes/No</t>
        </is>
      </c>
      <c r="O47" s="46" t="inlineStr">
        <is>
          <t>N/A</t>
        </is>
      </c>
      <c r="P47" s="47" t="inlineStr">
        <is>
          <t>N/A</t>
        </is>
      </c>
    </row>
    <row r="48" ht="33.75" customHeight="1">
      <c r="B48" s="124" t="n">
        <v>3</v>
      </c>
      <c r="C48" s="128" t="n">
        <v>2</v>
      </c>
      <c r="E48" s="39" t="n">
        <v>9</v>
      </c>
      <c r="F48" s="40" t="inlineStr">
        <is>
          <t>Non-EU AIFM under Private Placement Regime with quarterly obligation</t>
        </is>
      </c>
      <c r="G48" s="291" t="n"/>
      <c r="H48" s="41" t="n">
        <v>43</v>
      </c>
      <c r="I48" s="42" t="inlineStr">
        <is>
          <t>Unleveraged AIF, investing in non-listed companies in order to acquire control (of an AIFM under Private Placement Regime with quarterly obligation) marketed in the Union</t>
        </is>
      </c>
      <c r="J48" s="48" t="inlineStr">
        <is>
          <t>Yes</t>
        </is>
      </c>
      <c r="K48" s="49" t="inlineStr">
        <is>
          <t>No</t>
        </is>
      </c>
      <c r="L48" s="44" t="inlineStr">
        <is>
          <t>No</t>
        </is>
      </c>
      <c r="M48" s="44" t="inlineStr">
        <is>
          <t>Yes</t>
        </is>
      </c>
      <c r="N48" s="50" t="inlineStr">
        <is>
          <t>Yes/No</t>
        </is>
      </c>
      <c r="O48" s="46" t="inlineStr">
        <is>
          <t>Yearly</t>
        </is>
      </c>
      <c r="P48" s="47" t="inlineStr">
        <is>
          <t>24(1)+(2)</t>
        </is>
      </c>
    </row>
    <row r="49" ht="22.5" customHeight="1">
      <c r="B49" s="124" t="n">
        <v>3</v>
      </c>
      <c r="C49" s="128" t="n">
        <v>4</v>
      </c>
      <c r="E49" s="39" t="n">
        <v>9</v>
      </c>
      <c r="F49" s="40" t="inlineStr">
        <is>
          <t>Non-EU AIFM under Private Placement Regime with quarterly obligation</t>
        </is>
      </c>
      <c r="G49" s="291" t="n"/>
      <c r="H49" s="41" t="n">
        <v>44</v>
      </c>
      <c r="I49" s="42" t="inlineStr">
        <is>
          <t>Leveraged AIF (of an AIFM under Private Placement Regime with quarterly obligation) marketed in the Union</t>
        </is>
      </c>
      <c r="J49" s="43" t="inlineStr">
        <is>
          <t>No</t>
        </is>
      </c>
      <c r="K49" s="44" t="inlineStr">
        <is>
          <t>Yes</t>
        </is>
      </c>
      <c r="L49" s="44" t="inlineStr">
        <is>
          <t>No</t>
        </is>
      </c>
      <c r="M49" s="44" t="inlineStr">
        <is>
          <t>Yes</t>
        </is>
      </c>
      <c r="N49" s="50" t="inlineStr">
        <is>
          <t>Yes/No</t>
        </is>
      </c>
      <c r="O49" s="46" t="inlineStr">
        <is>
          <t>Quarterly</t>
        </is>
      </c>
      <c r="P49" s="47" t="inlineStr">
        <is>
          <t>24(1)+(2)+(4)</t>
        </is>
      </c>
    </row>
    <row r="50" ht="22.5" customHeight="1">
      <c r="B50" s="124" t="n">
        <v>3</v>
      </c>
      <c r="C50" s="128" t="n">
        <v>2</v>
      </c>
      <c r="E50" s="39" t="n">
        <v>9</v>
      </c>
      <c r="F50" s="40" t="inlineStr">
        <is>
          <t>Non-EU AIFM under Private Placement Regime with quarterly obligation</t>
        </is>
      </c>
      <c r="G50" s="291" t="n"/>
      <c r="H50" s="41" t="n">
        <v>45</v>
      </c>
      <c r="I50" s="42" t="inlineStr">
        <is>
          <t>Unleveraged AIF (of an AIFM under Private Placement Regime with quarterly obligation) marketed in the Union</t>
        </is>
      </c>
      <c r="J50" s="48" t="inlineStr">
        <is>
          <t>No</t>
        </is>
      </c>
      <c r="K50" s="44" t="inlineStr">
        <is>
          <t>No</t>
        </is>
      </c>
      <c r="L50" s="44" t="inlineStr">
        <is>
          <t>No</t>
        </is>
      </c>
      <c r="M50" s="44" t="inlineStr">
        <is>
          <t>Yes</t>
        </is>
      </c>
      <c r="N50" s="50" t="inlineStr">
        <is>
          <t>Yes/No</t>
        </is>
      </c>
      <c r="O50" s="46" t="inlineStr">
        <is>
          <t>Quarterly</t>
        </is>
      </c>
      <c r="P50" s="47" t="inlineStr">
        <is>
          <t>24(1)+(2)</t>
        </is>
      </c>
    </row>
    <row r="51" ht="23.25" customHeight="1" thickBot="1">
      <c r="B51" s="126" t="n">
        <v>3</v>
      </c>
      <c r="C51" s="129" t="inlineStr">
        <is>
          <t>N/A</t>
        </is>
      </c>
      <c r="E51" s="52" t="n">
        <v>9</v>
      </c>
      <c r="F51" s="53" t="inlineStr">
        <is>
          <t>Non-EU AIFM under Private Placement Regime with quarterly obligation</t>
        </is>
      </c>
      <c r="G51" s="292" t="n"/>
      <c r="H51" s="54">
        <f>""</f>
        <v/>
      </c>
      <c r="I51" s="55" t="inlineStr">
        <is>
          <t>AIF not marketed in the Member State</t>
        </is>
      </c>
      <c r="J51" s="56" t="inlineStr">
        <is>
          <t>Yes/No</t>
        </is>
      </c>
      <c r="K51" s="57" t="inlineStr">
        <is>
          <t>Yes/No</t>
        </is>
      </c>
      <c r="L51" s="57" t="inlineStr">
        <is>
          <t>Yes/No</t>
        </is>
      </c>
      <c r="M51" s="57" t="inlineStr">
        <is>
          <t>No</t>
        </is>
      </c>
      <c r="N51" s="58" t="inlineStr">
        <is>
          <t>Yes/No</t>
        </is>
      </c>
      <c r="O51" s="59" t="inlineStr">
        <is>
          <t>N/A</t>
        </is>
      </c>
      <c r="P51" s="60" t="inlineStr">
        <is>
          <t>N/A</t>
        </is>
      </c>
    </row>
  </sheetData>
  <autoFilter ref="B2:P51">
    <filterColumn colId="0" hiddenButton="0" showButton="1">
      <filters>
        <filter val="3"/>
      </filters>
    </filterColumn>
  </autoFilter>
  <mergeCells count="4">
    <mergeCell ref="H1:P1"/>
    <mergeCell ref="G2:G51"/>
    <mergeCell ref="E1:F1"/>
    <mergeCell ref="B1:C1"/>
  </mergeCells>
  <dataValidations xWindow="76" yWindow="366" count="2">
    <dataValidation sqref="B2" showDropDown="0" showInputMessage="1" showErrorMessage="1" allowBlank="1" promptTitle="AIFM Content type" prompt="Code indicating the contents of the AIFM reporting._x000a_The AIFM content types admitted are:_x000a_  - 1 for &quot;24(1) for all AIFs managed&quot;_x000a_  - 2 for &quot;3(3) (d) all AIFs managed&quot; (light)_x000a_  - 3 for &quot;24(1) all AIFs marketed &quot;"/>
    <dataValidation sqref="C2" showDropDown="0" showInputMessage="1" showErrorMessage="1" allowBlank="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dataValidations>
  <pageMargins left="0.7086614173228347" right="0.7086614173228347" top="0.7480314960629921" bottom="0.7480314960629921" header="0.3149606299212598" footer="0.3149606299212598"/>
  <pageSetup orientation="landscape" paperSize="9" scale="64" fitToHeight="0" horizontalDpi="0" verticalDpi="0"/>
</worksheet>
</file>

<file path=xl/worksheets/sheet5.xml><?xml version="1.0" encoding="utf-8"?>
<worksheet xmlns="http://schemas.openxmlformats.org/spreadsheetml/2006/main">
  <sheetPr>
    <tabColor theme="4" tint="0.5999938962981048"/>
    <outlinePr summaryBelow="1" summaryRight="1"/>
    <pageSetUpPr/>
  </sheetPr>
  <dimension ref="A1:I207"/>
  <sheetViews>
    <sheetView workbookViewId="0">
      <pane xSplit="2" ySplit="1" topLeftCell="C68" activePane="bottomRight" state="frozen"/>
      <selection activeCell="C20" sqref="C20"/>
      <selection pane="topRight" activeCell="C20" sqref="C20"/>
      <selection pane="bottomLeft" activeCell="C20" sqref="C20"/>
      <selection pane="bottomRight" activeCell="H100" sqref="H100"/>
    </sheetView>
  </sheetViews>
  <sheetFormatPr baseColWidth="10" defaultColWidth="9.140625" defaultRowHeight="11.25"/>
  <cols>
    <col width="1.5703125" customWidth="1" style="13" min="1" max="1"/>
    <col width="9.140625" customWidth="1" style="79" min="2" max="2"/>
    <col width="2" customWidth="1" style="13" min="3" max="3"/>
    <col width="15.42578125" customWidth="1" style="13" min="4" max="4"/>
    <col width="47.42578125" customWidth="1" style="13" min="5" max="5"/>
    <col width="17.5703125" customWidth="1" style="13" min="6" max="6"/>
    <col width="43.42578125" customWidth="1" style="13" min="7" max="7"/>
    <col width="20.85546875" bestFit="1" customWidth="1" style="13" min="8" max="8"/>
    <col width="68.140625" customWidth="1" style="13" min="9" max="9"/>
    <col width="14.85546875" bestFit="1" customWidth="1" style="13" min="10" max="11"/>
    <col width="33.140625" bestFit="1" customWidth="1" style="13" min="12" max="12"/>
    <col width="13.140625" bestFit="1" customWidth="1" style="13" min="13" max="14"/>
    <col width="9.140625" customWidth="1" style="13" min="15" max="15"/>
    <col width="69.85546875" customWidth="1" style="13" min="16" max="16"/>
    <col width="9.140625" customWidth="1" style="13" min="17" max="16384"/>
  </cols>
  <sheetData>
    <row r="1">
      <c r="A1" s="13" t="inlineStr">
        <is>
          <t>#</t>
        </is>
      </c>
      <c r="B1" s="74" t="inlineStr">
        <is>
          <t>FILTER</t>
        </is>
      </c>
      <c r="D1" s="270" t="inlineStr">
        <is>
          <t>Annex II Table</t>
        </is>
      </c>
      <c r="E1" s="293" t="n"/>
      <c r="F1" s="293" t="n"/>
      <c r="G1" s="293" t="n"/>
      <c r="H1" s="293" t="n"/>
      <c r="I1" s="294" t="n"/>
    </row>
    <row r="2">
      <c r="B2" s="76" t="inlineStr">
        <is>
          <t>table 1</t>
        </is>
      </c>
      <c r="D2" s="272" t="inlineStr">
        <is>
          <t>Macro asset type</t>
        </is>
      </c>
      <c r="E2" s="295" t="n"/>
      <c r="F2" s="296" t="inlineStr">
        <is>
          <t>Asset type</t>
        </is>
      </c>
      <c r="G2" s="297" t="n"/>
      <c r="H2" s="298" t="inlineStr">
        <is>
          <t>Sub-Asset Type for Positions</t>
        </is>
      </c>
      <c r="I2" s="297" t="n"/>
    </row>
    <row r="3" ht="45" customHeight="1">
      <c r="B3" s="76" t="inlineStr">
        <is>
          <t>table 1</t>
        </is>
      </c>
      <c r="D3" s="140" t="inlineStr">
        <is>
          <t>Code</t>
        </is>
      </c>
      <c r="E3" s="140" t="inlineStr">
        <is>
          <t>Label</t>
        </is>
      </c>
      <c r="F3" s="140" t="inlineStr">
        <is>
          <t>Code</t>
        </is>
      </c>
      <c r="G3" s="140" t="inlineStr">
        <is>
          <t>Label</t>
        </is>
      </c>
      <c r="H3" s="140" t="inlineStr">
        <is>
          <t>Code
POSITION (field 65)
POSITION_COMPACT (field 65)
POSITION_EXTERNAL (field 65)</t>
        </is>
      </c>
      <c r="I3" s="140" t="inlineStr">
        <is>
          <t>Label</t>
        </is>
      </c>
    </row>
    <row r="4">
      <c r="B4" s="76" t="inlineStr">
        <is>
          <t>table 1</t>
        </is>
      </c>
      <c r="D4" s="68" t="inlineStr">
        <is>
          <t>SEC</t>
        </is>
      </c>
      <c r="E4" s="68" t="inlineStr">
        <is>
          <t>Securities</t>
        </is>
      </c>
      <c r="F4" s="68" t="inlineStr">
        <is>
          <t>SEC_CSH</t>
        </is>
      </c>
      <c r="G4" s="70" t="inlineStr">
        <is>
          <t>Cash and cash equivalent</t>
        </is>
      </c>
      <c r="H4" s="70" t="inlineStr">
        <is>
          <t>SEC_CSH_CODP</t>
        </is>
      </c>
      <c r="I4" s="68" t="inlineStr">
        <is>
          <t>Certificates of deposit</t>
        </is>
      </c>
    </row>
    <row r="5">
      <c r="B5" s="76" t="inlineStr">
        <is>
          <t>table 1</t>
        </is>
      </c>
      <c r="D5" s="68" t="inlineStr">
        <is>
          <t>SEC</t>
        </is>
      </c>
      <c r="E5" s="68" t="inlineStr">
        <is>
          <t>Securities</t>
        </is>
      </c>
      <c r="F5" s="68" t="inlineStr">
        <is>
          <t>SEC_CSH</t>
        </is>
      </c>
      <c r="G5" s="70" t="inlineStr">
        <is>
          <t>Cash and cash equivalent</t>
        </is>
      </c>
      <c r="H5" s="70" t="inlineStr">
        <is>
          <t>SEC_CSH_COMP</t>
        </is>
      </c>
      <c r="I5" s="68" t="inlineStr">
        <is>
          <t>Commercial papers</t>
        </is>
      </c>
    </row>
    <row r="6">
      <c r="B6" s="76" t="inlineStr">
        <is>
          <t>table 1</t>
        </is>
      </c>
      <c r="D6" s="68" t="inlineStr">
        <is>
          <t>SEC</t>
        </is>
      </c>
      <c r="E6" s="68" t="inlineStr">
        <is>
          <t>Securities</t>
        </is>
      </c>
      <c r="F6" s="68" t="inlineStr">
        <is>
          <t>SEC_CSH</t>
        </is>
      </c>
      <c r="G6" s="70" t="inlineStr">
        <is>
          <t>Cash and cash equivalent</t>
        </is>
      </c>
      <c r="H6" s="70" t="inlineStr">
        <is>
          <t>SEC_CSH_OTHD</t>
        </is>
      </c>
      <c r="I6" s="68" t="inlineStr">
        <is>
          <t>Other deposits</t>
        </is>
      </c>
    </row>
    <row r="7">
      <c r="B7" s="76" t="inlineStr">
        <is>
          <t>table 1</t>
        </is>
      </c>
      <c r="D7" s="68" t="inlineStr">
        <is>
          <t>SEC</t>
        </is>
      </c>
      <c r="E7" s="68" t="inlineStr">
        <is>
          <t>Securities</t>
        </is>
      </c>
      <c r="F7" s="68" t="inlineStr">
        <is>
          <t>SEC_CSH</t>
        </is>
      </c>
      <c r="G7" s="70" t="inlineStr">
        <is>
          <t>Cash and cash equivalent</t>
        </is>
      </c>
      <c r="H7" s="70" t="inlineStr">
        <is>
          <t>SEC_CSH_OTHC</t>
        </is>
      </c>
      <c r="I7" s="68" t="inlineStr">
        <is>
          <t>Other cash and cash equivalents (excluding government securities)</t>
        </is>
      </c>
    </row>
    <row r="8">
      <c r="B8" s="76" t="inlineStr">
        <is>
          <t>table 1</t>
        </is>
      </c>
      <c r="D8" s="68" t="inlineStr">
        <is>
          <t>SEC</t>
        </is>
      </c>
      <c r="E8" s="68" t="inlineStr">
        <is>
          <t>Securities</t>
        </is>
      </c>
      <c r="F8" s="68" t="inlineStr">
        <is>
          <t>SEC_LEQ</t>
        </is>
      </c>
      <c r="G8" s="69" t="inlineStr">
        <is>
          <t>Listed equities</t>
        </is>
      </c>
      <c r="H8" s="70" t="inlineStr">
        <is>
          <t>SEC_LEQ_IFIN</t>
        </is>
      </c>
      <c r="I8" s="68" t="inlineStr">
        <is>
          <t>Listed equities issued by financial institutions</t>
        </is>
      </c>
    </row>
    <row r="9">
      <c r="B9" s="76" t="inlineStr">
        <is>
          <t>table 1</t>
        </is>
      </c>
      <c r="D9" s="68" t="inlineStr">
        <is>
          <t>SEC</t>
        </is>
      </c>
      <c r="E9" s="68" t="inlineStr">
        <is>
          <t>Securities</t>
        </is>
      </c>
      <c r="F9" s="68" t="inlineStr">
        <is>
          <t>SEC_LEQ</t>
        </is>
      </c>
      <c r="G9" s="69" t="inlineStr">
        <is>
          <t>Listed equities</t>
        </is>
      </c>
      <c r="H9" s="70" t="inlineStr">
        <is>
          <t>SEC_LEQ_OTHR</t>
        </is>
      </c>
      <c r="I9" s="69" t="inlineStr">
        <is>
          <t>Other listed equity</t>
        </is>
      </c>
    </row>
    <row r="10">
      <c r="B10" s="76" t="inlineStr">
        <is>
          <t>table 1</t>
        </is>
      </c>
      <c r="D10" s="68" t="inlineStr">
        <is>
          <t>SEC</t>
        </is>
      </c>
      <c r="E10" s="68" t="inlineStr">
        <is>
          <t>Securities</t>
        </is>
      </c>
      <c r="F10" s="68" t="inlineStr">
        <is>
          <t>SEC_UEQ</t>
        </is>
      </c>
      <c r="G10" s="69" t="inlineStr">
        <is>
          <t>Unlisted equities</t>
        </is>
      </c>
      <c r="H10" s="70" t="inlineStr">
        <is>
          <t>SEC_UEQ_UEQY</t>
        </is>
      </c>
      <c r="I10" s="69" t="inlineStr">
        <is>
          <t>Unlisted equities</t>
        </is>
      </c>
    </row>
    <row r="11">
      <c r="B11" s="76" t="inlineStr">
        <is>
          <t>table 1</t>
        </is>
      </c>
      <c r="D11" s="68" t="inlineStr">
        <is>
          <t>SEC</t>
        </is>
      </c>
      <c r="E11" s="68" t="inlineStr">
        <is>
          <t>Securities</t>
        </is>
      </c>
      <c r="F11" s="68" t="inlineStr">
        <is>
          <t>SEC_CPN</t>
        </is>
      </c>
      <c r="G11" s="69" t="inlineStr">
        <is>
          <t>Corporate bonds not issued by financial institutions</t>
        </is>
      </c>
      <c r="H11" s="70" t="inlineStr">
        <is>
          <t>SEC_CPN_INVG</t>
        </is>
      </c>
      <c r="I11" s="68" t="inlineStr">
        <is>
          <t>Corporate bonds not issued by financial institutions-Investment grade</t>
        </is>
      </c>
    </row>
    <row r="12">
      <c r="B12" s="76" t="inlineStr">
        <is>
          <t>table 1</t>
        </is>
      </c>
      <c r="D12" s="68" t="inlineStr">
        <is>
          <t>SEC</t>
        </is>
      </c>
      <c r="E12" s="68" t="inlineStr">
        <is>
          <t>Securities</t>
        </is>
      </c>
      <c r="F12" s="68" t="inlineStr">
        <is>
          <t>SEC_CPN</t>
        </is>
      </c>
      <c r="G12" s="69" t="inlineStr">
        <is>
          <t>Corporate bonds not issued by financial institutions</t>
        </is>
      </c>
      <c r="H12" s="70" t="inlineStr">
        <is>
          <t>SEC_CPN_NIVG</t>
        </is>
      </c>
      <c r="I12" s="68" t="inlineStr">
        <is>
          <t>Corporate bonds not issued by financial institutions-Non-investment grade</t>
        </is>
      </c>
    </row>
    <row r="13">
      <c r="B13" s="76" t="inlineStr">
        <is>
          <t>table 1</t>
        </is>
      </c>
      <c r="D13" s="68" t="inlineStr">
        <is>
          <t>SEC</t>
        </is>
      </c>
      <c r="E13" s="68" t="inlineStr">
        <is>
          <t>Securities</t>
        </is>
      </c>
      <c r="F13" s="68" t="inlineStr">
        <is>
          <t>SEC_CPI</t>
        </is>
      </c>
      <c r="G13" s="69" t="inlineStr">
        <is>
          <t>Corporate bonds issued by financial institutions</t>
        </is>
      </c>
      <c r="H13" s="70" t="inlineStr">
        <is>
          <t>SEC_CPI_INVG</t>
        </is>
      </c>
      <c r="I13" s="68" t="inlineStr">
        <is>
          <t>Corporate bonds issued by financial institutions-Investment grade</t>
        </is>
      </c>
    </row>
    <row r="14">
      <c r="B14" s="76" t="inlineStr">
        <is>
          <t>table 1</t>
        </is>
      </c>
      <c r="D14" s="68" t="inlineStr">
        <is>
          <t>SEC</t>
        </is>
      </c>
      <c r="E14" s="68" t="inlineStr">
        <is>
          <t>Securities</t>
        </is>
      </c>
      <c r="F14" s="68" t="inlineStr">
        <is>
          <t>SEC_CPI</t>
        </is>
      </c>
      <c r="G14" s="69" t="inlineStr">
        <is>
          <t>Corporate bonds issued by financial institutions</t>
        </is>
      </c>
      <c r="H14" s="70" t="inlineStr">
        <is>
          <t>SEC_CPI_NIVG</t>
        </is>
      </c>
      <c r="I14" s="68" t="inlineStr">
        <is>
          <t>Corporate bonds issued by financial institutions-Non-investment grade</t>
        </is>
      </c>
    </row>
    <row r="15">
      <c r="B15" s="76" t="inlineStr">
        <is>
          <t>table 1</t>
        </is>
      </c>
      <c r="D15" s="68" t="inlineStr">
        <is>
          <t>SEC</t>
        </is>
      </c>
      <c r="E15" s="68" t="inlineStr">
        <is>
          <t>Securities</t>
        </is>
      </c>
      <c r="F15" s="68" t="inlineStr">
        <is>
          <t>SEC_SBD</t>
        </is>
      </c>
      <c r="G15" s="70" t="inlineStr">
        <is>
          <t>Sovereign bonds</t>
        </is>
      </c>
      <c r="H15" s="70" t="inlineStr">
        <is>
          <t>SEC_SBD_EUBY</t>
        </is>
      </c>
      <c r="I15" s="70" t="inlineStr">
        <is>
          <t>EU bonds with a 0-1 year term to maturity - Can only be used when reporting to an EU/EEA country.</t>
        </is>
      </c>
    </row>
    <row r="16">
      <c r="B16" s="76" t="inlineStr">
        <is>
          <t>table 1</t>
        </is>
      </c>
      <c r="D16" s="68" t="inlineStr">
        <is>
          <t>SEC</t>
        </is>
      </c>
      <c r="E16" s="68" t="inlineStr">
        <is>
          <t>Securities</t>
        </is>
      </c>
      <c r="F16" s="68" t="inlineStr">
        <is>
          <t>SEC_SBD</t>
        </is>
      </c>
      <c r="G16" s="70" t="inlineStr">
        <is>
          <t>Sovereign bonds</t>
        </is>
      </c>
      <c r="H16" s="70" t="inlineStr">
        <is>
          <t>SEC_SBD_EUBM</t>
        </is>
      </c>
      <c r="I16" s="70" t="inlineStr">
        <is>
          <t>EU bonds with a 1+ year term to maturity - Can only be used when reporting to an EU/EEA country.</t>
        </is>
      </c>
    </row>
    <row r="17">
      <c r="B17" s="76" t="inlineStr">
        <is>
          <t>table 1</t>
        </is>
      </c>
      <c r="D17" s="68" t="inlineStr">
        <is>
          <t>SEC</t>
        </is>
      </c>
      <c r="E17" s="68" t="inlineStr">
        <is>
          <t>Securities</t>
        </is>
      </c>
      <c r="F17" s="68" t="inlineStr">
        <is>
          <t>SEC_SBD</t>
        </is>
      </c>
      <c r="G17" s="70" t="inlineStr">
        <is>
          <t>Sovereign bonds</t>
        </is>
      </c>
      <c r="H17" s="70" t="inlineStr">
        <is>
          <t>SEC_SBD_UKBY</t>
        </is>
      </c>
      <c r="I17" s="70" t="inlineStr">
        <is>
          <t>UK bonds with a 0-1 year term to maturity - Only relevant when reporting to the UK.</t>
        </is>
      </c>
    </row>
    <row r="18">
      <c r="B18" s="76" t="inlineStr">
        <is>
          <t>table 1</t>
        </is>
      </c>
      <c r="D18" s="68" t="inlineStr">
        <is>
          <t>SEC</t>
        </is>
      </c>
      <c r="E18" s="68" t="inlineStr">
        <is>
          <t>Securities</t>
        </is>
      </c>
      <c r="F18" s="68" t="inlineStr">
        <is>
          <t>SEC_SBD</t>
        </is>
      </c>
      <c r="G18" s="70" t="inlineStr">
        <is>
          <t>Sovereign bonds</t>
        </is>
      </c>
      <c r="H18" s="70" t="inlineStr">
        <is>
          <t>SEC_SBD_UKBM</t>
        </is>
      </c>
      <c r="I18" s="70" t="inlineStr">
        <is>
          <t>UK bonds with a 1+ year term to maturity - Only relevant  when reporting to the UK.</t>
        </is>
      </c>
    </row>
    <row r="19">
      <c r="B19" s="76" t="inlineStr">
        <is>
          <t>table 1</t>
        </is>
      </c>
      <c r="D19" s="68" t="inlineStr">
        <is>
          <t>SEC</t>
        </is>
      </c>
      <c r="E19" s="68" t="inlineStr">
        <is>
          <t>Securities</t>
        </is>
      </c>
      <c r="F19" s="68" t="inlineStr">
        <is>
          <t>SEC_SBD</t>
        </is>
      </c>
      <c r="G19" s="70" t="inlineStr">
        <is>
          <t>Sovereign bonds</t>
        </is>
      </c>
      <c r="H19" s="70" t="inlineStr">
        <is>
          <t>SEC_SBD_NOGY</t>
        </is>
      </c>
      <c r="I19" s="70" t="inlineStr">
        <is>
          <t>Non-G10 bonds with a 0-1 year term to maturity</t>
        </is>
      </c>
    </row>
    <row r="20">
      <c r="B20" s="76" t="inlineStr">
        <is>
          <t>table 1</t>
        </is>
      </c>
      <c r="D20" s="68" t="inlineStr">
        <is>
          <t>SEC</t>
        </is>
      </c>
      <c r="E20" s="68" t="inlineStr">
        <is>
          <t>Securities</t>
        </is>
      </c>
      <c r="F20" s="68" t="inlineStr">
        <is>
          <t>SEC_SBD</t>
        </is>
      </c>
      <c r="G20" s="70" t="inlineStr">
        <is>
          <t>Sovereign bonds</t>
        </is>
      </c>
      <c r="H20" s="70" t="inlineStr">
        <is>
          <t>SEC_SBD_NOGM</t>
        </is>
      </c>
      <c r="I20" s="70" t="inlineStr">
        <is>
          <t>Non-G10 bonds with a 1+ year term to maturity</t>
        </is>
      </c>
    </row>
    <row r="21">
      <c r="B21" s="76" t="inlineStr">
        <is>
          <t>table 1</t>
        </is>
      </c>
      <c r="D21" s="68" t="inlineStr">
        <is>
          <t>SEC</t>
        </is>
      </c>
      <c r="E21" s="68" t="inlineStr">
        <is>
          <t>Securities</t>
        </is>
      </c>
      <c r="F21" s="68" t="inlineStr">
        <is>
          <t>SEC_SBD</t>
        </is>
      </c>
      <c r="G21" s="70" t="inlineStr">
        <is>
          <t>Sovereign bonds</t>
        </is>
      </c>
      <c r="H21" s="70" t="inlineStr">
        <is>
          <t>SEC_SBD_EUGY</t>
        </is>
      </c>
      <c r="I21" s="70" t="inlineStr">
        <is>
          <t>G10 non EU bonds with a 0-1 year term to maturity</t>
        </is>
      </c>
    </row>
    <row r="22">
      <c r="B22" s="76" t="inlineStr">
        <is>
          <t>table 1</t>
        </is>
      </c>
      <c r="D22" s="68" t="inlineStr">
        <is>
          <t>SEC</t>
        </is>
      </c>
      <c r="E22" s="68" t="inlineStr">
        <is>
          <t>Securities</t>
        </is>
      </c>
      <c r="F22" s="68" t="inlineStr">
        <is>
          <t>SEC_SBD</t>
        </is>
      </c>
      <c r="G22" s="70" t="inlineStr">
        <is>
          <t>Sovereign bonds</t>
        </is>
      </c>
      <c r="H22" s="70" t="inlineStr">
        <is>
          <t>SEC_SBD_EUGM</t>
        </is>
      </c>
      <c r="I22" s="70" t="inlineStr">
        <is>
          <t>G10 non EU bonds with a 1+ year term to maturity</t>
        </is>
      </c>
    </row>
    <row r="23">
      <c r="B23" s="76" t="inlineStr">
        <is>
          <t>table 1</t>
        </is>
      </c>
      <c r="D23" s="68" t="inlineStr">
        <is>
          <t>SEC</t>
        </is>
      </c>
      <c r="E23" s="68" t="inlineStr">
        <is>
          <t>Securities</t>
        </is>
      </c>
      <c r="F23" s="68" t="inlineStr">
        <is>
          <t>SEC_MBN</t>
        </is>
      </c>
      <c r="G23" s="70" t="inlineStr">
        <is>
          <t>Municipal bonds</t>
        </is>
      </c>
      <c r="H23" s="70" t="inlineStr">
        <is>
          <t>SEC_MBN_MNPL</t>
        </is>
      </c>
      <c r="I23" s="70" t="inlineStr">
        <is>
          <t>Municipal bonds</t>
        </is>
      </c>
    </row>
    <row r="24">
      <c r="B24" s="76" t="inlineStr">
        <is>
          <t>table 1</t>
        </is>
      </c>
      <c r="D24" s="68" t="inlineStr">
        <is>
          <t>SEC</t>
        </is>
      </c>
      <c r="E24" s="68" t="inlineStr">
        <is>
          <t>Securities</t>
        </is>
      </c>
      <c r="F24" s="68" t="inlineStr">
        <is>
          <t>SEC_CBN</t>
        </is>
      </c>
      <c r="G24" s="70" t="inlineStr">
        <is>
          <t>Convertible bonds not issued by financial institutions</t>
        </is>
      </c>
      <c r="H24" s="70" t="inlineStr">
        <is>
          <t>SEC_CBN_INVG</t>
        </is>
      </c>
      <c r="I24" s="69" t="inlineStr">
        <is>
          <t>Convertible bonds not issued by financial institutions-Investment grade</t>
        </is>
      </c>
    </row>
    <row r="25">
      <c r="B25" s="76" t="inlineStr">
        <is>
          <t>table 1</t>
        </is>
      </c>
      <c r="D25" s="68" t="inlineStr">
        <is>
          <t>SEC</t>
        </is>
      </c>
      <c r="E25" s="68" t="inlineStr">
        <is>
          <t>Securities</t>
        </is>
      </c>
      <c r="F25" s="68" t="inlineStr">
        <is>
          <t>SEC_CBN</t>
        </is>
      </c>
      <c r="G25" s="70" t="inlineStr">
        <is>
          <t>Convertible bonds not issued by financial institutions</t>
        </is>
      </c>
      <c r="H25" s="70" t="inlineStr">
        <is>
          <t>SEC_CBN_NIVG</t>
        </is>
      </c>
      <c r="I25" s="69" t="inlineStr">
        <is>
          <t>Convertible bonds not issued by financial institutionsNon-investment grade</t>
        </is>
      </c>
    </row>
    <row r="26">
      <c r="B26" s="76" t="inlineStr">
        <is>
          <t>table 1</t>
        </is>
      </c>
      <c r="D26" s="68" t="inlineStr">
        <is>
          <t>SEC</t>
        </is>
      </c>
      <c r="E26" s="68" t="inlineStr">
        <is>
          <t>Securities</t>
        </is>
      </c>
      <c r="F26" s="68" t="inlineStr">
        <is>
          <t>SEC_CBI</t>
        </is>
      </c>
      <c r="G26" s="70" t="inlineStr">
        <is>
          <t>Convertible bonds issued by financial institutions</t>
        </is>
      </c>
      <c r="H26" s="70" t="inlineStr">
        <is>
          <t>SEC_CBI_INVG</t>
        </is>
      </c>
      <c r="I26" s="69" t="inlineStr">
        <is>
          <t>Convertible bonds issued by financial institutionsInvestment grade</t>
        </is>
      </c>
    </row>
    <row r="27">
      <c r="B27" s="76" t="inlineStr">
        <is>
          <t>table 1</t>
        </is>
      </c>
      <c r="D27" s="68" t="inlineStr">
        <is>
          <t>SEC</t>
        </is>
      </c>
      <c r="E27" s="68" t="inlineStr">
        <is>
          <t>Securities</t>
        </is>
      </c>
      <c r="F27" s="68" t="inlineStr">
        <is>
          <t>SEC_CBI</t>
        </is>
      </c>
      <c r="G27" s="70" t="inlineStr">
        <is>
          <t>Convertible bonds issued by financial institutions</t>
        </is>
      </c>
      <c r="H27" s="70" t="inlineStr">
        <is>
          <t>SEC_CBI_NIVG</t>
        </is>
      </c>
      <c r="I27" s="69" t="inlineStr">
        <is>
          <t>Convertible bonds issued by financial institutions-Non-investment grade</t>
        </is>
      </c>
    </row>
    <row r="28">
      <c r="B28" s="76" t="inlineStr">
        <is>
          <t>table 1</t>
        </is>
      </c>
      <c r="D28" s="68" t="inlineStr">
        <is>
          <t>SEC</t>
        </is>
      </c>
      <c r="E28" s="68" t="inlineStr">
        <is>
          <t>Securities</t>
        </is>
      </c>
      <c r="F28" s="68" t="inlineStr">
        <is>
          <t>SEC_LON</t>
        </is>
      </c>
      <c r="G28" s="70" t="inlineStr">
        <is>
          <t>Loans</t>
        </is>
      </c>
      <c r="H28" s="70" t="inlineStr">
        <is>
          <t>SEC_LON_LEVL</t>
        </is>
      </c>
      <c r="I28" s="70" t="inlineStr">
        <is>
          <t>Leveraged loans</t>
        </is>
      </c>
    </row>
    <row r="29">
      <c r="B29" s="76" t="inlineStr">
        <is>
          <t>table 1</t>
        </is>
      </c>
      <c r="D29" s="68" t="inlineStr">
        <is>
          <t>SEC</t>
        </is>
      </c>
      <c r="E29" s="68" t="inlineStr">
        <is>
          <t>Securities</t>
        </is>
      </c>
      <c r="F29" s="68" t="inlineStr">
        <is>
          <t>SEC_LON</t>
        </is>
      </c>
      <c r="G29" s="70" t="inlineStr">
        <is>
          <t>Loans</t>
        </is>
      </c>
      <c r="H29" s="70" t="inlineStr">
        <is>
          <t>SEC_LON_OTHL</t>
        </is>
      </c>
      <c r="I29" s="70" t="inlineStr">
        <is>
          <t>Other loans</t>
        </is>
      </c>
    </row>
    <row r="30">
      <c r="B30" s="76" t="inlineStr">
        <is>
          <t>table 1</t>
        </is>
      </c>
      <c r="D30" s="68" t="inlineStr">
        <is>
          <t>SEC</t>
        </is>
      </c>
      <c r="E30" s="68" t="inlineStr">
        <is>
          <t>Securities</t>
        </is>
      </c>
      <c r="F30" s="68" t="inlineStr">
        <is>
          <t>SEC_SSP</t>
        </is>
      </c>
      <c r="G30" s="70" t="inlineStr">
        <is>
          <t>Structured/securitised products</t>
        </is>
      </c>
      <c r="H30" s="70" t="inlineStr">
        <is>
          <t>SEC_SSP_SABS</t>
        </is>
      </c>
      <c r="I30" s="70" t="inlineStr">
        <is>
          <t>ABS</t>
        </is>
      </c>
    </row>
    <row r="31">
      <c r="B31" s="76" t="inlineStr">
        <is>
          <t>table 1</t>
        </is>
      </c>
      <c r="D31" s="68" t="inlineStr">
        <is>
          <t>SEC</t>
        </is>
      </c>
      <c r="E31" s="68" t="inlineStr">
        <is>
          <t>Securities</t>
        </is>
      </c>
      <c r="F31" s="68" t="inlineStr">
        <is>
          <t>SEC_SSP</t>
        </is>
      </c>
      <c r="G31" s="70" t="inlineStr">
        <is>
          <t>Structured/securitised products</t>
        </is>
      </c>
      <c r="H31" s="70" t="inlineStr">
        <is>
          <t>SEC_SSP_RMBS</t>
        </is>
      </c>
      <c r="I31" s="70" t="inlineStr">
        <is>
          <t>RMBS</t>
        </is>
      </c>
    </row>
    <row r="32">
      <c r="B32" s="76" t="inlineStr">
        <is>
          <t>table 1</t>
        </is>
      </c>
      <c r="D32" s="68" t="inlineStr">
        <is>
          <t>SEC</t>
        </is>
      </c>
      <c r="E32" s="68" t="inlineStr">
        <is>
          <t>Securities</t>
        </is>
      </c>
      <c r="F32" s="68" t="inlineStr">
        <is>
          <t>SEC_SSP</t>
        </is>
      </c>
      <c r="G32" s="70" t="inlineStr">
        <is>
          <t>Structured/securitised products</t>
        </is>
      </c>
      <c r="H32" s="70" t="inlineStr">
        <is>
          <t>SEC_SSP_CMBS</t>
        </is>
      </c>
      <c r="I32" s="70" t="inlineStr">
        <is>
          <t>CMBS</t>
        </is>
      </c>
    </row>
    <row r="33">
      <c r="B33" s="76" t="inlineStr">
        <is>
          <t>table 1</t>
        </is>
      </c>
      <c r="D33" s="68" t="inlineStr">
        <is>
          <t>SEC</t>
        </is>
      </c>
      <c r="E33" s="68" t="inlineStr">
        <is>
          <t>Securities</t>
        </is>
      </c>
      <c r="F33" s="68" t="inlineStr">
        <is>
          <t>SEC_SSP</t>
        </is>
      </c>
      <c r="G33" s="70" t="inlineStr">
        <is>
          <t>Structured/securitised products</t>
        </is>
      </c>
      <c r="H33" s="70" t="inlineStr">
        <is>
          <t>SEC_SSP_AMBS</t>
        </is>
      </c>
      <c r="I33" s="70" t="inlineStr">
        <is>
          <t>Agency MBS</t>
        </is>
      </c>
    </row>
    <row r="34">
      <c r="B34" s="76" t="inlineStr">
        <is>
          <t>table 1</t>
        </is>
      </c>
      <c r="D34" s="68" t="inlineStr">
        <is>
          <t>SEC</t>
        </is>
      </c>
      <c r="E34" s="68" t="inlineStr">
        <is>
          <t>Securities</t>
        </is>
      </c>
      <c r="F34" s="68" t="inlineStr">
        <is>
          <t>SEC_SSP</t>
        </is>
      </c>
      <c r="G34" s="70" t="inlineStr">
        <is>
          <t>Structured/securitised products</t>
        </is>
      </c>
      <c r="H34" s="70" t="inlineStr">
        <is>
          <t>SEC_SSP_ABCP</t>
        </is>
      </c>
      <c r="I34" s="70" t="inlineStr">
        <is>
          <t xml:space="preserve">ABCP </t>
        </is>
      </c>
    </row>
    <row r="35">
      <c r="B35" s="76" t="inlineStr">
        <is>
          <t>table 1</t>
        </is>
      </c>
      <c r="D35" s="68" t="inlineStr">
        <is>
          <t>SEC</t>
        </is>
      </c>
      <c r="E35" s="68" t="inlineStr">
        <is>
          <t>Securities</t>
        </is>
      </c>
      <c r="F35" s="68" t="inlineStr">
        <is>
          <t>SEC_SSP</t>
        </is>
      </c>
      <c r="G35" s="70" t="inlineStr">
        <is>
          <t>Structured/securitised products</t>
        </is>
      </c>
      <c r="H35" s="70" t="inlineStr">
        <is>
          <t>SEC_SSP_CDOC</t>
        </is>
      </c>
      <c r="I35" s="70" t="inlineStr">
        <is>
          <t>CDO/CLO</t>
        </is>
      </c>
    </row>
    <row r="36">
      <c r="B36" s="76" t="inlineStr">
        <is>
          <t>table 1</t>
        </is>
      </c>
      <c r="D36" s="68" t="inlineStr">
        <is>
          <t>SEC</t>
        </is>
      </c>
      <c r="E36" s="68" t="inlineStr">
        <is>
          <t>Securities</t>
        </is>
      </c>
      <c r="F36" s="68" t="inlineStr">
        <is>
          <t>SEC_SSP</t>
        </is>
      </c>
      <c r="G36" s="70" t="inlineStr">
        <is>
          <t>Structured/securitised products</t>
        </is>
      </c>
      <c r="H36" s="70" t="inlineStr">
        <is>
          <t>SEC_SSP_STRC</t>
        </is>
      </c>
      <c r="I36" s="70" t="inlineStr">
        <is>
          <t>Structured certificates</t>
        </is>
      </c>
    </row>
    <row r="37">
      <c r="B37" s="76" t="inlineStr">
        <is>
          <t>table 1</t>
        </is>
      </c>
      <c r="D37" s="68" t="inlineStr">
        <is>
          <t>SEC</t>
        </is>
      </c>
      <c r="E37" s="68" t="inlineStr">
        <is>
          <t>Securities</t>
        </is>
      </c>
      <c r="F37" s="68" t="inlineStr">
        <is>
          <t>SEC_SSP</t>
        </is>
      </c>
      <c r="G37" s="70" t="inlineStr">
        <is>
          <t>Structured/securitised products</t>
        </is>
      </c>
      <c r="H37" s="70" t="inlineStr">
        <is>
          <t>SEC_SSP_SETP</t>
        </is>
      </c>
      <c r="I37" s="70" t="inlineStr">
        <is>
          <t>ETP</t>
        </is>
      </c>
    </row>
    <row r="38">
      <c r="B38" s="76" t="inlineStr">
        <is>
          <t>table 1</t>
        </is>
      </c>
      <c r="D38" s="68" t="inlineStr">
        <is>
          <t>SEC</t>
        </is>
      </c>
      <c r="E38" s="68" t="inlineStr">
        <is>
          <t>Securities</t>
        </is>
      </c>
      <c r="F38" s="68" t="inlineStr">
        <is>
          <t>SEC_SSP</t>
        </is>
      </c>
      <c r="G38" s="70" t="inlineStr">
        <is>
          <t>Structured/securitised products</t>
        </is>
      </c>
      <c r="H38" s="70" t="inlineStr">
        <is>
          <t>SEC_SSP_OTHS</t>
        </is>
      </c>
      <c r="I38" s="70" t="inlineStr">
        <is>
          <t>Other Structured/securitised products</t>
        </is>
      </c>
    </row>
    <row r="39">
      <c r="B39" s="76" t="inlineStr">
        <is>
          <t>table 1</t>
        </is>
      </c>
      <c r="D39" s="68" t="inlineStr">
        <is>
          <t>DER</t>
        </is>
      </c>
      <c r="E39" s="68" t="inlineStr">
        <is>
          <t>Derivatives</t>
        </is>
      </c>
      <c r="F39" s="68" t="inlineStr">
        <is>
          <t>DER_EQD</t>
        </is>
      </c>
      <c r="G39" s="70" t="inlineStr">
        <is>
          <t>Equity derivatives</t>
        </is>
      </c>
      <c r="H39" s="70" t="inlineStr">
        <is>
          <t>DER_EQD_FINI</t>
        </is>
      </c>
      <c r="I39" s="70" t="inlineStr">
        <is>
          <t>Equity derivatives related to financial institutions</t>
        </is>
      </c>
    </row>
    <row r="40">
      <c r="B40" s="76" t="inlineStr">
        <is>
          <t>table 1</t>
        </is>
      </c>
      <c r="D40" s="68" t="inlineStr">
        <is>
          <t>DER</t>
        </is>
      </c>
      <c r="E40" s="68" t="inlineStr">
        <is>
          <t>Derivatives</t>
        </is>
      </c>
      <c r="F40" s="68" t="inlineStr">
        <is>
          <t>DER_EQD</t>
        </is>
      </c>
      <c r="G40" s="70" t="inlineStr">
        <is>
          <t>Equity derivatives</t>
        </is>
      </c>
      <c r="H40" s="70" t="inlineStr">
        <is>
          <t>DER_EQD_OTHD</t>
        </is>
      </c>
      <c r="I40" s="70" t="inlineStr">
        <is>
          <t>Other equity derivatives</t>
        </is>
      </c>
    </row>
    <row r="41">
      <c r="B41" s="76" t="inlineStr">
        <is>
          <t>table 1</t>
        </is>
      </c>
      <c r="D41" s="68" t="inlineStr">
        <is>
          <t>DER</t>
        </is>
      </c>
      <c r="E41" s="68" t="inlineStr">
        <is>
          <t>Derivatives</t>
        </is>
      </c>
      <c r="F41" s="68" t="inlineStr">
        <is>
          <t>DER_FID</t>
        </is>
      </c>
      <c r="G41" s="70" t="inlineStr">
        <is>
          <t>Fixed income derivatives</t>
        </is>
      </c>
      <c r="H41" s="70" t="inlineStr">
        <is>
          <t>DER_FID_FIXI</t>
        </is>
      </c>
      <c r="I41" s="70" t="inlineStr">
        <is>
          <t>Fixed income derivatives</t>
        </is>
      </c>
    </row>
    <row r="42">
      <c r="B42" s="76" t="inlineStr">
        <is>
          <t>table 1</t>
        </is>
      </c>
      <c r="D42" s="68" t="inlineStr">
        <is>
          <t>DER</t>
        </is>
      </c>
      <c r="E42" s="68" t="inlineStr">
        <is>
          <t>Derivatives</t>
        </is>
      </c>
      <c r="F42" s="68" t="inlineStr">
        <is>
          <t>DER_CDS</t>
        </is>
      </c>
      <c r="G42" s="70" t="inlineStr">
        <is>
          <t>CDS</t>
        </is>
      </c>
      <c r="H42" s="70" t="inlineStr">
        <is>
          <t>DER_CDS_SNFI</t>
        </is>
      </c>
      <c r="I42" s="70" t="inlineStr">
        <is>
          <t>Single name financial CDS</t>
        </is>
      </c>
    </row>
    <row r="43">
      <c r="B43" s="76" t="inlineStr">
        <is>
          <t>table 1</t>
        </is>
      </c>
      <c r="D43" s="68" t="inlineStr">
        <is>
          <t>DER</t>
        </is>
      </c>
      <c r="E43" s="68" t="inlineStr">
        <is>
          <t>Derivatives</t>
        </is>
      </c>
      <c r="F43" s="68" t="inlineStr">
        <is>
          <t>DER_CDS</t>
        </is>
      </c>
      <c r="G43" s="70" t="inlineStr">
        <is>
          <t>CDS</t>
        </is>
      </c>
      <c r="H43" s="70" t="inlineStr">
        <is>
          <t>DER_CDS_SNSO</t>
        </is>
      </c>
      <c r="I43" s="70" t="inlineStr">
        <is>
          <t>Single name sovereign CDS</t>
        </is>
      </c>
    </row>
    <row r="44">
      <c r="B44" s="76" t="inlineStr">
        <is>
          <t>table 1</t>
        </is>
      </c>
      <c r="D44" s="68" t="inlineStr">
        <is>
          <t>DER</t>
        </is>
      </c>
      <c r="E44" s="68" t="inlineStr">
        <is>
          <t>Derivatives</t>
        </is>
      </c>
      <c r="F44" s="68" t="inlineStr">
        <is>
          <t>DER_CDS</t>
        </is>
      </c>
      <c r="G44" s="70" t="inlineStr">
        <is>
          <t>CDS</t>
        </is>
      </c>
      <c r="H44" s="70" t="inlineStr">
        <is>
          <t>DER_CDS_SNOT</t>
        </is>
      </c>
      <c r="I44" s="70" t="inlineStr">
        <is>
          <t>Single name other CDS</t>
        </is>
      </c>
    </row>
    <row r="45">
      <c r="B45" s="76" t="inlineStr">
        <is>
          <t>table 1</t>
        </is>
      </c>
      <c r="D45" s="68" t="inlineStr">
        <is>
          <t>DER</t>
        </is>
      </c>
      <c r="E45" s="68" t="inlineStr">
        <is>
          <t>Derivatives</t>
        </is>
      </c>
      <c r="F45" s="68" t="inlineStr">
        <is>
          <t>DER_CDS</t>
        </is>
      </c>
      <c r="G45" s="70" t="inlineStr">
        <is>
          <t>CDS</t>
        </is>
      </c>
      <c r="H45" s="70" t="inlineStr">
        <is>
          <t>DER_CDS_INDX</t>
        </is>
      </c>
      <c r="I45" s="70" t="inlineStr">
        <is>
          <t>Index CDS</t>
        </is>
      </c>
    </row>
    <row r="46">
      <c r="B46" s="76" t="inlineStr">
        <is>
          <t>table 1</t>
        </is>
      </c>
      <c r="D46" s="68" t="inlineStr">
        <is>
          <t>DER</t>
        </is>
      </c>
      <c r="E46" s="68" t="inlineStr">
        <is>
          <t>Derivatives</t>
        </is>
      </c>
      <c r="F46" s="68" t="inlineStr">
        <is>
          <t>DER_CDS</t>
        </is>
      </c>
      <c r="G46" s="70" t="inlineStr">
        <is>
          <t>CDS</t>
        </is>
      </c>
      <c r="H46" s="70" t="inlineStr">
        <is>
          <t>DER_CDS_EXOT</t>
        </is>
      </c>
      <c r="I46" s="70" t="inlineStr">
        <is>
          <t>Exotic (incl. credit default tranche)</t>
        </is>
      </c>
    </row>
    <row r="47">
      <c r="B47" s="76" t="inlineStr">
        <is>
          <t>table 1</t>
        </is>
      </c>
      <c r="D47" s="68" t="inlineStr">
        <is>
          <t>DER</t>
        </is>
      </c>
      <c r="E47" s="68" t="inlineStr">
        <is>
          <t>Derivatives</t>
        </is>
      </c>
      <c r="F47" s="68" t="inlineStr">
        <is>
          <t>DER_CDS</t>
        </is>
      </c>
      <c r="G47" s="70" t="inlineStr">
        <is>
          <t>CDS</t>
        </is>
      </c>
      <c r="H47" s="70" t="inlineStr">
        <is>
          <t>DER_CDS_OTHR</t>
        </is>
      </c>
      <c r="I47" s="70" t="inlineStr">
        <is>
          <t>Other CDS</t>
        </is>
      </c>
    </row>
    <row r="48">
      <c r="B48" s="76" t="inlineStr">
        <is>
          <t>table 1</t>
        </is>
      </c>
      <c r="D48" s="68" t="inlineStr">
        <is>
          <t>DER</t>
        </is>
      </c>
      <c r="E48" s="68" t="inlineStr">
        <is>
          <t>Derivatives</t>
        </is>
      </c>
      <c r="F48" s="68" t="inlineStr">
        <is>
          <t>DER_FEX</t>
        </is>
      </c>
      <c r="G48" s="70" t="inlineStr">
        <is>
          <t>Foreign exchange</t>
        </is>
      </c>
      <c r="H48" s="70" t="inlineStr">
        <is>
          <t>DER_FEX_INVT</t>
        </is>
      </c>
      <c r="I48" s="70" t="inlineStr">
        <is>
          <t>Foreign exchange (for investment purposes)</t>
        </is>
      </c>
    </row>
    <row r="49">
      <c r="B49" s="76" t="inlineStr">
        <is>
          <t>table 1</t>
        </is>
      </c>
      <c r="D49" s="68" t="inlineStr">
        <is>
          <t>DER</t>
        </is>
      </c>
      <c r="E49" s="68" t="inlineStr">
        <is>
          <t>Derivatives</t>
        </is>
      </c>
      <c r="F49" s="68" t="inlineStr">
        <is>
          <t>DER_FEX</t>
        </is>
      </c>
      <c r="G49" s="70" t="inlineStr">
        <is>
          <t>Foreign exchange</t>
        </is>
      </c>
      <c r="H49" s="70" t="inlineStr">
        <is>
          <t>DER_FEX_HEDG</t>
        </is>
      </c>
      <c r="I49" s="70" t="inlineStr">
        <is>
          <t>Foreign exchange (for hedging purposes)</t>
        </is>
      </c>
    </row>
    <row r="50">
      <c r="B50" s="76" t="inlineStr">
        <is>
          <t>table 1</t>
        </is>
      </c>
      <c r="D50" s="68" t="inlineStr">
        <is>
          <t>DER</t>
        </is>
      </c>
      <c r="E50" s="68" t="inlineStr">
        <is>
          <t>Derivatives</t>
        </is>
      </c>
      <c r="F50" s="68" t="inlineStr">
        <is>
          <t>DER_IRD</t>
        </is>
      </c>
      <c r="G50" s="70" t="inlineStr">
        <is>
          <t>Interest rate derivatives</t>
        </is>
      </c>
      <c r="H50" s="70" t="inlineStr">
        <is>
          <t>DER_IRD_INTR</t>
        </is>
      </c>
      <c r="I50" s="70" t="inlineStr">
        <is>
          <t>Interest rate derivatives</t>
        </is>
      </c>
    </row>
    <row r="51">
      <c r="B51" s="76" t="inlineStr">
        <is>
          <t>table 1</t>
        </is>
      </c>
      <c r="D51" s="68" t="inlineStr">
        <is>
          <t>DER</t>
        </is>
      </c>
      <c r="E51" s="68" t="inlineStr">
        <is>
          <t>Derivatives</t>
        </is>
      </c>
      <c r="F51" s="68" t="inlineStr">
        <is>
          <t>DER_CTY</t>
        </is>
      </c>
      <c r="G51" s="70" t="inlineStr">
        <is>
          <t>Commodity derivatives</t>
        </is>
      </c>
      <c r="H51" s="70" t="inlineStr">
        <is>
          <t>DER_CTY_ECOL</t>
        </is>
      </c>
      <c r="I51" s="70" t="inlineStr">
        <is>
          <t>Energy/Crude oil</t>
        </is>
      </c>
    </row>
    <row r="52">
      <c r="B52" s="76" t="inlineStr">
        <is>
          <t>table 1</t>
        </is>
      </c>
      <c r="D52" s="68" t="inlineStr">
        <is>
          <t>DER</t>
        </is>
      </c>
      <c r="E52" s="68" t="inlineStr">
        <is>
          <t>Derivatives</t>
        </is>
      </c>
      <c r="F52" s="68" t="inlineStr">
        <is>
          <t>DER_CTY</t>
        </is>
      </c>
      <c r="G52" s="70" t="inlineStr">
        <is>
          <t>Commodity derivatives</t>
        </is>
      </c>
      <c r="H52" s="70" t="inlineStr">
        <is>
          <t>DER_CTY_ENNG</t>
        </is>
      </c>
      <c r="I52" s="70" t="inlineStr">
        <is>
          <t>Energy/Natural gas</t>
        </is>
      </c>
    </row>
    <row r="53">
      <c r="B53" s="76" t="inlineStr">
        <is>
          <t>table 1</t>
        </is>
      </c>
      <c r="D53" s="68" t="inlineStr">
        <is>
          <t>DER</t>
        </is>
      </c>
      <c r="E53" s="68" t="inlineStr">
        <is>
          <t>Derivatives</t>
        </is>
      </c>
      <c r="F53" s="68" t="inlineStr">
        <is>
          <t>DER_CTY</t>
        </is>
      </c>
      <c r="G53" s="70" t="inlineStr">
        <is>
          <t>Commodity derivatives</t>
        </is>
      </c>
      <c r="H53" s="70" t="inlineStr">
        <is>
          <t>DER_CTY_ENPW</t>
        </is>
      </c>
      <c r="I53" s="70" t="inlineStr">
        <is>
          <t>Energy/Power</t>
        </is>
      </c>
    </row>
    <row r="54">
      <c r="B54" s="76" t="inlineStr">
        <is>
          <t>table 1</t>
        </is>
      </c>
      <c r="D54" s="68" t="inlineStr">
        <is>
          <t>DER</t>
        </is>
      </c>
      <c r="E54" s="68" t="inlineStr">
        <is>
          <t>Derivatives</t>
        </is>
      </c>
      <c r="F54" s="68" t="inlineStr">
        <is>
          <t>DER_CTY</t>
        </is>
      </c>
      <c r="G54" s="70" t="inlineStr">
        <is>
          <t>Commodity derivatives</t>
        </is>
      </c>
      <c r="H54" s="70" t="inlineStr">
        <is>
          <t>DER_CTY_ENOT</t>
        </is>
      </c>
      <c r="I54" s="70" t="inlineStr">
        <is>
          <t>Energy/Other</t>
        </is>
      </c>
    </row>
    <row r="55">
      <c r="B55" s="76" t="inlineStr">
        <is>
          <t>table 1</t>
        </is>
      </c>
      <c r="D55" s="68" t="inlineStr">
        <is>
          <t>DER</t>
        </is>
      </c>
      <c r="E55" s="68" t="inlineStr">
        <is>
          <t>Derivatives</t>
        </is>
      </c>
      <c r="F55" s="68" t="inlineStr">
        <is>
          <t>DER_CTY</t>
        </is>
      </c>
      <c r="G55" s="70" t="inlineStr">
        <is>
          <t>Commodity derivatives</t>
        </is>
      </c>
      <c r="H55" s="70" t="inlineStr">
        <is>
          <t>DER_CTY_PMGD</t>
        </is>
      </c>
      <c r="I55" s="68" t="inlineStr">
        <is>
          <t xml:space="preserve">Precious metals/Gold </t>
        </is>
      </c>
    </row>
    <row r="56">
      <c r="B56" s="76" t="inlineStr">
        <is>
          <t>table 1</t>
        </is>
      </c>
      <c r="D56" s="68" t="inlineStr">
        <is>
          <t>DER</t>
        </is>
      </c>
      <c r="E56" s="68" t="inlineStr">
        <is>
          <t>Derivatives</t>
        </is>
      </c>
      <c r="F56" s="68" t="inlineStr">
        <is>
          <t>DER_CTY</t>
        </is>
      </c>
      <c r="G56" s="70" t="inlineStr">
        <is>
          <t>Commodity derivatives</t>
        </is>
      </c>
      <c r="H56" s="70" t="inlineStr">
        <is>
          <t>DER_CTY_PMOT</t>
        </is>
      </c>
      <c r="I56" s="68" t="inlineStr">
        <is>
          <t xml:space="preserve">Precious metals/Other </t>
        </is>
      </c>
    </row>
    <row r="57">
      <c r="B57" s="76" t="inlineStr">
        <is>
          <t>table 1</t>
        </is>
      </c>
      <c r="D57" s="68" t="inlineStr">
        <is>
          <t>DER</t>
        </is>
      </c>
      <c r="E57" s="68" t="inlineStr">
        <is>
          <t>Derivatives</t>
        </is>
      </c>
      <c r="F57" s="68" t="inlineStr">
        <is>
          <t>DER_CTY</t>
        </is>
      </c>
      <c r="G57" s="70" t="inlineStr">
        <is>
          <t>Commodity derivatives</t>
        </is>
      </c>
      <c r="H57" s="70" t="inlineStr">
        <is>
          <t>DER_CTY_OTIM</t>
        </is>
      </c>
      <c r="I57" s="70" t="inlineStr">
        <is>
          <t>Other commodities/Industrial metals</t>
        </is>
      </c>
    </row>
    <row r="58">
      <c r="B58" s="76" t="inlineStr">
        <is>
          <t>table 1</t>
        </is>
      </c>
      <c r="D58" s="68" t="inlineStr">
        <is>
          <t>DER</t>
        </is>
      </c>
      <c r="E58" s="68" t="inlineStr">
        <is>
          <t>Derivatives</t>
        </is>
      </c>
      <c r="F58" s="68" t="inlineStr">
        <is>
          <t>DER_CTY</t>
        </is>
      </c>
      <c r="G58" s="70" t="inlineStr">
        <is>
          <t>Commodity derivatives</t>
        </is>
      </c>
      <c r="H58" s="70" t="inlineStr">
        <is>
          <t>DER_CTY_OTLS</t>
        </is>
      </c>
      <c r="I58" s="70" t="inlineStr">
        <is>
          <t>Other commodities/Livestock</t>
        </is>
      </c>
    </row>
    <row r="59">
      <c r="B59" s="76" t="inlineStr">
        <is>
          <t>table 1</t>
        </is>
      </c>
      <c r="D59" s="68" t="inlineStr">
        <is>
          <t>DER</t>
        </is>
      </c>
      <c r="E59" s="68" t="inlineStr">
        <is>
          <t>Derivatives</t>
        </is>
      </c>
      <c r="F59" s="68" t="inlineStr">
        <is>
          <t>DER_CTY</t>
        </is>
      </c>
      <c r="G59" s="70" t="inlineStr">
        <is>
          <t>Commodity derivatives</t>
        </is>
      </c>
      <c r="H59" s="70" t="inlineStr">
        <is>
          <t>DER_CTY_OTAP</t>
        </is>
      </c>
      <c r="I59" s="70" t="inlineStr">
        <is>
          <t>Other commodities/Agricultural products</t>
        </is>
      </c>
    </row>
    <row r="60">
      <c r="B60" s="76" t="inlineStr">
        <is>
          <t>table 1</t>
        </is>
      </c>
      <c r="D60" s="68" t="inlineStr">
        <is>
          <t>DER</t>
        </is>
      </c>
      <c r="E60" s="68" t="inlineStr">
        <is>
          <t>Derivatives</t>
        </is>
      </c>
      <c r="F60" s="68" t="inlineStr">
        <is>
          <t>DER_CTY</t>
        </is>
      </c>
      <c r="G60" s="70" t="inlineStr">
        <is>
          <t>Commodity derivatives</t>
        </is>
      </c>
      <c r="H60" s="70" t="inlineStr">
        <is>
          <t>DER_CTY_OTHR</t>
        </is>
      </c>
      <c r="I60" s="70" t="inlineStr">
        <is>
          <t>Other commodities/Other</t>
        </is>
      </c>
    </row>
    <row r="61">
      <c r="B61" s="76" t="inlineStr">
        <is>
          <t>table 1</t>
        </is>
      </c>
      <c r="D61" s="68" t="inlineStr">
        <is>
          <t>DER</t>
        </is>
      </c>
      <c r="E61" s="68" t="inlineStr">
        <is>
          <t>Derivatives</t>
        </is>
      </c>
      <c r="F61" s="68" t="inlineStr">
        <is>
          <t>DER_OTH</t>
        </is>
      </c>
      <c r="G61" s="70" t="inlineStr">
        <is>
          <t>Other derivatives</t>
        </is>
      </c>
      <c r="H61" s="70" t="inlineStr">
        <is>
          <t>DER_OTH_OTHR</t>
        </is>
      </c>
      <c r="I61" s="70" t="inlineStr">
        <is>
          <t>Other derivatives</t>
        </is>
      </c>
    </row>
    <row r="62">
      <c r="B62" s="76" t="inlineStr">
        <is>
          <t>table 1</t>
        </is>
      </c>
      <c r="D62" s="68" t="inlineStr">
        <is>
          <t>PHY</t>
        </is>
      </c>
      <c r="E62" s="68" t="inlineStr">
        <is>
          <t>Physical (Real / Tangible Assets)</t>
        </is>
      </c>
      <c r="F62" s="68" t="inlineStr">
        <is>
          <t>PHY_RES</t>
        </is>
      </c>
      <c r="G62" s="68" t="inlineStr">
        <is>
          <t>Physical: real estate</t>
        </is>
      </c>
      <c r="H62" s="70" t="inlineStr">
        <is>
          <t>PHY_RES_RESL</t>
        </is>
      </c>
      <c r="I62" s="68" t="inlineStr">
        <is>
          <t>Residential real estate</t>
        </is>
      </c>
    </row>
    <row r="63">
      <c r="B63" s="76" t="inlineStr">
        <is>
          <t>table 1</t>
        </is>
      </c>
      <c r="D63" s="68" t="inlineStr">
        <is>
          <t>PHY</t>
        </is>
      </c>
      <c r="E63" s="68" t="inlineStr">
        <is>
          <t>Physical (Real / Tangible Assets)</t>
        </is>
      </c>
      <c r="F63" s="68" t="inlineStr">
        <is>
          <t>PHY_RES</t>
        </is>
      </c>
      <c r="G63" s="68" t="inlineStr">
        <is>
          <t>Physical: real estate</t>
        </is>
      </c>
      <c r="H63" s="70" t="inlineStr">
        <is>
          <t>PHY_RES_COML</t>
        </is>
      </c>
      <c r="I63" s="68" t="inlineStr">
        <is>
          <t>Commercial real estate</t>
        </is>
      </c>
    </row>
    <row r="64">
      <c r="B64" s="76" t="inlineStr">
        <is>
          <t>table 1</t>
        </is>
      </c>
      <c r="D64" s="68" t="inlineStr">
        <is>
          <t>PHY</t>
        </is>
      </c>
      <c r="E64" s="68" t="inlineStr">
        <is>
          <t>Physical (Real / Tangible Assets)</t>
        </is>
      </c>
      <c r="F64" s="68" t="inlineStr">
        <is>
          <t>PHY_RES</t>
        </is>
      </c>
      <c r="G64" s="68" t="inlineStr">
        <is>
          <t>Physical: real estate</t>
        </is>
      </c>
      <c r="H64" s="70" t="inlineStr">
        <is>
          <t>PHY_RES_OTHR</t>
        </is>
      </c>
      <c r="I64" s="68" t="inlineStr">
        <is>
          <t>Other real estate</t>
        </is>
      </c>
    </row>
    <row r="65">
      <c r="B65" s="76" t="inlineStr">
        <is>
          <t>table 1</t>
        </is>
      </c>
      <c r="D65" s="68" t="inlineStr">
        <is>
          <t>PHY</t>
        </is>
      </c>
      <c r="E65" s="68" t="inlineStr">
        <is>
          <t>Physical (Real / Tangible Assets)</t>
        </is>
      </c>
      <c r="F65" s="68" t="inlineStr">
        <is>
          <t>PHY_CTY</t>
        </is>
      </c>
      <c r="G65" s="68" t="inlineStr">
        <is>
          <t>Physical: Commodities</t>
        </is>
      </c>
      <c r="H65" s="70" t="inlineStr">
        <is>
          <t>PHY_CTY_PCTY</t>
        </is>
      </c>
      <c r="I65" s="68" t="inlineStr">
        <is>
          <t>Physical: Commodities</t>
        </is>
      </c>
    </row>
    <row r="66">
      <c r="B66" s="76" t="inlineStr">
        <is>
          <t>table 1</t>
        </is>
      </c>
      <c r="D66" s="68" t="inlineStr">
        <is>
          <t>PHY</t>
        </is>
      </c>
      <c r="E66" s="68" t="inlineStr">
        <is>
          <t>Physical (Real / Tangible Assets)</t>
        </is>
      </c>
      <c r="F66" s="68" t="inlineStr">
        <is>
          <t>PHY_TIM</t>
        </is>
      </c>
      <c r="G66" s="68" t="inlineStr">
        <is>
          <t>Physical: Timber</t>
        </is>
      </c>
      <c r="H66" s="70" t="inlineStr">
        <is>
          <t>PHY_TIM_PTIM</t>
        </is>
      </c>
      <c r="I66" s="68" t="inlineStr">
        <is>
          <t>Physical: Timber</t>
        </is>
      </c>
    </row>
    <row r="67">
      <c r="B67" s="76" t="inlineStr">
        <is>
          <t>table 1</t>
        </is>
      </c>
      <c r="D67" s="68" t="inlineStr">
        <is>
          <t>PHY</t>
        </is>
      </c>
      <c r="E67" s="68" t="inlineStr">
        <is>
          <t>Physical (Real / Tangible Assets)</t>
        </is>
      </c>
      <c r="F67" s="68" t="inlineStr">
        <is>
          <t>PHY_ART</t>
        </is>
      </c>
      <c r="G67" s="68" t="inlineStr">
        <is>
          <t>Physical: Art and collectables</t>
        </is>
      </c>
      <c r="H67" s="70" t="inlineStr">
        <is>
          <t>PHY_ART_PART</t>
        </is>
      </c>
      <c r="I67" s="68" t="inlineStr">
        <is>
          <t>Physical: Art and collectables</t>
        </is>
      </c>
    </row>
    <row r="68">
      <c r="B68" s="76" t="inlineStr">
        <is>
          <t>table 1</t>
        </is>
      </c>
      <c r="D68" s="68" t="inlineStr">
        <is>
          <t>PHY</t>
        </is>
      </c>
      <c r="E68" s="68" t="inlineStr">
        <is>
          <t>Physical (Real / Tangible Assets)</t>
        </is>
      </c>
      <c r="F68" s="68" t="inlineStr">
        <is>
          <t>PHY_TPT</t>
        </is>
      </c>
      <c r="G68" s="68" t="inlineStr">
        <is>
          <t>Physical: Transportation assets</t>
        </is>
      </c>
      <c r="H68" s="70" t="inlineStr">
        <is>
          <t>PHY_TPT_PTPT</t>
        </is>
      </c>
      <c r="I68" s="68" t="inlineStr">
        <is>
          <t>Physical: Transportation assets</t>
        </is>
      </c>
    </row>
    <row r="69">
      <c r="B69" s="76" t="inlineStr">
        <is>
          <t>table 1</t>
        </is>
      </c>
      <c r="D69" s="68" t="inlineStr">
        <is>
          <t>PHY</t>
        </is>
      </c>
      <c r="E69" s="68" t="inlineStr">
        <is>
          <t>Physical (Real / Tangible Assets)</t>
        </is>
      </c>
      <c r="F69" s="68" t="inlineStr">
        <is>
          <t>PHY_OTH</t>
        </is>
      </c>
      <c r="G69" s="68" t="inlineStr">
        <is>
          <t>Physical: Other</t>
        </is>
      </c>
      <c r="H69" s="70" t="inlineStr">
        <is>
          <t>PHY_OTH_OTHR</t>
        </is>
      </c>
      <c r="I69" s="68" t="inlineStr">
        <is>
          <t>Physical: Other</t>
        </is>
      </c>
    </row>
    <row r="70" ht="22.5" customHeight="1">
      <c r="B70" s="76" t="inlineStr">
        <is>
          <t>table 1</t>
        </is>
      </c>
      <c r="D70" s="68" t="inlineStr">
        <is>
          <t>CIU</t>
        </is>
      </c>
      <c r="E70" s="68" t="inlineStr">
        <is>
          <t>Collective Investment Undertakings</t>
        </is>
      </c>
      <c r="F70" s="68" t="inlineStr">
        <is>
          <t>CIU_OAM</t>
        </is>
      </c>
      <c r="G70" s="68" t="inlineStr">
        <is>
          <t>Investment in CIU operated/managed by the AIFM</t>
        </is>
      </c>
      <c r="H70" s="70" t="inlineStr">
        <is>
          <t>CIU_OAM_MMFC</t>
        </is>
      </c>
      <c r="I70" s="68" t="inlineStr">
        <is>
          <t>Investment in CIU operated/managed by the AIFM-Money Market Funds and cash management CIU</t>
        </is>
      </c>
    </row>
    <row r="71">
      <c r="B71" s="76" t="inlineStr">
        <is>
          <t>table 1</t>
        </is>
      </c>
      <c r="D71" s="68" t="inlineStr">
        <is>
          <t>CIU</t>
        </is>
      </c>
      <c r="E71" s="68" t="inlineStr">
        <is>
          <t>Collective Investment Undertakings</t>
        </is>
      </c>
      <c r="F71" s="68" t="inlineStr">
        <is>
          <t>CIU_OAM</t>
        </is>
      </c>
      <c r="G71" s="68" t="inlineStr">
        <is>
          <t>Investment in CIU operated/managed by the AIFM</t>
        </is>
      </c>
      <c r="H71" s="70" t="inlineStr">
        <is>
          <t>CIU_OAM_AETF</t>
        </is>
      </c>
      <c r="I71" s="68" t="inlineStr">
        <is>
          <t>Investment in CIU operated/managed by the AIFM-ETF</t>
        </is>
      </c>
    </row>
    <row r="72">
      <c r="B72" s="76" t="inlineStr">
        <is>
          <t>table 1</t>
        </is>
      </c>
      <c r="D72" s="68" t="inlineStr">
        <is>
          <t>CIU</t>
        </is>
      </c>
      <c r="E72" s="68" t="inlineStr">
        <is>
          <t>Collective Investment Undertakings</t>
        </is>
      </c>
      <c r="F72" s="68" t="inlineStr">
        <is>
          <t>CIU_OAM</t>
        </is>
      </c>
      <c r="G72" s="68" t="inlineStr">
        <is>
          <t>Investment in CIU operated/managed by the AIFM</t>
        </is>
      </c>
      <c r="H72" s="70" t="inlineStr">
        <is>
          <t>CIU_OAM_OTHR</t>
        </is>
      </c>
      <c r="I72" s="68" t="inlineStr">
        <is>
          <t>Investment in CIU operated/managed by the AIFM-Other CIU</t>
        </is>
      </c>
    </row>
    <row r="73" ht="22.5" customHeight="1">
      <c r="B73" s="76" t="inlineStr">
        <is>
          <t>table 1</t>
        </is>
      </c>
      <c r="D73" s="68" t="inlineStr">
        <is>
          <t>CIU</t>
        </is>
      </c>
      <c r="E73" s="68" t="inlineStr">
        <is>
          <t>Collective Investment Undertakings</t>
        </is>
      </c>
      <c r="F73" s="68" t="inlineStr">
        <is>
          <t>CIU_NAM</t>
        </is>
      </c>
      <c r="G73" s="68" t="inlineStr">
        <is>
          <t>Investment in CIU not operated/managed by the AIFM</t>
        </is>
      </c>
      <c r="H73" s="70" t="inlineStr">
        <is>
          <t>CIU_NAM_MMFC</t>
        </is>
      </c>
      <c r="I73" s="68" t="inlineStr">
        <is>
          <t>Investment in CIU not operated/managed by the AIFM-Money Market Funds and cash management CIU</t>
        </is>
      </c>
    </row>
    <row r="74">
      <c r="B74" s="76" t="inlineStr">
        <is>
          <t>table 1</t>
        </is>
      </c>
      <c r="D74" s="68" t="inlineStr">
        <is>
          <t>CIU</t>
        </is>
      </c>
      <c r="E74" s="68" t="inlineStr">
        <is>
          <t>Collective Investment Undertakings</t>
        </is>
      </c>
      <c r="F74" s="68" t="inlineStr">
        <is>
          <t>CIU_NAM</t>
        </is>
      </c>
      <c r="G74" s="68" t="inlineStr">
        <is>
          <t>Investment in CIU not operated/managed by the AIFM</t>
        </is>
      </c>
      <c r="H74" s="70" t="inlineStr">
        <is>
          <t>CIU_NAM_AETF</t>
        </is>
      </c>
      <c r="I74" s="68" t="inlineStr">
        <is>
          <t>Investment in CIU not operated/managed by the AIFM-ETF</t>
        </is>
      </c>
    </row>
    <row r="75">
      <c r="B75" s="76" t="inlineStr">
        <is>
          <t>table 1</t>
        </is>
      </c>
      <c r="D75" s="68" t="inlineStr">
        <is>
          <t>CIU</t>
        </is>
      </c>
      <c r="E75" s="68" t="inlineStr">
        <is>
          <t>Collective Investment Undertakings</t>
        </is>
      </c>
      <c r="F75" s="68" t="inlineStr">
        <is>
          <t>CIU_NAM</t>
        </is>
      </c>
      <c r="G75" s="68" t="inlineStr">
        <is>
          <t>Investment in CIU not operated/managed by the AIFM</t>
        </is>
      </c>
      <c r="H75" s="70" t="inlineStr">
        <is>
          <t>CIU_NAM_OTHR</t>
        </is>
      </c>
      <c r="I75" s="68" t="inlineStr">
        <is>
          <t>Investment in CIU not operated/managed by the AIFM-Other CIU</t>
        </is>
      </c>
    </row>
    <row r="76">
      <c r="B76" s="76" t="inlineStr">
        <is>
          <t>table 1</t>
        </is>
      </c>
      <c r="D76" s="68" t="inlineStr">
        <is>
          <t>OTH</t>
        </is>
      </c>
      <c r="E76" s="68" t="inlineStr">
        <is>
          <t>Investments in other asset classes</t>
        </is>
      </c>
      <c r="F76" s="68" t="inlineStr">
        <is>
          <t>OTH_OTH</t>
        </is>
      </c>
      <c r="G76" s="68" t="inlineStr">
        <is>
          <t>Total Other</t>
        </is>
      </c>
      <c r="H76" s="70" t="inlineStr">
        <is>
          <t>OTH_OTH_OTHR</t>
        </is>
      </c>
      <c r="I76" s="68" t="inlineStr">
        <is>
          <t>Total Other</t>
        </is>
      </c>
    </row>
    <row r="77">
      <c r="B77" s="76" t="n"/>
    </row>
    <row r="78">
      <c r="B78" s="76" t="inlineStr">
        <is>
          <t>table 2</t>
        </is>
      </c>
      <c r="H78" s="299" t="inlineStr">
        <is>
          <t>Sub-Asset Type for Turnover</t>
        </is>
      </c>
      <c r="I78" s="294" t="n"/>
    </row>
    <row r="79" ht="22.5" customHeight="1">
      <c r="B79" s="76" t="inlineStr">
        <is>
          <t>table 2</t>
        </is>
      </c>
      <c r="H79" s="140" t="inlineStr">
        <is>
          <t>Code
TURNOVER (field 125)</t>
        </is>
      </c>
      <c r="I79" s="67" t="inlineStr">
        <is>
          <t>Label</t>
        </is>
      </c>
    </row>
    <row r="80">
      <c r="B80" s="76" t="inlineStr">
        <is>
          <t>table 2</t>
        </is>
      </c>
      <c r="F80" s="143" t="n"/>
      <c r="H80" s="142" t="inlineStr">
        <is>
          <t>SEC_CSH_CSH</t>
        </is>
      </c>
      <c r="I80" s="142" t="inlineStr">
        <is>
          <t>Cash and cash equivalents</t>
        </is>
      </c>
    </row>
    <row r="81">
      <c r="B81" s="76" t="inlineStr">
        <is>
          <t>table 2</t>
        </is>
      </c>
      <c r="F81" s="143" t="n"/>
      <c r="H81" s="142" t="inlineStr">
        <is>
          <t>SEC_LEQ_LEQ</t>
        </is>
      </c>
      <c r="I81" s="142" t="inlineStr">
        <is>
          <t>Listed equities</t>
        </is>
      </c>
    </row>
    <row r="82">
      <c r="B82" s="76" t="inlineStr">
        <is>
          <t>table 2</t>
        </is>
      </c>
      <c r="F82" s="143" t="n"/>
      <c r="H82" s="142" t="inlineStr">
        <is>
          <t>SEC_UEQ_UEQ</t>
        </is>
      </c>
      <c r="I82" s="142" t="inlineStr">
        <is>
          <t>Unlisted equities</t>
        </is>
      </c>
    </row>
    <row r="83">
      <c r="B83" s="76" t="inlineStr">
        <is>
          <t>table 2</t>
        </is>
      </c>
      <c r="F83" s="143" t="n"/>
      <c r="H83" s="142" t="inlineStr">
        <is>
          <t>SEC_CPN_IVG</t>
        </is>
      </c>
      <c r="I83" s="141" t="inlineStr">
        <is>
          <t>Corporate bonds not issued by financial institutions-Investment grade</t>
        </is>
      </c>
    </row>
    <row r="84">
      <c r="B84" s="76" t="inlineStr">
        <is>
          <t>table 2</t>
        </is>
      </c>
      <c r="F84" s="143" t="n"/>
      <c r="H84" s="142" t="inlineStr">
        <is>
          <t>SEC_CPN_NIG</t>
        </is>
      </c>
      <c r="I84" s="141" t="inlineStr">
        <is>
          <t>Corporate bonds not issued by financial institutions-Non-investment grade</t>
        </is>
      </c>
    </row>
    <row r="85">
      <c r="B85" s="76" t="inlineStr">
        <is>
          <t>table 2</t>
        </is>
      </c>
      <c r="F85" s="143" t="n"/>
      <c r="H85" s="142" t="inlineStr">
        <is>
          <t>SEC_CPI_CPI</t>
        </is>
      </c>
      <c r="I85" s="142" t="inlineStr">
        <is>
          <t>Corporate bonds issued by financial institutions</t>
        </is>
      </c>
    </row>
    <row r="86">
      <c r="B86" s="76" t="inlineStr">
        <is>
          <t>table 2</t>
        </is>
      </c>
      <c r="F86" s="143" t="n"/>
      <c r="H86" s="142" t="inlineStr">
        <is>
          <t>SEC_SBD_EUB</t>
        </is>
      </c>
      <c r="I86" s="142" t="inlineStr">
        <is>
          <t>Sovereign bonds - EU Member State bonds</t>
        </is>
      </c>
    </row>
    <row r="87">
      <c r="B87" s="76" t="inlineStr">
        <is>
          <t>table 2</t>
        </is>
      </c>
      <c r="F87" s="143" t="n"/>
      <c r="H87" s="142" t="inlineStr">
        <is>
          <t>SEC_SBD_NEU</t>
        </is>
      </c>
      <c r="I87" s="142" t="inlineStr">
        <is>
          <t>Sovereign bonds - Non EU Member State bonds</t>
        </is>
      </c>
    </row>
    <row r="88">
      <c r="B88" s="76" t="inlineStr">
        <is>
          <t>table 2</t>
        </is>
      </c>
      <c r="F88" s="143" t="n"/>
      <c r="H88" s="142" t="inlineStr">
        <is>
          <t>SEC_MUN_MUN</t>
        </is>
      </c>
      <c r="I88" s="142" t="inlineStr">
        <is>
          <t>Municipal bonds</t>
        </is>
      </c>
    </row>
    <row r="89">
      <c r="B89" s="76" t="inlineStr">
        <is>
          <t>table 2</t>
        </is>
      </c>
      <c r="F89" s="143" t="n"/>
      <c r="H89" s="142" t="inlineStr">
        <is>
          <t>SEC_CBD_CBD</t>
        </is>
      </c>
      <c r="I89" s="142" t="inlineStr">
        <is>
          <t>Convertible bonds</t>
        </is>
      </c>
    </row>
    <row r="90">
      <c r="B90" s="76" t="inlineStr">
        <is>
          <t>table 2</t>
        </is>
      </c>
      <c r="F90" s="143" t="n"/>
      <c r="H90" s="142" t="inlineStr">
        <is>
          <t>SEC_LON_LON</t>
        </is>
      </c>
      <c r="I90" s="142" t="inlineStr">
        <is>
          <t>Loans</t>
        </is>
      </c>
    </row>
    <row r="91">
      <c r="B91" s="76" t="inlineStr">
        <is>
          <t>table 2</t>
        </is>
      </c>
      <c r="F91" s="143" t="n"/>
      <c r="H91" s="142" t="inlineStr">
        <is>
          <t>SEC_SSP_SSP</t>
        </is>
      </c>
      <c r="I91" s="142" t="inlineStr">
        <is>
          <t>Structured/securitised products</t>
        </is>
      </c>
    </row>
    <row r="92">
      <c r="B92" s="76" t="inlineStr">
        <is>
          <t>table 2</t>
        </is>
      </c>
      <c r="F92" s="143" t="n"/>
      <c r="H92" s="142" t="inlineStr">
        <is>
          <t>DER_EQD_EQD</t>
        </is>
      </c>
      <c r="I92" s="142" t="inlineStr">
        <is>
          <t>Equity derivatives</t>
        </is>
      </c>
    </row>
    <row r="93">
      <c r="B93" s="76" t="inlineStr">
        <is>
          <t>table 2</t>
        </is>
      </c>
      <c r="F93" s="143" t="n"/>
      <c r="H93" s="142" t="inlineStr">
        <is>
          <t>DER_FID_FID</t>
        </is>
      </c>
      <c r="I93" s="142" t="inlineStr">
        <is>
          <t>Fixed income derivatives</t>
        </is>
      </c>
    </row>
    <row r="94">
      <c r="B94" s="76" t="inlineStr">
        <is>
          <t>table 2</t>
        </is>
      </c>
      <c r="F94" s="143" t="n"/>
      <c r="H94" s="142" t="inlineStr">
        <is>
          <t>DER_CDS_CDS</t>
        </is>
      </c>
      <c r="I94" s="142" t="inlineStr">
        <is>
          <t>CDS</t>
        </is>
      </c>
    </row>
    <row r="95">
      <c r="B95" s="76" t="inlineStr">
        <is>
          <t>table 2</t>
        </is>
      </c>
      <c r="F95" s="143" t="n"/>
      <c r="H95" s="142" t="inlineStr">
        <is>
          <t>DER_FEX_INV</t>
        </is>
      </c>
      <c r="I95" s="142" t="inlineStr">
        <is>
          <t>Foreign exchange (for investment purposes)</t>
        </is>
      </c>
    </row>
    <row r="96">
      <c r="B96" s="76" t="inlineStr">
        <is>
          <t>table 2</t>
        </is>
      </c>
      <c r="F96" s="143" t="n"/>
      <c r="H96" s="142" t="inlineStr">
        <is>
          <t>DER_FEX_HED</t>
        </is>
      </c>
      <c r="I96" s="142" t="inlineStr">
        <is>
          <t>Foreign exchange (for hedging purposes)</t>
        </is>
      </c>
    </row>
    <row r="97">
      <c r="B97" s="76" t="inlineStr">
        <is>
          <t>table 2</t>
        </is>
      </c>
      <c r="F97" s="143" t="n"/>
      <c r="H97" s="142" t="inlineStr">
        <is>
          <t>DER_IRD_IRD</t>
        </is>
      </c>
      <c r="I97" s="142" t="inlineStr">
        <is>
          <t>Interest rate derivatives</t>
        </is>
      </c>
    </row>
    <row r="98">
      <c r="B98" s="76" t="inlineStr">
        <is>
          <t>table 2</t>
        </is>
      </c>
      <c r="F98" s="143" t="n"/>
      <c r="H98" s="142" t="inlineStr">
        <is>
          <t>DER_CTY_CTY</t>
        </is>
      </c>
      <c r="I98" s="142" t="inlineStr">
        <is>
          <t>Commodity derivatives</t>
        </is>
      </c>
    </row>
    <row r="99">
      <c r="B99" s="76" t="inlineStr">
        <is>
          <t>table 2</t>
        </is>
      </c>
      <c r="F99" s="143" t="n"/>
      <c r="H99" s="142" t="inlineStr">
        <is>
          <t>DER_OTH_OTH</t>
        </is>
      </c>
      <c r="I99" s="142" t="inlineStr">
        <is>
          <t>Other derivatives</t>
        </is>
      </c>
    </row>
    <row r="100">
      <c r="B100" s="76" t="inlineStr">
        <is>
          <t>table 2</t>
        </is>
      </c>
      <c r="F100" s="143" t="n"/>
      <c r="H100" s="142" t="inlineStr">
        <is>
          <t>PHY_RES_RES</t>
        </is>
      </c>
      <c r="I100" s="141" t="inlineStr">
        <is>
          <t>Physical: Real estate</t>
        </is>
      </c>
    </row>
    <row r="101">
      <c r="B101" s="76" t="inlineStr">
        <is>
          <t>table 2</t>
        </is>
      </c>
      <c r="F101" s="143" t="n"/>
      <c r="H101" s="142" t="inlineStr">
        <is>
          <t>PHY_CTY_CTY</t>
        </is>
      </c>
      <c r="I101" s="141" t="inlineStr">
        <is>
          <t>Physical: Commodities</t>
        </is>
      </c>
    </row>
    <row r="102">
      <c r="B102" s="76" t="inlineStr">
        <is>
          <t>table 2</t>
        </is>
      </c>
      <c r="F102" s="143" t="n"/>
      <c r="H102" s="142" t="inlineStr">
        <is>
          <t>PHY_TIM_TIM</t>
        </is>
      </c>
      <c r="I102" s="141" t="inlineStr">
        <is>
          <t>Physical: Timber</t>
        </is>
      </c>
    </row>
    <row r="103">
      <c r="B103" s="76" t="inlineStr">
        <is>
          <t>table 2</t>
        </is>
      </c>
      <c r="F103" s="143" t="n"/>
      <c r="H103" s="142" t="inlineStr">
        <is>
          <t>PHY_ART_ART</t>
        </is>
      </c>
      <c r="I103" s="141" t="inlineStr">
        <is>
          <t>Physical: Art and collectables</t>
        </is>
      </c>
    </row>
    <row r="104">
      <c r="B104" s="76" t="inlineStr">
        <is>
          <t>table 2</t>
        </is>
      </c>
      <c r="F104" s="143" t="n"/>
      <c r="H104" s="142" t="inlineStr">
        <is>
          <t>PHY_TPT_TPT</t>
        </is>
      </c>
      <c r="I104" s="141" t="inlineStr">
        <is>
          <t>Physical: Transportation assets</t>
        </is>
      </c>
    </row>
    <row r="105">
      <c r="B105" s="76" t="inlineStr">
        <is>
          <t>table 2</t>
        </is>
      </c>
      <c r="F105" s="143" t="n"/>
      <c r="H105" s="142" t="inlineStr">
        <is>
          <t>PHY_OTH_OTH</t>
        </is>
      </c>
      <c r="I105" s="141" t="inlineStr">
        <is>
          <t>Physical: Other</t>
        </is>
      </c>
    </row>
    <row r="106">
      <c r="B106" s="76" t="inlineStr">
        <is>
          <t>table 2</t>
        </is>
      </c>
      <c r="F106" s="143" t="n"/>
      <c r="H106" s="142" t="inlineStr">
        <is>
          <t>CIU_CIU_CIU</t>
        </is>
      </c>
      <c r="I106" s="141" t="inlineStr">
        <is>
          <t>Collective Investment Undertakings</t>
        </is>
      </c>
    </row>
    <row r="107">
      <c r="B107" s="76" t="inlineStr">
        <is>
          <t>table 2</t>
        </is>
      </c>
      <c r="F107" s="143" t="n"/>
      <c r="H107" s="142" t="inlineStr">
        <is>
          <t>OTH_OTH_OTH</t>
        </is>
      </c>
      <c r="I107" s="141" t="inlineStr">
        <is>
          <t>Total Other</t>
        </is>
      </c>
    </row>
    <row r="108">
      <c r="B108" s="77" t="n"/>
    </row>
    <row r="109" ht="22.5" customHeight="1">
      <c r="B109" s="76" t="inlineStr">
        <is>
          <t>table 3</t>
        </is>
      </c>
      <c r="C109" s="166" t="n"/>
      <c r="D109" s="167" t="n"/>
      <c r="E109" s="168" t="inlineStr">
        <is>
          <t>AIF type label</t>
        </is>
      </c>
      <c r="F109" s="169" t="inlineStr">
        <is>
          <t>AIF strategy code
STRATEGY (field 58)</t>
        </is>
      </c>
      <c r="G109" s="170" t="inlineStr">
        <is>
          <t>AIF strategy label</t>
        </is>
      </c>
    </row>
    <row r="110">
      <c r="B110" s="76" t="inlineStr">
        <is>
          <t>table 3</t>
        </is>
      </c>
      <c r="C110" s="166" t="n"/>
      <c r="D110" s="146" t="inlineStr">
        <is>
          <t>HFND</t>
        </is>
      </c>
      <c r="E110" s="144" t="inlineStr">
        <is>
          <t xml:space="preserve"> Hedge fund strategies</t>
        </is>
      </c>
      <c r="F110" s="144" t="inlineStr">
        <is>
          <t>EQTY_LGBS</t>
        </is>
      </c>
      <c r="G110" s="164" t="inlineStr">
        <is>
          <t>Equity: Long Bias</t>
        </is>
      </c>
    </row>
    <row r="111">
      <c r="B111" s="76" t="inlineStr">
        <is>
          <t>table 3</t>
        </is>
      </c>
      <c r="C111" s="166" t="n"/>
      <c r="D111" s="146" t="inlineStr">
        <is>
          <t>HFND</t>
        </is>
      </c>
      <c r="E111" s="144" t="inlineStr">
        <is>
          <t xml:space="preserve"> Hedge fund strategies</t>
        </is>
      </c>
      <c r="F111" s="144" t="inlineStr">
        <is>
          <t>EQTY_LGST</t>
        </is>
      </c>
      <c r="G111" s="164" t="inlineStr">
        <is>
          <t>Equity: Long/Short</t>
        </is>
      </c>
    </row>
    <row r="112">
      <c r="B112" s="76" t="inlineStr">
        <is>
          <t>table 3</t>
        </is>
      </c>
      <c r="C112" s="166" t="n"/>
      <c r="D112" s="146" t="inlineStr">
        <is>
          <t>HFND</t>
        </is>
      </c>
      <c r="E112" s="144" t="inlineStr">
        <is>
          <t xml:space="preserve"> Hedge fund strategies</t>
        </is>
      </c>
      <c r="F112" s="144" t="inlineStr">
        <is>
          <t>EQTY_MTNL</t>
        </is>
      </c>
      <c r="G112" s="164" t="inlineStr">
        <is>
          <t>Equity: Market neutral</t>
        </is>
      </c>
    </row>
    <row r="113">
      <c r="B113" s="76" t="inlineStr">
        <is>
          <t>table 3</t>
        </is>
      </c>
      <c r="C113" s="166" t="n"/>
      <c r="D113" s="146" t="inlineStr">
        <is>
          <t>HFND</t>
        </is>
      </c>
      <c r="E113" s="144" t="inlineStr">
        <is>
          <t xml:space="preserve"> Hedge fund strategies</t>
        </is>
      </c>
      <c r="F113" s="144" t="inlineStr">
        <is>
          <t>EQTY_STBS</t>
        </is>
      </c>
      <c r="G113" s="164" t="inlineStr">
        <is>
          <t>Equity: Short Bias</t>
        </is>
      </c>
    </row>
    <row r="114">
      <c r="B114" s="76" t="inlineStr">
        <is>
          <t>table 3</t>
        </is>
      </c>
      <c r="C114" s="166" t="n"/>
      <c r="D114" s="146" t="inlineStr">
        <is>
          <t>HFND</t>
        </is>
      </c>
      <c r="E114" s="144" t="inlineStr">
        <is>
          <t xml:space="preserve"> Hedge fund strategies</t>
        </is>
      </c>
      <c r="F114" s="144" t="inlineStr">
        <is>
          <t>RELV_FXIA</t>
        </is>
      </c>
      <c r="G114" s="164" t="inlineStr">
        <is>
          <t>Relative Value: Fixed Income Arbitrage</t>
        </is>
      </c>
    </row>
    <row r="115">
      <c r="B115" s="76" t="inlineStr">
        <is>
          <t>table 3</t>
        </is>
      </c>
      <c r="C115" s="166" t="n"/>
      <c r="D115" s="146" t="inlineStr">
        <is>
          <t>HFND</t>
        </is>
      </c>
      <c r="E115" s="144" t="inlineStr">
        <is>
          <t xml:space="preserve"> Hedge fund strategies</t>
        </is>
      </c>
      <c r="F115" s="144" t="inlineStr">
        <is>
          <t>RELV_CBAR</t>
        </is>
      </c>
      <c r="G115" s="164" t="inlineStr">
        <is>
          <t>Relative Value: Convertible Bond Arbitrage</t>
        </is>
      </c>
    </row>
    <row r="116">
      <c r="B116" s="76" t="inlineStr">
        <is>
          <t>table 3</t>
        </is>
      </c>
      <c r="C116" s="166" t="n"/>
      <c r="D116" s="146" t="inlineStr">
        <is>
          <t>HFND</t>
        </is>
      </c>
      <c r="E116" s="144" t="inlineStr">
        <is>
          <t xml:space="preserve"> Hedge fund strategies</t>
        </is>
      </c>
      <c r="F116" s="144" t="inlineStr">
        <is>
          <t>RELV_VLAR</t>
        </is>
      </c>
      <c r="G116" s="164" t="inlineStr">
        <is>
          <t>Relative Value: Volatility Arbitrage</t>
        </is>
      </c>
    </row>
    <row r="117">
      <c r="B117" s="76" t="inlineStr">
        <is>
          <t>table 3</t>
        </is>
      </c>
      <c r="C117" s="166" t="n"/>
      <c r="D117" s="146" t="inlineStr">
        <is>
          <t>HFND</t>
        </is>
      </c>
      <c r="E117" s="144" t="inlineStr">
        <is>
          <t xml:space="preserve"> Hedge fund strategies</t>
        </is>
      </c>
      <c r="F117" s="144" t="inlineStr">
        <is>
          <t>EVDR_DSRS</t>
        </is>
      </c>
      <c r="G117" s="164" t="inlineStr">
        <is>
          <t>Event Driven: Distressed/Restructuring</t>
        </is>
      </c>
    </row>
    <row r="118">
      <c r="B118" s="76" t="inlineStr">
        <is>
          <t>table 3</t>
        </is>
      </c>
      <c r="C118" s="166" t="n"/>
      <c r="D118" s="146" t="inlineStr">
        <is>
          <t>HFND</t>
        </is>
      </c>
      <c r="E118" s="144" t="inlineStr">
        <is>
          <t xml:space="preserve"> Hedge fund strategies</t>
        </is>
      </c>
      <c r="F118" s="144" t="inlineStr">
        <is>
          <t>EVDR_RAMA</t>
        </is>
      </c>
      <c r="G118" s="164" t="inlineStr">
        <is>
          <t>Event Driven: Risk Arbitrage/Merger Arbitrage</t>
        </is>
      </c>
    </row>
    <row r="119">
      <c r="B119" s="76" t="inlineStr">
        <is>
          <t>table 3</t>
        </is>
      </c>
      <c r="C119" s="166" t="n"/>
      <c r="D119" s="146" t="inlineStr">
        <is>
          <t>HFND</t>
        </is>
      </c>
      <c r="E119" s="144" t="inlineStr">
        <is>
          <t xml:space="preserve"> Hedge fund strategies</t>
        </is>
      </c>
      <c r="F119" s="144" t="inlineStr">
        <is>
          <t>EVDR_EYSS</t>
        </is>
      </c>
      <c r="G119" s="164" t="inlineStr">
        <is>
          <t>Event Driven: Equity Special Situations</t>
        </is>
      </c>
    </row>
    <row r="120">
      <c r="B120" s="76" t="inlineStr">
        <is>
          <t>table 3</t>
        </is>
      </c>
      <c r="C120" s="166" t="n"/>
      <c r="D120" s="146" t="inlineStr">
        <is>
          <t>HFND</t>
        </is>
      </c>
      <c r="E120" s="144" t="inlineStr">
        <is>
          <t xml:space="preserve"> Hedge fund strategies</t>
        </is>
      </c>
      <c r="F120" s="144" t="inlineStr">
        <is>
          <t>CRED_LGST</t>
        </is>
      </c>
      <c r="G120" s="164" t="inlineStr">
        <is>
          <t>Credit Long/Short</t>
        </is>
      </c>
    </row>
    <row r="121">
      <c r="B121" s="76" t="inlineStr">
        <is>
          <t>table 3</t>
        </is>
      </c>
      <c r="C121" s="166" t="n"/>
      <c r="D121" s="146" t="inlineStr">
        <is>
          <t>HFND</t>
        </is>
      </c>
      <c r="E121" s="144" t="inlineStr">
        <is>
          <t xml:space="preserve"> Hedge fund strategies</t>
        </is>
      </c>
      <c r="F121" s="144" t="inlineStr">
        <is>
          <t>CRED_ABLG</t>
        </is>
      </c>
      <c r="G121" s="164" t="inlineStr">
        <is>
          <t>Credit Asset Based Lending</t>
        </is>
      </c>
    </row>
    <row r="122">
      <c r="B122" s="76" t="inlineStr">
        <is>
          <t>table 3</t>
        </is>
      </c>
      <c r="C122" s="166" t="n"/>
      <c r="D122" s="146" t="inlineStr">
        <is>
          <t>HFND</t>
        </is>
      </c>
      <c r="E122" s="144" t="inlineStr">
        <is>
          <t xml:space="preserve"> Hedge fund strategies</t>
        </is>
      </c>
      <c r="F122" s="144" t="inlineStr">
        <is>
          <t>MACR_MACR</t>
        </is>
      </c>
      <c r="G122" s="164" t="inlineStr">
        <is>
          <t>Macro</t>
        </is>
      </c>
    </row>
    <row r="123">
      <c r="B123" s="76" t="inlineStr">
        <is>
          <t>table 3</t>
        </is>
      </c>
      <c r="C123" s="166" t="n"/>
      <c r="D123" s="146" t="inlineStr">
        <is>
          <t>HFND</t>
        </is>
      </c>
      <c r="E123" s="144" t="inlineStr">
        <is>
          <t xml:space="preserve"> Hedge fund strategies</t>
        </is>
      </c>
      <c r="F123" s="144" t="inlineStr">
        <is>
          <t>MANF_CTAF</t>
        </is>
      </c>
      <c r="G123" s="164" t="inlineStr">
        <is>
          <t>Managed Futures/CTA: Fundamental</t>
        </is>
      </c>
    </row>
    <row r="124">
      <c r="B124" s="76" t="inlineStr">
        <is>
          <t>table 3</t>
        </is>
      </c>
      <c r="C124" s="166" t="n"/>
      <c r="D124" s="146" t="inlineStr">
        <is>
          <t>HFND</t>
        </is>
      </c>
      <c r="E124" s="144" t="inlineStr">
        <is>
          <t xml:space="preserve"> Hedge fund strategies</t>
        </is>
      </c>
      <c r="F124" s="144" t="inlineStr">
        <is>
          <t>MANF_CTAQ</t>
        </is>
      </c>
      <c r="G124" s="164" t="inlineStr">
        <is>
          <t>Managed Futures/CTA: Quantitative</t>
        </is>
      </c>
    </row>
    <row r="125">
      <c r="B125" s="76" t="inlineStr">
        <is>
          <t>table 3</t>
        </is>
      </c>
      <c r="C125" s="166" t="n"/>
      <c r="D125" s="171" t="inlineStr">
        <is>
          <t>HFND</t>
        </is>
      </c>
      <c r="E125" s="145" t="inlineStr">
        <is>
          <t xml:space="preserve"> Hedge fund strategies</t>
        </is>
      </c>
      <c r="F125" s="145" t="inlineStr">
        <is>
          <t>MULT_HFND</t>
        </is>
      </c>
      <c r="G125" s="165" t="inlineStr">
        <is>
          <t>Multi-strategy hedge fund</t>
        </is>
      </c>
      <c r="H125" s="163" t="inlineStr">
        <is>
          <t>Do not enter "MULT_" strategy codes, these are added automatically when needed.</t>
        </is>
      </c>
    </row>
    <row r="126">
      <c r="B126" s="76" t="inlineStr">
        <is>
          <t>table 3</t>
        </is>
      </c>
      <c r="C126" s="166" t="n"/>
      <c r="D126" s="146" t="inlineStr">
        <is>
          <t>HFND</t>
        </is>
      </c>
      <c r="E126" s="144" t="inlineStr">
        <is>
          <t xml:space="preserve"> Hedge fund strategies</t>
        </is>
      </c>
      <c r="F126" s="144" t="inlineStr">
        <is>
          <t>OTHR_HFND</t>
        </is>
      </c>
      <c r="G126" s="164" t="inlineStr">
        <is>
          <t>Other hedge fund strategy</t>
        </is>
      </c>
    </row>
    <row r="127">
      <c r="B127" s="76" t="inlineStr">
        <is>
          <t>table 3</t>
        </is>
      </c>
      <c r="C127" s="166" t="n"/>
      <c r="D127" s="146" t="inlineStr">
        <is>
          <t>PEQF</t>
        </is>
      </c>
      <c r="E127" s="144" t="inlineStr">
        <is>
          <t>Private equity strategies</t>
        </is>
      </c>
      <c r="F127" s="144" t="inlineStr">
        <is>
          <t>VENT_CAPL</t>
        </is>
      </c>
      <c r="G127" s="164" t="inlineStr">
        <is>
          <t>Venture Capital</t>
        </is>
      </c>
    </row>
    <row r="128">
      <c r="B128" s="76" t="inlineStr">
        <is>
          <t>table 3</t>
        </is>
      </c>
      <c r="C128" s="166" t="n"/>
      <c r="D128" s="146" t="inlineStr">
        <is>
          <t>PEQF</t>
        </is>
      </c>
      <c r="E128" s="144" t="inlineStr">
        <is>
          <t>Private equity strategies</t>
        </is>
      </c>
      <c r="F128" s="144" t="inlineStr">
        <is>
          <t>GRTH_CAPL</t>
        </is>
      </c>
      <c r="G128" s="164" t="inlineStr">
        <is>
          <t>Growth Capital</t>
        </is>
      </c>
    </row>
    <row r="129">
      <c r="B129" s="76" t="inlineStr">
        <is>
          <t>table 3</t>
        </is>
      </c>
      <c r="C129" s="166" t="n"/>
      <c r="D129" s="146" t="inlineStr">
        <is>
          <t>PEQF</t>
        </is>
      </c>
      <c r="E129" s="144" t="inlineStr">
        <is>
          <t>Private equity strategies</t>
        </is>
      </c>
      <c r="F129" s="144" t="inlineStr">
        <is>
          <t>MZNE_CAPL</t>
        </is>
      </c>
      <c r="G129" s="164" t="inlineStr">
        <is>
          <t>Mezzanine Capital</t>
        </is>
      </c>
    </row>
    <row r="130">
      <c r="B130" s="76" t="inlineStr">
        <is>
          <t>table 3</t>
        </is>
      </c>
      <c r="C130" s="166" t="n"/>
      <c r="D130" s="171" t="inlineStr">
        <is>
          <t>PEQF</t>
        </is>
      </c>
      <c r="E130" s="145" t="inlineStr">
        <is>
          <t>Private equity strategies</t>
        </is>
      </c>
      <c r="F130" s="145" t="inlineStr">
        <is>
          <t>MULT_PEQF</t>
        </is>
      </c>
      <c r="G130" s="165" t="inlineStr">
        <is>
          <t>Multi-strategy private equity fund</t>
        </is>
      </c>
      <c r="H130" s="163" t="inlineStr">
        <is>
          <t>Do not enter "MULT_" strategy codes, these are added automatically when needed.</t>
        </is>
      </c>
    </row>
    <row r="131">
      <c r="B131" s="76" t="inlineStr">
        <is>
          <t>table 3</t>
        </is>
      </c>
      <c r="C131" s="166" t="n"/>
      <c r="D131" s="146" t="inlineStr">
        <is>
          <t>PEQF</t>
        </is>
      </c>
      <c r="E131" s="144" t="inlineStr">
        <is>
          <t>Private equity strategies</t>
        </is>
      </c>
      <c r="F131" s="144" t="inlineStr">
        <is>
          <t>OTHR_PEQF</t>
        </is>
      </c>
      <c r="G131" s="164" t="inlineStr">
        <is>
          <t>Other private equity fund strategy</t>
        </is>
      </c>
    </row>
    <row r="132">
      <c r="B132" s="76" t="inlineStr">
        <is>
          <t>table 3</t>
        </is>
      </c>
      <c r="C132" s="166" t="n"/>
      <c r="D132" s="146" t="inlineStr">
        <is>
          <t>REST</t>
        </is>
      </c>
      <c r="E132" s="144" t="inlineStr">
        <is>
          <t>Real estate strategies</t>
        </is>
      </c>
      <c r="F132" s="144" t="inlineStr">
        <is>
          <t>RESL_REST</t>
        </is>
      </c>
      <c r="G132" s="164" t="inlineStr">
        <is>
          <t>Residential real estate</t>
        </is>
      </c>
    </row>
    <row r="133">
      <c r="B133" s="76" t="inlineStr">
        <is>
          <t>table 3</t>
        </is>
      </c>
      <c r="C133" s="166" t="n"/>
      <c r="D133" s="146" t="inlineStr">
        <is>
          <t>REST</t>
        </is>
      </c>
      <c r="E133" s="144" t="inlineStr">
        <is>
          <t>Real estate strategies</t>
        </is>
      </c>
      <c r="F133" s="144" t="inlineStr">
        <is>
          <t>COML_REST</t>
        </is>
      </c>
      <c r="G133" s="164" t="inlineStr">
        <is>
          <t>Commercial real estate</t>
        </is>
      </c>
    </row>
    <row r="134">
      <c r="B134" s="76" t="inlineStr">
        <is>
          <t>table 3</t>
        </is>
      </c>
      <c r="C134" s="166" t="n"/>
      <c r="D134" s="146" t="inlineStr">
        <is>
          <t>REST</t>
        </is>
      </c>
      <c r="E134" s="144" t="inlineStr">
        <is>
          <t>Real estate strategies</t>
        </is>
      </c>
      <c r="F134" s="144" t="inlineStr">
        <is>
          <t>INDL_REST</t>
        </is>
      </c>
      <c r="G134" s="164" t="inlineStr">
        <is>
          <t>Industrial real estate</t>
        </is>
      </c>
    </row>
    <row r="135">
      <c r="B135" s="76" t="inlineStr">
        <is>
          <t>table 3</t>
        </is>
      </c>
      <c r="C135" s="166" t="n"/>
      <c r="D135" s="171" t="inlineStr">
        <is>
          <t>REST</t>
        </is>
      </c>
      <c r="E135" s="145" t="inlineStr">
        <is>
          <t>Real estate strategies</t>
        </is>
      </c>
      <c r="F135" s="145" t="inlineStr">
        <is>
          <t>MULT_REST</t>
        </is>
      </c>
      <c r="G135" s="165" t="inlineStr">
        <is>
          <t>Multi-strategy real estate fund</t>
        </is>
      </c>
      <c r="H135" s="163" t="inlineStr">
        <is>
          <t>Do not enter "MULT_" strategy codes, these are added automatically when needed.</t>
        </is>
      </c>
    </row>
    <row r="136">
      <c r="B136" s="76" t="inlineStr">
        <is>
          <t>table 3</t>
        </is>
      </c>
      <c r="C136" s="166" t="n"/>
      <c r="D136" s="146" t="inlineStr">
        <is>
          <t>REST</t>
        </is>
      </c>
      <c r="E136" s="144" t="inlineStr">
        <is>
          <t>Real estate strategies</t>
        </is>
      </c>
      <c r="F136" s="144" t="inlineStr">
        <is>
          <t>OTHR_REST</t>
        </is>
      </c>
      <c r="G136" s="164" t="inlineStr">
        <is>
          <t>Other real estate strategy</t>
        </is>
      </c>
    </row>
    <row r="137">
      <c r="B137" s="76" t="inlineStr">
        <is>
          <t>table 3</t>
        </is>
      </c>
      <c r="C137" s="166" t="n"/>
      <c r="D137" s="146" t="inlineStr">
        <is>
          <t>FOFS</t>
        </is>
      </c>
      <c r="E137" s="144" t="inlineStr">
        <is>
          <t>Fund of fund strategies</t>
        </is>
      </c>
      <c r="F137" s="146" t="inlineStr">
        <is>
          <t>FOFS_FHFS</t>
        </is>
      </c>
      <c r="G137" s="164" t="inlineStr">
        <is>
          <t>Fund of hedge funds</t>
        </is>
      </c>
    </row>
    <row r="138">
      <c r="B138" s="76" t="inlineStr">
        <is>
          <t>table 3</t>
        </is>
      </c>
      <c r="C138" s="166" t="n"/>
      <c r="D138" s="146" t="inlineStr">
        <is>
          <t xml:space="preserve">FOFS </t>
        </is>
      </c>
      <c r="E138" s="144" t="inlineStr">
        <is>
          <t>Fund of fund strategies</t>
        </is>
      </c>
      <c r="F138" s="146" t="inlineStr">
        <is>
          <t>FOFS_PRIV</t>
        </is>
      </c>
      <c r="G138" s="164" t="inlineStr">
        <is>
          <t>Fund of private equity</t>
        </is>
      </c>
    </row>
    <row r="139">
      <c r="B139" s="76" t="inlineStr">
        <is>
          <t>table 3</t>
        </is>
      </c>
      <c r="C139" s="166" t="n"/>
      <c r="D139" s="146" t="inlineStr">
        <is>
          <t xml:space="preserve">FOFS </t>
        </is>
      </c>
      <c r="E139" s="144" t="inlineStr">
        <is>
          <t>Fund of fund strategies</t>
        </is>
      </c>
      <c r="F139" s="146" t="inlineStr">
        <is>
          <t>OTHR_FOFS</t>
        </is>
      </c>
      <c r="G139" s="164" t="inlineStr">
        <is>
          <t>Other fund of funds</t>
        </is>
      </c>
    </row>
    <row r="140">
      <c r="B140" s="76" t="inlineStr">
        <is>
          <t>table 3</t>
        </is>
      </c>
      <c r="C140" s="166" t="n"/>
      <c r="D140" s="146" t="inlineStr">
        <is>
          <t>OTHR</t>
        </is>
      </c>
      <c r="E140" s="144" t="inlineStr">
        <is>
          <t>Other Strategy</t>
        </is>
      </c>
      <c r="F140" s="146" t="inlineStr">
        <is>
          <t>OTHR_COMF</t>
        </is>
      </c>
      <c r="G140" s="164" t="inlineStr">
        <is>
          <t>Commodity fund</t>
        </is>
      </c>
    </row>
    <row r="141">
      <c r="B141" s="76" t="inlineStr">
        <is>
          <t>table 3</t>
        </is>
      </c>
      <c r="C141" s="166" t="n"/>
      <c r="D141" s="146" t="inlineStr">
        <is>
          <t>OTHR</t>
        </is>
      </c>
      <c r="E141" s="144" t="inlineStr">
        <is>
          <t>Other Strategy</t>
        </is>
      </c>
      <c r="F141" s="146" t="inlineStr">
        <is>
          <t>OTHR_EQYF</t>
        </is>
      </c>
      <c r="G141" s="164" t="inlineStr">
        <is>
          <t>Equity fund</t>
        </is>
      </c>
    </row>
    <row r="142">
      <c r="B142" s="76" t="inlineStr">
        <is>
          <t>table 3</t>
        </is>
      </c>
      <c r="C142" s="166" t="n"/>
      <c r="D142" s="146" t="inlineStr">
        <is>
          <t>OTHR</t>
        </is>
      </c>
      <c r="E142" s="144" t="inlineStr">
        <is>
          <t>Other Strategy</t>
        </is>
      </c>
      <c r="F142" s="146" t="inlineStr">
        <is>
          <t>OTHR_FXIF</t>
        </is>
      </c>
      <c r="G142" s="164" t="inlineStr">
        <is>
          <t>Fixed income fund</t>
        </is>
      </c>
    </row>
    <row r="143">
      <c r="B143" s="76" t="inlineStr">
        <is>
          <t>table 3</t>
        </is>
      </c>
      <c r="C143" s="166" t="n"/>
      <c r="D143" s="146" t="inlineStr">
        <is>
          <t>OTHR</t>
        </is>
      </c>
      <c r="E143" s="144" t="inlineStr">
        <is>
          <t>Other Strategy</t>
        </is>
      </c>
      <c r="F143" s="146" t="inlineStr">
        <is>
          <t>OTHR_INFF</t>
        </is>
      </c>
      <c r="G143" s="164" t="inlineStr">
        <is>
          <t>Infrastructure fund</t>
        </is>
      </c>
    </row>
    <row r="144">
      <c r="B144" s="76" t="inlineStr">
        <is>
          <t>table 3</t>
        </is>
      </c>
      <c r="C144" s="166" t="n"/>
      <c r="D144" s="146" t="inlineStr">
        <is>
          <t>OTHR</t>
        </is>
      </c>
      <c r="E144" s="144" t="inlineStr">
        <is>
          <t>Other Strategy</t>
        </is>
      </c>
      <c r="F144" s="146" t="inlineStr">
        <is>
          <t>OTHR_OTHF</t>
        </is>
      </c>
      <c r="G144" s="164" t="inlineStr">
        <is>
          <t>Other fund</t>
        </is>
      </c>
    </row>
    <row r="145">
      <c r="B145" s="77" t="n"/>
    </row>
    <row r="146" ht="12" customHeight="1" thickBot="1">
      <c r="B146" s="76" t="inlineStr">
        <is>
          <t>table 4</t>
        </is>
      </c>
      <c r="E146" s="73" t="n"/>
      <c r="F146" s="71" t="inlineStr">
        <is>
          <t>Code (field 113)</t>
        </is>
      </c>
      <c r="G146" s="71" t="inlineStr">
        <is>
          <t>Label</t>
        </is>
      </c>
    </row>
    <row r="147">
      <c r="B147" s="76" t="inlineStr">
        <is>
          <t>table 4</t>
        </is>
      </c>
      <c r="E147" s="147" t="inlineStr">
        <is>
          <t>Typical Position Size</t>
        </is>
      </c>
      <c r="F147" s="148" t="inlineStr">
        <is>
          <t>V_SMALL</t>
        </is>
      </c>
      <c r="G147" s="147" t="inlineStr">
        <is>
          <t>Very Small</t>
        </is>
      </c>
    </row>
    <row r="148">
      <c r="B148" s="76" t="inlineStr">
        <is>
          <t>table 4</t>
        </is>
      </c>
      <c r="E148" s="144" t="inlineStr">
        <is>
          <t>Typical Position Size</t>
        </is>
      </c>
      <c r="F148" s="149" t="inlineStr">
        <is>
          <t>SMALL</t>
        </is>
      </c>
      <c r="G148" s="144" t="inlineStr">
        <is>
          <t>Small</t>
        </is>
      </c>
    </row>
    <row r="149">
      <c r="B149" s="76" t="inlineStr">
        <is>
          <t>table 4</t>
        </is>
      </c>
      <c r="E149" s="144" t="inlineStr">
        <is>
          <t>Typical Position Size</t>
        </is>
      </c>
      <c r="F149" s="149" t="inlineStr">
        <is>
          <t>LOW_MID_MKT</t>
        </is>
      </c>
      <c r="G149" s="144" t="inlineStr">
        <is>
          <t>Lower mid market</t>
        </is>
      </c>
    </row>
    <row r="150">
      <c r="B150" s="76" t="inlineStr">
        <is>
          <t>table 4</t>
        </is>
      </c>
      <c r="E150" s="144" t="inlineStr">
        <is>
          <t>Typical Position Size</t>
        </is>
      </c>
      <c r="F150" s="149" t="inlineStr">
        <is>
          <t>UP_MID_MKT</t>
        </is>
      </c>
      <c r="G150" s="144" t="inlineStr">
        <is>
          <t>Upper mid market</t>
        </is>
      </c>
    </row>
    <row r="151">
      <c r="B151" s="76" t="inlineStr">
        <is>
          <t>table 4</t>
        </is>
      </c>
      <c r="E151" s="144" t="inlineStr">
        <is>
          <t>Typical Position Size</t>
        </is>
      </c>
      <c r="F151" s="149" t="inlineStr">
        <is>
          <t>L_CAP</t>
        </is>
      </c>
      <c r="G151" s="144" t="inlineStr">
        <is>
          <t>Large cap</t>
        </is>
      </c>
    </row>
    <row r="152">
      <c r="B152" s="76" t="inlineStr">
        <is>
          <t>table 4</t>
        </is>
      </c>
      <c r="E152" s="144" t="inlineStr">
        <is>
          <t>Typical Position Size</t>
        </is>
      </c>
      <c r="F152" s="149" t="inlineStr">
        <is>
          <t>M_CAP</t>
        </is>
      </c>
      <c r="G152" s="144" t="inlineStr">
        <is>
          <t>Mega cap</t>
        </is>
      </c>
    </row>
    <row r="153">
      <c r="B153" s="78" t="n"/>
    </row>
    <row r="154">
      <c r="B154" s="76" t="inlineStr">
        <is>
          <t>table 5</t>
        </is>
      </c>
      <c r="E154" s="73" t="n"/>
      <c r="F154" s="71" t="inlineStr">
        <is>
          <t>Code (field 134)</t>
        </is>
      </c>
      <c r="G154" s="71" t="inlineStr">
        <is>
          <t>Label</t>
        </is>
      </c>
    </row>
    <row r="155">
      <c r="B155" s="76" t="inlineStr">
        <is>
          <t>table 5</t>
        </is>
      </c>
      <c r="E155" s="144" t="inlineStr">
        <is>
          <t>Transaction type</t>
        </is>
      </c>
      <c r="F155" s="149" t="inlineStr">
        <is>
          <t>ACAP</t>
        </is>
      </c>
      <c r="G155" s="144" t="inlineStr">
        <is>
          <t>Acquisition capital</t>
        </is>
      </c>
    </row>
    <row r="156">
      <c r="B156" s="76" t="inlineStr">
        <is>
          <t>table 5</t>
        </is>
      </c>
      <c r="E156" s="144" t="inlineStr">
        <is>
          <t>Transaction type</t>
        </is>
      </c>
      <c r="F156" s="149" t="inlineStr">
        <is>
          <t>BOUT</t>
        </is>
      </c>
      <c r="G156" s="144" t="inlineStr">
        <is>
          <t>Buyouts</t>
        </is>
      </c>
    </row>
    <row r="157">
      <c r="B157" s="76" t="inlineStr">
        <is>
          <t>table 5</t>
        </is>
      </c>
      <c r="E157" s="144" t="inlineStr">
        <is>
          <t>Transaction type</t>
        </is>
      </c>
      <c r="F157" s="149" t="inlineStr">
        <is>
          <t>CONS</t>
        </is>
      </c>
      <c r="G157" s="144" t="inlineStr">
        <is>
          <t>Consolidations (industry roll-ups)</t>
        </is>
      </c>
    </row>
    <row r="158">
      <c r="B158" s="76" t="inlineStr">
        <is>
          <t>table 5</t>
        </is>
      </c>
      <c r="E158" s="144" t="inlineStr">
        <is>
          <t>Transaction type</t>
        </is>
      </c>
      <c r="F158" s="149" t="inlineStr">
        <is>
          <t>CDIV</t>
        </is>
      </c>
      <c r="G158" s="144" t="inlineStr">
        <is>
          <t>Corporate Divestitures</t>
        </is>
      </c>
    </row>
    <row r="159">
      <c r="B159" s="76" t="inlineStr">
        <is>
          <t>table 5</t>
        </is>
      </c>
      <c r="E159" s="144" t="inlineStr">
        <is>
          <t>Transaction type</t>
        </is>
      </c>
      <c r="F159" s="149" t="inlineStr">
        <is>
          <t>ESOP</t>
        </is>
      </c>
      <c r="G159" s="144" t="inlineStr">
        <is>
          <t>Employee Stock Ownership Plans</t>
        </is>
      </c>
    </row>
    <row r="160">
      <c r="B160" s="76" t="inlineStr">
        <is>
          <t>table 5</t>
        </is>
      </c>
      <c r="E160" s="144" t="inlineStr">
        <is>
          <t>Transaction type</t>
        </is>
      </c>
      <c r="F160" s="149" t="inlineStr">
        <is>
          <t>GCAP</t>
        </is>
      </c>
      <c r="G160" s="144" t="inlineStr">
        <is>
          <t>Growth Capital</t>
        </is>
      </c>
    </row>
    <row r="161">
      <c r="B161" s="76" t="inlineStr">
        <is>
          <t>table 5</t>
        </is>
      </c>
      <c r="E161" s="144" t="inlineStr">
        <is>
          <t>Transaction type</t>
        </is>
      </c>
      <c r="F161" s="149" t="inlineStr">
        <is>
          <t>RCAP</t>
        </is>
      </c>
      <c r="G161" s="144" t="inlineStr">
        <is>
          <t>Recapitalisation</t>
        </is>
      </c>
    </row>
    <row r="162">
      <c r="B162" s="76" t="inlineStr">
        <is>
          <t>table 5</t>
        </is>
      </c>
      <c r="E162" s="144" t="inlineStr">
        <is>
          <t>Transaction type</t>
        </is>
      </c>
      <c r="F162" s="149" t="inlineStr">
        <is>
          <t>SLIQ</t>
        </is>
      </c>
      <c r="G162" s="144" t="inlineStr">
        <is>
          <t>Shareholder Liquidity</t>
        </is>
      </c>
    </row>
    <row r="163">
      <c r="B163" s="76" t="inlineStr">
        <is>
          <t>table 5</t>
        </is>
      </c>
      <c r="E163" s="144" t="inlineStr">
        <is>
          <t>Transaction type</t>
        </is>
      </c>
      <c r="F163" s="149" t="inlineStr">
        <is>
          <t>TURN</t>
        </is>
      </c>
      <c r="G163" s="144" t="inlineStr">
        <is>
          <t>Turnarounds</t>
        </is>
      </c>
    </row>
    <row r="164">
      <c r="B164" s="76" t="inlineStr">
        <is>
          <t>table 5</t>
        </is>
      </c>
      <c r="E164" s="144" t="inlineStr">
        <is>
          <t>Transaction type</t>
        </is>
      </c>
      <c r="F164" s="149" t="inlineStr">
        <is>
          <t>OTHR</t>
        </is>
      </c>
      <c r="G164" s="144" t="inlineStr">
        <is>
          <t>Other transaction type</t>
        </is>
      </c>
    </row>
    <row r="165">
      <c r="B165" s="77" t="n"/>
    </row>
    <row r="166">
      <c r="B166" s="76" t="inlineStr">
        <is>
          <t>table 6</t>
        </is>
      </c>
      <c r="E166" s="73" t="n"/>
      <c r="F166" s="71" t="inlineStr">
        <is>
          <t>Code (field 194)</t>
        </is>
      </c>
      <c r="G166" s="71" t="inlineStr">
        <is>
          <t>Label</t>
        </is>
      </c>
    </row>
    <row r="167">
      <c r="B167" s="76" t="inlineStr">
        <is>
          <t>table 6</t>
        </is>
      </c>
      <c r="E167" s="150" t="inlineStr">
        <is>
          <t>Redemption frequency</t>
        </is>
      </c>
      <c r="F167" s="151" t="inlineStr">
        <is>
          <t>D</t>
        </is>
      </c>
      <c r="G167" s="150" t="inlineStr">
        <is>
          <t>Daily</t>
        </is>
      </c>
    </row>
    <row r="168">
      <c r="B168" s="76" t="inlineStr">
        <is>
          <t>table 6</t>
        </is>
      </c>
      <c r="E168" s="150" t="inlineStr">
        <is>
          <t>Redemption frequency</t>
        </is>
      </c>
      <c r="F168" s="151" t="inlineStr">
        <is>
          <t>W</t>
        </is>
      </c>
      <c r="G168" s="150" t="inlineStr">
        <is>
          <t>Weekly</t>
        </is>
      </c>
    </row>
    <row r="169">
      <c r="B169" s="76" t="inlineStr">
        <is>
          <t>table 6</t>
        </is>
      </c>
      <c r="E169" s="150" t="inlineStr">
        <is>
          <t>Redemption frequency</t>
        </is>
      </c>
      <c r="F169" s="151" t="inlineStr">
        <is>
          <t>F</t>
        </is>
      </c>
      <c r="G169" s="150" t="inlineStr">
        <is>
          <t>Fortnightly</t>
        </is>
      </c>
    </row>
    <row r="170">
      <c r="B170" s="76" t="inlineStr">
        <is>
          <t>table 6</t>
        </is>
      </c>
      <c r="E170" s="150" t="inlineStr">
        <is>
          <t>Redemption frequency</t>
        </is>
      </c>
      <c r="F170" s="151" t="inlineStr">
        <is>
          <t>M</t>
        </is>
      </c>
      <c r="G170" s="150" t="inlineStr">
        <is>
          <t>Monthly</t>
        </is>
      </c>
    </row>
    <row r="171">
      <c r="B171" s="76" t="inlineStr">
        <is>
          <t>table 6</t>
        </is>
      </c>
      <c r="E171" s="150" t="inlineStr">
        <is>
          <t>Redemption frequency</t>
        </is>
      </c>
      <c r="F171" s="151" t="inlineStr">
        <is>
          <t>Q</t>
        </is>
      </c>
      <c r="G171" s="150" t="inlineStr">
        <is>
          <t>Quarterly</t>
        </is>
      </c>
    </row>
    <row r="172">
      <c r="B172" s="76" t="inlineStr">
        <is>
          <t>table 6</t>
        </is>
      </c>
      <c r="E172" s="150" t="inlineStr">
        <is>
          <t>Redemption frequency</t>
        </is>
      </c>
      <c r="F172" s="151" t="inlineStr">
        <is>
          <t>H</t>
        </is>
      </c>
      <c r="G172" s="150" t="inlineStr">
        <is>
          <t>Half-yearly</t>
        </is>
      </c>
    </row>
    <row r="173">
      <c r="B173" s="76" t="inlineStr">
        <is>
          <t>table 6</t>
        </is>
      </c>
      <c r="E173" s="150" t="inlineStr">
        <is>
          <t>Redemption frequency</t>
        </is>
      </c>
      <c r="F173" s="151" t="inlineStr">
        <is>
          <t>Y</t>
        </is>
      </c>
      <c r="G173" s="150" t="inlineStr">
        <is>
          <t>Yearly</t>
        </is>
      </c>
    </row>
    <row r="174">
      <c r="B174" s="76" t="inlineStr">
        <is>
          <t>table 6</t>
        </is>
      </c>
      <c r="E174" s="150" t="inlineStr">
        <is>
          <t>Redemption frequency</t>
        </is>
      </c>
      <c r="F174" s="151" t="inlineStr">
        <is>
          <t>O</t>
        </is>
      </c>
      <c r="G174" s="150" t="inlineStr">
        <is>
          <t>Other</t>
        </is>
      </c>
    </row>
    <row r="175">
      <c r="B175" s="76" t="inlineStr">
        <is>
          <t>table 6</t>
        </is>
      </c>
      <c r="E175" s="150" t="inlineStr">
        <is>
          <t>Redemption frequency</t>
        </is>
      </c>
      <c r="F175" s="151" t="inlineStr">
        <is>
          <t>N</t>
        </is>
      </c>
      <c r="G175" s="150" t="inlineStr">
        <is>
          <t>None</t>
        </is>
      </c>
    </row>
    <row r="176">
      <c r="B176" s="77" t="n"/>
    </row>
    <row r="177">
      <c r="B177" s="76" t="inlineStr">
        <is>
          <t>table 7</t>
        </is>
      </c>
      <c r="E177" s="73" t="n"/>
      <c r="F177" s="71" t="inlineStr">
        <is>
          <t>Code (field 208)</t>
        </is>
      </c>
      <c r="G177" s="71" t="inlineStr">
        <is>
          <t>Label</t>
        </is>
      </c>
    </row>
    <row r="178">
      <c r="B178" s="76" t="inlineStr">
        <is>
          <t>table 7</t>
        </is>
      </c>
      <c r="E178" s="144" t="inlineStr">
        <is>
          <t>Investor group</t>
        </is>
      </c>
      <c r="F178" s="152" t="inlineStr">
        <is>
          <t>NFCO</t>
        </is>
      </c>
      <c r="G178" s="72" t="inlineStr">
        <is>
          <t>Non-financial corporations</t>
        </is>
      </c>
    </row>
    <row r="179">
      <c r="B179" s="76" t="inlineStr">
        <is>
          <t>table 7</t>
        </is>
      </c>
      <c r="E179" s="144" t="inlineStr">
        <is>
          <t>Investor group</t>
        </is>
      </c>
      <c r="F179" s="152" t="inlineStr">
        <is>
          <t>BANK</t>
        </is>
      </c>
      <c r="G179" s="72" t="inlineStr">
        <is>
          <t>Banks</t>
        </is>
      </c>
    </row>
    <row r="180">
      <c r="B180" s="76" t="inlineStr">
        <is>
          <t>table 7</t>
        </is>
      </c>
      <c r="E180" s="144" t="inlineStr">
        <is>
          <t>Investor group</t>
        </is>
      </c>
      <c r="F180" s="152" t="inlineStr">
        <is>
          <t>INSC</t>
        </is>
      </c>
      <c r="G180" s="72" t="inlineStr">
        <is>
          <t>Insurance corporations</t>
        </is>
      </c>
    </row>
    <row r="181">
      <c r="B181" s="76" t="inlineStr">
        <is>
          <t>table 7</t>
        </is>
      </c>
      <c r="E181" s="144" t="inlineStr">
        <is>
          <t>Investor group</t>
        </is>
      </c>
      <c r="F181" s="152" t="inlineStr">
        <is>
          <t>OFIN</t>
        </is>
      </c>
      <c r="G181" s="72" t="inlineStr">
        <is>
          <t>Other financial institutions</t>
        </is>
      </c>
    </row>
    <row r="182">
      <c r="B182" s="76" t="inlineStr">
        <is>
          <t>table 7</t>
        </is>
      </c>
      <c r="E182" s="144" t="inlineStr">
        <is>
          <t>Investor group</t>
        </is>
      </c>
      <c r="F182" s="152" t="inlineStr">
        <is>
          <t>PFND</t>
        </is>
      </c>
      <c r="G182" s="72" t="inlineStr">
        <is>
          <t>Pension plans / funds</t>
        </is>
      </c>
    </row>
    <row r="183">
      <c r="B183" s="76" t="inlineStr">
        <is>
          <t>table 7</t>
        </is>
      </c>
      <c r="E183" s="144" t="inlineStr">
        <is>
          <t>Investor group</t>
        </is>
      </c>
      <c r="F183" s="152" t="inlineStr">
        <is>
          <t>GENG</t>
        </is>
      </c>
      <c r="G183" s="72" t="inlineStr">
        <is>
          <t>General government</t>
        </is>
      </c>
    </row>
    <row r="184" ht="22.5" customHeight="1">
      <c r="B184" s="76" t="inlineStr">
        <is>
          <t>table 7</t>
        </is>
      </c>
      <c r="E184" s="144" t="inlineStr">
        <is>
          <t>Investor group</t>
        </is>
      </c>
      <c r="F184" s="152" t="inlineStr">
        <is>
          <t>OCIU</t>
        </is>
      </c>
      <c r="G184" s="72" t="inlineStr">
        <is>
          <t>Other collective investment undertaking (e.g. fund of funds or master)</t>
        </is>
      </c>
    </row>
    <row r="185">
      <c r="B185" s="76" t="inlineStr">
        <is>
          <t>table 7</t>
        </is>
      </c>
      <c r="E185" s="144" t="inlineStr">
        <is>
          <t>Investor group</t>
        </is>
      </c>
      <c r="F185" s="152" t="inlineStr">
        <is>
          <t>HHLD</t>
        </is>
      </c>
      <c r="G185" s="72" t="inlineStr">
        <is>
          <t>Households</t>
        </is>
      </c>
    </row>
    <row r="186">
      <c r="B186" s="76" t="inlineStr">
        <is>
          <t>table 7</t>
        </is>
      </c>
      <c r="E186" s="144" t="inlineStr">
        <is>
          <t>Investor group</t>
        </is>
      </c>
      <c r="F186" s="152" t="inlineStr">
        <is>
          <t>UNKN</t>
        </is>
      </c>
      <c r="G186" s="72" t="inlineStr">
        <is>
          <t>Unknown</t>
        </is>
      </c>
    </row>
    <row r="187">
      <c r="B187" s="76" t="inlineStr">
        <is>
          <t>table 7</t>
        </is>
      </c>
      <c r="E187" s="144" t="inlineStr">
        <is>
          <t>Investor group</t>
        </is>
      </c>
      <c r="F187" s="152" t="inlineStr">
        <is>
          <t>NONE</t>
        </is>
      </c>
      <c r="G187" s="72" t="inlineStr">
        <is>
          <t>None</t>
        </is>
      </c>
    </row>
    <row r="188">
      <c r="B188" s="77" t="n"/>
    </row>
    <row r="189" ht="23.25" customHeight="1" thickBot="1">
      <c r="B189" s="76" t="inlineStr">
        <is>
          <t>Period Types</t>
        </is>
      </c>
      <c r="E189" s="73" t="n"/>
      <c r="F189" s="71" t="inlineStr">
        <is>
          <t>Code (field 8)</t>
        </is>
      </c>
      <c r="G189" s="67" t="inlineStr">
        <is>
          <t>Description</t>
        </is>
      </c>
    </row>
    <row r="190" ht="22.5" customHeight="1">
      <c r="B190" s="76" t="inlineStr">
        <is>
          <t>Period Types</t>
        </is>
      </c>
      <c r="E190" s="147" t="inlineStr">
        <is>
          <t>Reporting Period Type</t>
        </is>
      </c>
      <c r="F190" s="75" t="inlineStr">
        <is>
          <t>Q1</t>
        </is>
      </c>
      <c r="G190" s="75" t="inlineStr">
        <is>
          <t>For 1st quarter of the calendar year</t>
        </is>
      </c>
    </row>
    <row r="191" ht="22.5" customHeight="1">
      <c r="B191" s="76" t="inlineStr">
        <is>
          <t>Period Types</t>
        </is>
      </c>
      <c r="E191" s="144" t="inlineStr">
        <is>
          <t>Reporting Period Type</t>
        </is>
      </c>
      <c r="F191" s="75" t="inlineStr">
        <is>
          <t>Q2</t>
        </is>
      </c>
      <c r="G191" s="75" t="inlineStr">
        <is>
          <t>For 2nd quarter of the calendar year</t>
        </is>
      </c>
    </row>
    <row r="192" ht="22.5" customHeight="1">
      <c r="B192" s="76" t="inlineStr">
        <is>
          <t>Period Types</t>
        </is>
      </c>
      <c r="E192" s="144" t="inlineStr">
        <is>
          <t>Reporting Period Type</t>
        </is>
      </c>
      <c r="F192" s="75" t="inlineStr">
        <is>
          <t>Q3</t>
        </is>
      </c>
      <c r="G192" s="75" t="inlineStr">
        <is>
          <t>For 3rd quarter of the calendar year</t>
        </is>
      </c>
    </row>
    <row r="193" ht="22.5" customHeight="1">
      <c r="B193" s="76" t="inlineStr">
        <is>
          <t>Period Types</t>
        </is>
      </c>
      <c r="E193" s="144" t="inlineStr">
        <is>
          <t>Reporting Period Type</t>
        </is>
      </c>
      <c r="F193" s="75" t="inlineStr">
        <is>
          <t>Q4</t>
        </is>
      </c>
      <c r="G193" s="75" t="inlineStr">
        <is>
          <t>For 4th quarter of the calendar year</t>
        </is>
      </c>
    </row>
    <row r="194" ht="22.5" customHeight="1">
      <c r="B194" s="76" t="inlineStr">
        <is>
          <t>Period Types</t>
        </is>
      </c>
      <c r="E194" s="144" t="inlineStr">
        <is>
          <t>Reporting Period Type</t>
        </is>
      </c>
      <c r="F194" s="75" t="inlineStr">
        <is>
          <t>H1</t>
        </is>
      </c>
      <c r="G194" s="75" t="inlineStr">
        <is>
          <t>For 1st half of the calendar year</t>
        </is>
      </c>
    </row>
    <row r="195" ht="22.5" customHeight="1">
      <c r="B195" s="76" t="inlineStr">
        <is>
          <t>Period Types</t>
        </is>
      </c>
      <c r="E195" s="144" t="inlineStr">
        <is>
          <t>Reporting Period Type</t>
        </is>
      </c>
      <c r="F195" s="75" t="inlineStr">
        <is>
          <t>H2</t>
        </is>
      </c>
      <c r="G195" s="75" t="inlineStr">
        <is>
          <t>For 2nd half of the calendar year</t>
        </is>
      </c>
    </row>
    <row r="196" ht="22.5" customHeight="1">
      <c r="B196" s="76" t="inlineStr">
        <is>
          <t>Period Types</t>
        </is>
      </c>
      <c r="E196" s="144" t="inlineStr">
        <is>
          <t>Reporting Period Type</t>
        </is>
      </c>
      <c r="F196" s="75" t="inlineStr">
        <is>
          <t>Y1</t>
        </is>
      </c>
      <c r="G196" s="75" t="inlineStr">
        <is>
          <t>For the calendar year</t>
        </is>
      </c>
    </row>
    <row r="197" ht="22.5" customHeight="1">
      <c r="B197" s="76" t="inlineStr">
        <is>
          <t>Period Types</t>
        </is>
      </c>
      <c r="E197" s="144" t="inlineStr">
        <is>
          <t>Reporting Period Type</t>
        </is>
      </c>
      <c r="F197" s="75" t="inlineStr">
        <is>
          <t>X1</t>
        </is>
      </c>
      <c r="G197" s="75" t="inlineStr">
        <is>
          <t>For period from 1st quarter to 3rd quarter</t>
        </is>
      </c>
    </row>
    <row r="198" ht="22.5" customHeight="1">
      <c r="B198" s="76" t="inlineStr">
        <is>
          <t>Period Types</t>
        </is>
      </c>
      <c r="E198" s="144" t="inlineStr">
        <is>
          <t>Reporting Period Type</t>
        </is>
      </c>
      <c r="F198" s="75" t="inlineStr">
        <is>
          <t>X2</t>
        </is>
      </c>
      <c r="G198" s="75" t="inlineStr">
        <is>
          <t>For period from 2nd quarter to 4th quarter</t>
        </is>
      </c>
    </row>
    <row r="199">
      <c r="B199" s="153" t="n"/>
      <c r="E199" s="156" t="n"/>
      <c r="F199" s="154" t="n"/>
      <c r="G199" s="154" t="n"/>
    </row>
    <row r="200" ht="22.5" customHeight="1">
      <c r="B200" s="76" t="inlineStr">
        <is>
          <t xml:space="preserve">Risk </t>
        </is>
      </c>
      <c r="D200" s="67" t="inlineStr">
        <is>
          <t>Risk Measure Type
RISK (field 138)</t>
        </is>
      </c>
      <c r="E200" s="155" t="inlineStr">
        <is>
          <t>Description</t>
        </is>
      </c>
      <c r="F200" s="67" t="inlineStr">
        <is>
          <t>Relevant Instrument type</t>
        </is>
      </c>
    </row>
    <row r="201" ht="22.5" customHeight="1">
      <c r="B201" s="76" t="inlineStr">
        <is>
          <t xml:space="preserve">Risk </t>
        </is>
      </c>
      <c r="D201" s="75" t="inlineStr">
        <is>
          <t>NET_EQTY_DELTA</t>
        </is>
      </c>
      <c r="E201" s="75" t="inlineStr">
        <is>
          <t>Net Equity Delta</t>
        </is>
      </c>
      <c r="F201" s="75" t="inlineStr">
        <is>
          <t>Equity / Equity Derivatives</t>
        </is>
      </c>
    </row>
    <row r="202" ht="22.5" customHeight="1">
      <c r="B202" s="76" t="inlineStr">
        <is>
          <t xml:space="preserve">Risk </t>
        </is>
      </c>
      <c r="D202" s="75" t="inlineStr">
        <is>
          <t>NET_DV01</t>
        </is>
      </c>
      <c r="E202" s="75" t="inlineStr">
        <is>
          <t>Net DV01 - Shows change in bond price relative to decrease in bonds yield</t>
        </is>
      </c>
      <c r="F202" s="75" t="inlineStr">
        <is>
          <t>Fixed income</t>
        </is>
      </c>
    </row>
    <row r="203">
      <c r="B203" s="76" t="inlineStr">
        <is>
          <t xml:space="preserve">Risk </t>
        </is>
      </c>
      <c r="D203" s="75" t="inlineStr">
        <is>
          <t>NET_CS01</t>
        </is>
      </c>
      <c r="E203" s="75" t="inlineStr">
        <is>
          <t>Net CSO1 - credit exposure of the swap at a given point in time</t>
        </is>
      </c>
      <c r="F203" s="75" t="inlineStr">
        <is>
          <t>Fixed income</t>
        </is>
      </c>
    </row>
    <row r="204">
      <c r="B204" s="76" t="inlineStr">
        <is>
          <t xml:space="preserve">Risk </t>
        </is>
      </c>
      <c r="D204" s="75" t="inlineStr">
        <is>
          <t>VEGA_EXPO</t>
        </is>
      </c>
      <c r="E204" s="75" t="inlineStr">
        <is>
          <t>Price change of instrument / vol change underlying</t>
        </is>
      </c>
      <c r="F204" s="75" t="inlineStr">
        <is>
          <t>All</t>
        </is>
      </c>
    </row>
    <row r="205">
      <c r="B205" s="76" t="inlineStr">
        <is>
          <t xml:space="preserve">Risk </t>
        </is>
      </c>
      <c r="D205" s="75" t="inlineStr">
        <is>
          <t>VAR</t>
        </is>
      </c>
      <c r="E205" s="75" t="inlineStr">
        <is>
          <t>Value at Risk</t>
        </is>
      </c>
      <c r="F205" s="75" t="inlineStr">
        <is>
          <t>All</t>
        </is>
      </c>
    </row>
    <row r="206">
      <c r="B206" s="76" t="inlineStr">
        <is>
          <t xml:space="preserve">Risk </t>
        </is>
      </c>
      <c r="D206" s="75" t="inlineStr">
        <is>
          <t>NET_FX_DELTA</t>
        </is>
      </c>
      <c r="E206" s="75" t="inlineStr">
        <is>
          <t>Net FX Delta</t>
        </is>
      </c>
      <c r="F206" s="75" t="inlineStr">
        <is>
          <t>FX</t>
        </is>
      </c>
    </row>
    <row r="207" ht="22.5" customHeight="1">
      <c r="B207" s="76" t="inlineStr">
        <is>
          <t xml:space="preserve">Risk </t>
        </is>
      </c>
      <c r="D207" s="75" t="inlineStr">
        <is>
          <t>NET_CTY_DELTA</t>
        </is>
      </c>
      <c r="E207" s="75" t="inlineStr">
        <is>
          <t>Net Commodity Delta</t>
        </is>
      </c>
      <c r="F207" s="75" t="inlineStr">
        <is>
          <t>Commodities / Derivatives</t>
        </is>
      </c>
    </row>
  </sheetData>
  <autoFilter ref="B1:B207"/>
  <mergeCells count="5">
    <mergeCell ref="F2:G2"/>
    <mergeCell ref="H2:I2"/>
    <mergeCell ref="D2:E2"/>
    <mergeCell ref="H78:I78"/>
    <mergeCell ref="D1:I1"/>
  </mergeCells>
  <pageMargins left="0.7" right="0.7" top="0.75" bottom="0.75" header="0.3" footer="0.3"/>
  <pageSetup orientation="portrait" paperSize="9"/>
</worksheet>
</file>

<file path=xl/worksheets/sheet6.xml><?xml version="1.0" encoding="utf-8"?>
<worksheet xmlns="http://schemas.openxmlformats.org/spreadsheetml/2006/main">
  <sheetPr>
    <tabColor theme="4" tint="-0.499984740745262"/>
    <outlinePr summaryBelow="1" summaryRight="1"/>
    <pageSetUpPr fitToPage="1"/>
  </sheetPr>
  <dimension ref="A1:AJ272"/>
  <sheetViews>
    <sheetView workbookViewId="0">
      <pane ySplit="4" topLeftCell="A5" activePane="bottomLeft" state="frozen"/>
      <selection activeCell="C20" sqref="C20"/>
      <selection pane="bottomLeft" activeCell="AJ259" sqref="A5:AJ259"/>
    </sheetView>
  </sheetViews>
  <sheetFormatPr baseColWidth="10" defaultColWidth="9.140625" defaultRowHeight="11.25"/>
  <cols>
    <col width="1.85546875" bestFit="1" customWidth="1" style="3" min="1" max="1"/>
    <col width="39.85546875" bestFit="1" customWidth="1" style="1" min="2" max="2"/>
    <col width="3" bestFit="1" customWidth="1" style="1" min="3" max="3"/>
    <col width="6" bestFit="1" customWidth="1" style="1" min="4" max="4"/>
    <col width="2.85546875" bestFit="1" customWidth="1" style="1" min="5" max="5"/>
    <col width="4.42578125" bestFit="1" customWidth="1" style="1" min="6" max="6"/>
    <col width="3" bestFit="1" customWidth="1" style="1" min="7" max="7"/>
    <col width="2.85546875" bestFit="1" customWidth="1" style="1" min="8" max="8"/>
    <col width="5.140625" bestFit="1" customWidth="1" style="1" min="9" max="9"/>
    <col width="8.85546875" bestFit="1" customWidth="1" style="2" min="10" max="10"/>
    <col width="1.85546875" bestFit="1" customWidth="1" style="2" min="11" max="11"/>
    <col width="2.85546875" bestFit="1" customWidth="1" style="2" min="12" max="13"/>
    <col width="1.85546875" bestFit="1" customWidth="1" style="2" min="14" max="14"/>
    <col width="2.85546875" bestFit="1" customWidth="1" style="2" min="15" max="16"/>
    <col width="6.140625" bestFit="1" customWidth="1" style="2" min="17" max="17"/>
    <col width="4.5703125" bestFit="1" customWidth="1" style="2" min="18" max="18"/>
    <col width="3.85546875" bestFit="1" customWidth="1" style="2" min="19" max="19"/>
    <col width="9.42578125" bestFit="1" customWidth="1" style="2" min="20" max="20"/>
    <col width="12" bestFit="1" customWidth="1" style="2" min="21" max="21"/>
    <col width="4.85546875" customWidth="1" style="2" min="22" max="22"/>
    <col width="2.85546875" bestFit="1" customWidth="1" style="2" min="23" max="25"/>
    <col width="11.85546875" bestFit="1" customWidth="1" style="2" min="26" max="26"/>
    <col width="4.140625" bestFit="1" customWidth="1" style="2" min="27" max="27"/>
    <col width="11.140625" bestFit="1" customWidth="1" style="2" min="28" max="28"/>
    <col width="3.85546875" bestFit="1" customWidth="1" style="2" min="29" max="29"/>
    <col width="11.140625" bestFit="1" customWidth="1" style="2" min="30" max="30"/>
    <col width="4.5703125" bestFit="1" customWidth="1" style="2" min="31" max="31"/>
    <col width="13.5703125" bestFit="1" customWidth="1" style="2" min="32" max="32"/>
    <col width="5.85546875" bestFit="1" customWidth="1" style="2" min="33" max="33"/>
    <col width="3.5703125" bestFit="1" customWidth="1" style="2" min="34" max="34"/>
    <col width="4.85546875" bestFit="1" customWidth="1" style="2" min="35" max="35"/>
    <col width="4.140625" bestFit="1" customWidth="1" style="2" min="36" max="36"/>
    <col width="9.140625" customWidth="1" style="1" min="37" max="16384"/>
  </cols>
  <sheetData>
    <row r="1" ht="19.5" customHeight="1" thickBot="1">
      <c r="A1" s="4" t="n"/>
      <c r="B1" s="15" t="inlineStr">
        <is>
          <t>Validation Lists Annex IV Template</t>
        </is>
      </c>
      <c r="C1" s="5" t="n"/>
      <c r="D1" s="5" t="n"/>
      <c r="E1" s="5" t="n"/>
      <c r="F1" s="5" t="n"/>
      <c r="G1" s="5" t="n"/>
      <c r="H1" s="5" t="n"/>
      <c r="I1" s="5" t="n"/>
      <c r="J1" s="16"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c r="AH1" s="16" t="n"/>
      <c r="AI1" s="16" t="n"/>
      <c r="AJ1" s="16" t="n"/>
    </row>
    <row r="2" ht="12" customFormat="1" customHeight="1" s="7" thickBot="1">
      <c r="A2" s="7" t="inlineStr">
        <is>
          <t>#</t>
        </is>
      </c>
      <c r="B2" s="10" t="inlineStr">
        <is>
          <t>MATTERHORN</t>
        </is>
      </c>
      <c r="C2" s="300" t="inlineStr">
        <is>
          <t>Both AIFM &amp; AIF</t>
        </is>
      </c>
      <c r="D2" s="301" t="n"/>
      <c r="E2" s="301" t="n"/>
      <c r="F2" s="301" t="n"/>
      <c r="G2" s="301" t="n"/>
      <c r="H2" s="301" t="n"/>
      <c r="I2" s="301" t="n"/>
      <c r="J2" s="302" t="n"/>
      <c r="K2" s="300" t="inlineStr">
        <is>
          <t>MANAGER (AIFM)</t>
        </is>
      </c>
      <c r="L2" s="301" t="n"/>
      <c r="M2" s="302" t="n"/>
      <c r="N2" s="300" t="inlineStr">
        <is>
          <t>FUND (AIF)</t>
        </is>
      </c>
      <c r="O2" s="301" t="n"/>
      <c r="P2" s="301" t="n"/>
      <c r="Q2" s="301" t="n"/>
      <c r="R2" s="301" t="n"/>
      <c r="S2" s="301" t="n"/>
      <c r="T2" s="301" t="n"/>
      <c r="U2" s="301" t="n"/>
      <c r="V2" s="301" t="n"/>
      <c r="W2" s="301" t="n"/>
      <c r="X2" s="301" t="n"/>
      <c r="Y2" s="301" t="n"/>
      <c r="Z2" s="301" t="n"/>
      <c r="AA2" s="301" t="n"/>
      <c r="AB2" s="301" t="n"/>
      <c r="AC2" s="301" t="n"/>
      <c r="AD2" s="301" t="n"/>
      <c r="AE2" s="301" t="n"/>
      <c r="AF2" s="301" t="n"/>
      <c r="AG2" s="301" t="n"/>
      <c r="AH2" s="301" t="n"/>
      <c r="AI2" s="301" t="n"/>
      <c r="AJ2" s="302" t="n"/>
    </row>
    <row r="3" ht="12" customFormat="1" customHeight="1" s="7" thickBot="1">
      <c r="A3" s="6" t="inlineStr">
        <is>
          <t>#</t>
        </is>
      </c>
      <c r="B3" s="8" t="inlineStr">
        <is>
          <t>RECORD TYPES</t>
        </is>
      </c>
      <c r="C3" s="9" t="n"/>
      <c r="D3" s="9" t="n">
        <v>4</v>
      </c>
      <c r="E3" s="9" t="n">
        <v>8</v>
      </c>
      <c r="F3" s="9" t="n">
        <v>9</v>
      </c>
      <c r="G3" s="9" t="n">
        <v>10</v>
      </c>
      <c r="H3" s="9" t="n">
        <v>12</v>
      </c>
      <c r="I3" s="9" t="n"/>
      <c r="J3" s="9" t="n"/>
      <c r="K3" s="9" t="n">
        <v>5</v>
      </c>
      <c r="L3" s="9" t="n">
        <v>11</v>
      </c>
      <c r="M3" s="9" t="n">
        <v>16</v>
      </c>
      <c r="N3" s="9" t="n">
        <v>5</v>
      </c>
      <c r="O3" s="9" t="n">
        <v>11</v>
      </c>
      <c r="P3" s="9" t="n">
        <v>20</v>
      </c>
      <c r="Q3" s="9" t="n">
        <v>41</v>
      </c>
      <c r="R3" s="9" t="n"/>
      <c r="S3" s="9" t="n">
        <v>51</v>
      </c>
      <c r="T3" s="9" t="n">
        <v>58</v>
      </c>
      <c r="U3" s="9" t="n">
        <v>65</v>
      </c>
      <c r="V3" s="9" t="n"/>
      <c r="W3" s="9" t="n">
        <v>71</v>
      </c>
      <c r="X3" s="9" t="n">
        <v>72</v>
      </c>
      <c r="Y3" s="9" t="n">
        <v>75</v>
      </c>
      <c r="Z3" s="9" t="n">
        <v>78</v>
      </c>
      <c r="AA3" s="9" t="inlineStr">
        <is>
          <t>AIF_cp_ccp</t>
        </is>
      </c>
      <c r="AB3" s="9" t="n">
        <v>113</v>
      </c>
      <c r="AC3" s="9" t="n">
        <v>115</v>
      </c>
      <c r="AD3" s="9" t="n">
        <v>125</v>
      </c>
      <c r="AE3" s="9" t="n">
        <v>134</v>
      </c>
      <c r="AF3" s="9" t="n">
        <v>138</v>
      </c>
      <c r="AG3" s="9" t="n">
        <v>146</v>
      </c>
      <c r="AH3" s="9" t="n">
        <v>194</v>
      </c>
      <c r="AI3" s="9" t="n">
        <v>208</v>
      </c>
      <c r="AJ3" s="9" t="inlineStr">
        <is>
          <t>219a</t>
        </is>
      </c>
    </row>
    <row r="4" ht="12" customFormat="1" customHeight="1" s="7" thickBot="1">
      <c r="A4" s="6" t="n"/>
      <c r="B4" s="8" t="inlineStr">
        <is>
          <t>shared validation</t>
        </is>
      </c>
      <c r="C4" s="9" t="inlineStr">
        <is>
          <t>EEC</t>
        </is>
      </c>
      <c r="D4" s="9" t="n"/>
      <c r="E4" s="9" t="n"/>
      <c r="F4" s="9" t="n"/>
      <c r="G4" s="9" t="n"/>
      <c r="H4" s="9" t="n"/>
      <c r="I4" s="9" t="inlineStr">
        <is>
          <t>YesNo</t>
        </is>
      </c>
      <c r="J4" s="9" t="inlineStr">
        <is>
          <t>AllCountries</t>
        </is>
      </c>
      <c r="K4" s="9" t="n"/>
      <c r="L4" s="9" t="n"/>
      <c r="M4" s="9" t="n"/>
      <c r="N4" s="9" t="n"/>
      <c r="O4" s="9" t="n"/>
      <c r="P4" s="9" t="n"/>
      <c r="Q4" s="9" t="n"/>
      <c r="R4" s="9" t="inlineStr">
        <is>
          <t>AllCur</t>
        </is>
      </c>
      <c r="S4" s="9" t="n"/>
      <c r="T4" s="9" t="n"/>
      <c r="U4" s="9" t="n"/>
      <c r="V4" s="9" t="n"/>
      <c r="W4" s="9" t="n"/>
      <c r="X4" s="9" t="n"/>
      <c r="Y4" s="9" t="n"/>
      <c r="Z4" s="9" t="n"/>
      <c r="AA4" s="9" t="n"/>
      <c r="AB4" s="9" t="n"/>
      <c r="AC4" s="9" t="n"/>
      <c r="AD4" s="9" t="n"/>
      <c r="AE4" s="9" t="n"/>
      <c r="AF4" s="9" t="n"/>
      <c r="AG4" s="9" t="n"/>
      <c r="AH4" s="9" t="n"/>
      <c r="AI4" s="9" t="n"/>
      <c r="AJ4" s="9" t="n"/>
    </row>
    <row r="5" ht="12" customFormat="1" customHeight="1" s="13" thickBot="1">
      <c r="A5" s="11" t="inlineStr">
        <is>
          <t>#</t>
        </is>
      </c>
      <c r="B5" s="227" t="n"/>
      <c r="C5" s="228" t="n"/>
      <c r="D5" s="228" t="n"/>
      <c r="E5" s="228" t="n"/>
      <c r="F5" s="228" t="n"/>
      <c r="G5" s="229" t="n"/>
      <c r="H5" s="229" t="n"/>
      <c r="I5" s="228" t="n"/>
      <c r="J5" s="228" t="n"/>
      <c r="K5" s="228" t="n"/>
      <c r="L5" s="229" t="n"/>
      <c r="M5" s="228" t="n"/>
      <c r="N5" s="229" t="n"/>
      <c r="O5" s="229" t="n"/>
      <c r="P5" s="229" t="n"/>
      <c r="Q5" s="229" t="n"/>
      <c r="R5" s="229" t="n"/>
      <c r="S5" s="229" t="n"/>
      <c r="T5" s="229" t="n"/>
      <c r="U5" s="229" t="n"/>
      <c r="V5" s="229" t="n"/>
      <c r="W5" s="229" t="n"/>
      <c r="X5" s="229" t="n"/>
      <c r="Y5" s="229" t="n"/>
      <c r="Z5" s="229" t="n"/>
      <c r="AA5" s="229" t="n"/>
      <c r="AB5" s="229" t="n"/>
      <c r="AC5" s="229" t="n"/>
      <c r="AD5" s="229" t="n"/>
      <c r="AE5" s="229" t="n"/>
      <c r="AF5" s="229" t="n"/>
      <c r="AG5" s="229" t="n"/>
      <c r="AH5" s="229" t="n"/>
      <c r="AI5" s="229" t="n"/>
      <c r="AJ5" s="229" t="n"/>
    </row>
    <row r="6" customFormat="1" s="13">
      <c r="A6" s="11" t="inlineStr">
        <is>
          <t>#</t>
        </is>
      </c>
      <c r="B6" s="227" t="inlineStr">
        <is>
          <t>AIF</t>
        </is>
      </c>
      <c r="C6" s="228" t="inlineStr">
        <is>
          <t>AT</t>
        </is>
      </c>
      <c r="D6" s="228" t="inlineStr">
        <is>
          <t>AMND</t>
        </is>
      </c>
      <c r="E6" s="228" t="inlineStr">
        <is>
          <t>Q1</t>
        </is>
      </c>
      <c r="F6" s="228" t="n">
        <v>2018</v>
      </c>
      <c r="G6" s="229" t="inlineStr">
        <is>
          <t>YH</t>
        </is>
      </c>
      <c r="H6" s="229" t="inlineStr">
        <is>
          <t>Q1</t>
        </is>
      </c>
      <c r="I6" s="228" t="inlineStr">
        <is>
          <t>yes</t>
        </is>
      </c>
      <c r="J6" s="228" t="inlineStr">
        <is>
          <t>BE</t>
        </is>
      </c>
      <c r="K6" s="228" t="n">
        <v>1</v>
      </c>
      <c r="L6" s="229" t="n">
        <v>1</v>
      </c>
      <c r="M6" s="228" t="n">
        <v>1</v>
      </c>
      <c r="N6" s="229" t="n">
        <v>1</v>
      </c>
      <c r="O6" s="229" t="n">
        <v>1</v>
      </c>
      <c r="P6" s="229" t="n">
        <v>1</v>
      </c>
      <c r="Q6" s="229" t="inlineStr">
        <is>
          <t>NONE</t>
        </is>
      </c>
      <c r="R6" s="229" t="inlineStr">
        <is>
          <t>CHF</t>
        </is>
      </c>
      <c r="S6" s="229" t="inlineStr">
        <is>
          <t>ECB</t>
        </is>
      </c>
      <c r="T6" s="229" t="inlineStr">
        <is>
          <t>EQTY_LGBS</t>
        </is>
      </c>
      <c r="U6" s="229" t="inlineStr">
        <is>
          <t>CIU_NAM_AETF</t>
        </is>
      </c>
      <c r="V6" s="229" t="n"/>
      <c r="W6" s="229" t="inlineStr">
        <is>
          <t>O</t>
        </is>
      </c>
      <c r="X6" s="229" t="inlineStr">
        <is>
          <t>P</t>
        </is>
      </c>
      <c r="Y6" s="229" t="n"/>
      <c r="Z6" s="229" t="inlineStr">
        <is>
          <t>AFRICA</t>
        </is>
      </c>
      <c r="AA6" s="229" t="inlineStr">
        <is>
          <t>CP</t>
        </is>
      </c>
      <c r="AB6" s="229" t="inlineStr">
        <is>
          <t>V_SMALL</t>
        </is>
      </c>
      <c r="AC6" s="229" t="inlineStr">
        <is>
          <t>MIC</t>
        </is>
      </c>
      <c r="AD6" s="229" t="inlineStr">
        <is>
          <t>CIU_CIU_CIU</t>
        </is>
      </c>
      <c r="AE6" s="229" t="inlineStr">
        <is>
          <t>ACAP</t>
        </is>
      </c>
      <c r="AF6" s="229" t="inlineStr">
        <is>
          <t>NET_EQTY_DELTA</t>
        </is>
      </c>
      <c r="AG6" s="229" t="inlineStr">
        <is>
          <t>HISTO</t>
        </is>
      </c>
      <c r="AH6" s="229" t="inlineStr">
        <is>
          <t>D</t>
        </is>
      </c>
      <c r="AI6" s="229" t="inlineStr">
        <is>
          <t>NFCO</t>
        </is>
      </c>
      <c r="AJ6" s="229" t="n">
        <v>1</v>
      </c>
    </row>
    <row r="7" customFormat="1" s="13">
      <c r="A7" s="11" t="inlineStr">
        <is>
          <t>#</t>
        </is>
      </c>
      <c r="B7" s="230" t="inlineStr">
        <is>
          <t>AIF_ASSUMPTION</t>
        </is>
      </c>
      <c r="C7" s="229" t="inlineStr">
        <is>
          <t>BE</t>
        </is>
      </c>
      <c r="D7" s="229" t="inlineStr">
        <is>
          <t>CANCEL</t>
        </is>
      </c>
      <c r="E7" s="229" t="inlineStr">
        <is>
          <t>Q2</t>
        </is>
      </c>
      <c r="F7" s="229" t="n">
        <v>2019</v>
      </c>
      <c r="G7" s="229" t="inlineStr">
        <is>
          <t>YQ</t>
        </is>
      </c>
      <c r="H7" s="229" t="inlineStr">
        <is>
          <t>Q2</t>
        </is>
      </c>
      <c r="I7" s="229" t="inlineStr">
        <is>
          <t>no</t>
        </is>
      </c>
      <c r="J7" s="229" t="inlineStr">
        <is>
          <t>DE</t>
        </is>
      </c>
      <c r="K7" s="229" t="n">
        <v>2</v>
      </c>
      <c r="L7" s="229" t="n">
        <v>2</v>
      </c>
      <c r="M7" s="229" t="n">
        <v>2</v>
      </c>
      <c r="N7" s="229" t="n">
        <v>2</v>
      </c>
      <c r="O7" s="229" t="n">
        <v>2</v>
      </c>
      <c r="P7" s="229" t="n">
        <v>2</v>
      </c>
      <c r="Q7" s="229" t="inlineStr">
        <is>
          <t>MASTER</t>
        </is>
      </c>
      <c r="R7" s="229" t="inlineStr">
        <is>
          <t>DKK</t>
        </is>
      </c>
      <c r="S7" s="229" t="inlineStr">
        <is>
          <t>OTH</t>
        </is>
      </c>
      <c r="T7" s="229" t="inlineStr">
        <is>
          <t>EQTY_LGST</t>
        </is>
      </c>
      <c r="U7" s="229" t="inlineStr">
        <is>
          <t>CIU_NAM_MMFC</t>
        </is>
      </c>
      <c r="V7" s="229" t="n"/>
      <c r="W7" s="229" t="inlineStr">
        <is>
          <t>F</t>
        </is>
      </c>
      <c r="X7" s="229" t="inlineStr">
        <is>
          <t>C</t>
        </is>
      </c>
      <c r="Y7" s="229" t="inlineStr">
        <is>
          <t>L</t>
        </is>
      </c>
      <c r="Z7" s="229" t="inlineStr">
        <is>
          <t>ASIAPACIFIC</t>
        </is>
      </c>
      <c r="AA7" s="229" t="inlineStr">
        <is>
          <t>CCP</t>
        </is>
      </c>
      <c r="AB7" s="229" t="inlineStr">
        <is>
          <t>SMALL</t>
        </is>
      </c>
      <c r="AC7" s="229" t="inlineStr">
        <is>
          <t>OTC</t>
        </is>
      </c>
      <c r="AD7" s="229" t="inlineStr">
        <is>
          <t>DER_CDS_CDS</t>
        </is>
      </c>
      <c r="AE7" s="229" t="inlineStr">
        <is>
          <t>BOUT</t>
        </is>
      </c>
      <c r="AF7" s="229" t="inlineStr">
        <is>
          <t>NET_DV01</t>
        </is>
      </c>
      <c r="AG7" s="229" t="inlineStr">
        <is>
          <t>CARLO</t>
        </is>
      </c>
      <c r="AH7" s="229" t="inlineStr">
        <is>
          <t>W</t>
        </is>
      </c>
      <c r="AI7" s="229" t="inlineStr">
        <is>
          <t>BANK</t>
        </is>
      </c>
      <c r="AJ7" s="229" t="n">
        <v>2</v>
      </c>
    </row>
    <row r="8" customFormat="1" s="13">
      <c r="A8" s="11" t="inlineStr">
        <is>
          <t>#</t>
        </is>
      </c>
      <c r="B8" s="230" t="inlineStr">
        <is>
          <t>AIF_EXTERNAL</t>
        </is>
      </c>
      <c r="C8" s="229" t="inlineStr">
        <is>
          <t>BG</t>
        </is>
      </c>
      <c r="D8" s="229" t="inlineStr">
        <is>
          <t>INIT</t>
        </is>
      </c>
      <c r="E8" s="229" t="inlineStr">
        <is>
          <t>Q3</t>
        </is>
      </c>
      <c r="F8" s="229" t="n">
        <v>2020</v>
      </c>
      <c r="G8" s="229" t="inlineStr">
        <is>
          <t>HY</t>
        </is>
      </c>
      <c r="H8" s="229" t="inlineStr">
        <is>
          <t>Q3</t>
        </is>
      </c>
      <c r="I8" s="229" t="n"/>
      <c r="J8" s="229" t="inlineStr">
        <is>
          <t>GB</t>
        </is>
      </c>
      <c r="K8" s="229" t="n">
        <v>3</v>
      </c>
      <c r="L8" s="229" t="n">
        <v>3</v>
      </c>
      <c r="M8" s="229" t="n">
        <v>3</v>
      </c>
      <c r="N8" s="229" t="n">
        <v>3</v>
      </c>
      <c r="O8" s="229" t="n">
        <v>3</v>
      </c>
      <c r="P8" s="229" t="n">
        <v>3</v>
      </c>
      <c r="Q8" s="229" t="inlineStr">
        <is>
          <t>FEEDER</t>
        </is>
      </c>
      <c r="R8" s="229" t="inlineStr">
        <is>
          <t>EUR</t>
        </is>
      </c>
      <c r="S8" s="229" t="n"/>
      <c r="T8" s="229" t="inlineStr">
        <is>
          <t>EQTY_MTNL</t>
        </is>
      </c>
      <c r="U8" s="229" t="inlineStr">
        <is>
          <t>CIU_NAM_OTHR</t>
        </is>
      </c>
      <c r="V8" s="229" t="n"/>
      <c r="W8" s="229" t="n"/>
      <c r="X8" s="229" t="inlineStr">
        <is>
          <t>F</t>
        </is>
      </c>
      <c r="Y8" s="229" t="inlineStr">
        <is>
          <t>S</t>
        </is>
      </c>
      <c r="Z8" s="229" t="inlineStr">
        <is>
          <t>EUROPENONEEA</t>
        </is>
      </c>
      <c r="AA8" s="229" t="n"/>
      <c r="AB8" s="229" t="inlineStr">
        <is>
          <t>LOW_MID_MKT</t>
        </is>
      </c>
      <c r="AC8" s="229" t="inlineStr">
        <is>
          <t>XXX</t>
        </is>
      </c>
      <c r="AD8" s="229" t="inlineStr">
        <is>
          <t>DER_CTY_CTY</t>
        </is>
      </c>
      <c r="AE8" s="229" t="inlineStr">
        <is>
          <t>CONS</t>
        </is>
      </c>
      <c r="AF8" s="229" t="inlineStr">
        <is>
          <t>NET_CS01</t>
        </is>
      </c>
      <c r="AG8" s="229" t="inlineStr">
        <is>
          <t>PARAM</t>
        </is>
      </c>
      <c r="AH8" s="229" t="inlineStr">
        <is>
          <t>F</t>
        </is>
      </c>
      <c r="AI8" s="229" t="inlineStr">
        <is>
          <t>INSC</t>
        </is>
      </c>
      <c r="AJ8" s="229" t="n">
        <v>3</v>
      </c>
    </row>
    <row r="9" customFormat="1" s="13">
      <c r="A9" s="11" t="inlineStr">
        <is>
          <t>#</t>
        </is>
      </c>
      <c r="B9" s="230" t="inlineStr">
        <is>
          <t>AIFM</t>
        </is>
      </c>
      <c r="C9" s="229" t="inlineStr">
        <is>
          <t>CY</t>
        </is>
      </c>
      <c r="D9" s="229" t="n"/>
      <c r="E9" s="229" t="inlineStr">
        <is>
          <t>Q4</t>
        </is>
      </c>
      <c r="F9" s="229" t="n">
        <v>2021</v>
      </c>
      <c r="G9" s="229" t="inlineStr">
        <is>
          <t>HQ</t>
        </is>
      </c>
      <c r="H9" s="229" t="inlineStr">
        <is>
          <t>Q4</t>
        </is>
      </c>
      <c r="I9" s="229" t="n"/>
      <c r="J9" s="229" t="inlineStr">
        <is>
          <t>IE</t>
        </is>
      </c>
      <c r="K9" s="229" t="n"/>
      <c r="L9" s="229" t="n">
        <v>4</v>
      </c>
      <c r="M9" s="229" t="n">
        <v>4</v>
      </c>
      <c r="N9" s="229" t="n">
        <v>4</v>
      </c>
      <c r="O9" s="229" t="n">
        <v>4</v>
      </c>
      <c r="P9" s="229" t="n">
        <v>4</v>
      </c>
      <c r="Q9" s="229" t="n"/>
      <c r="R9" s="229" t="inlineStr">
        <is>
          <t>GBP</t>
        </is>
      </c>
      <c r="S9" s="229" t="n"/>
      <c r="T9" s="229" t="inlineStr">
        <is>
          <t>EQTY_STBS</t>
        </is>
      </c>
      <c r="U9" s="229" t="inlineStr">
        <is>
          <t>CIU_OAM_AETF</t>
        </is>
      </c>
      <c r="V9" s="229" t="n"/>
      <c r="W9" s="229" t="n"/>
      <c r="X9" s="229" t="n"/>
      <c r="Y9" s="229" t="n"/>
      <c r="Z9" s="229" t="inlineStr">
        <is>
          <t>EUROPEEEA</t>
        </is>
      </c>
      <c r="AA9" s="229" t="n"/>
      <c r="AB9" s="229" t="inlineStr">
        <is>
          <t>UP_MID_MKT</t>
        </is>
      </c>
      <c r="AC9" s="229" t="n"/>
      <c r="AD9" s="229" t="inlineStr">
        <is>
          <t>DER_EQD_EQD</t>
        </is>
      </c>
      <c r="AE9" s="229" t="inlineStr">
        <is>
          <t>CDIV</t>
        </is>
      </c>
      <c r="AF9" s="229" t="inlineStr">
        <is>
          <t>VEGA_EXPO</t>
        </is>
      </c>
      <c r="AG9" s="11" t="n"/>
      <c r="AH9" s="229" t="inlineStr">
        <is>
          <t>M</t>
        </is>
      </c>
      <c r="AI9" s="229" t="inlineStr">
        <is>
          <t>OFIN</t>
        </is>
      </c>
      <c r="AJ9" s="229" t="n">
        <v>4</v>
      </c>
    </row>
    <row r="10" customFormat="1" s="13">
      <c r="A10" s="11" t="inlineStr">
        <is>
          <t>#</t>
        </is>
      </c>
      <c r="B10" s="230" t="inlineStr">
        <is>
          <t>AIFM_ASSUMPTION</t>
        </is>
      </c>
      <c r="C10" s="229" t="inlineStr">
        <is>
          <t>CZ</t>
        </is>
      </c>
      <c r="D10" s="229" t="n"/>
      <c r="E10" s="229" t="inlineStr">
        <is>
          <t>H1</t>
        </is>
      </c>
      <c r="F10" s="229" t="n">
        <v>2022</v>
      </c>
      <c r="G10" s="229" t="inlineStr">
        <is>
          <t>QY</t>
        </is>
      </c>
      <c r="H10" s="229" t="n"/>
      <c r="I10" s="229" t="n"/>
      <c r="J10" s="229" t="inlineStr">
        <is>
          <t>LU</t>
        </is>
      </c>
      <c r="K10" s="229" t="n"/>
      <c r="L10" s="229" t="n">
        <v>5</v>
      </c>
      <c r="M10" s="229" t="n">
        <v>5</v>
      </c>
      <c r="N10" s="229" t="n">
        <v>5</v>
      </c>
      <c r="O10" s="229" t="n">
        <v>5</v>
      </c>
      <c r="P10" s="229" t="n">
        <v>5</v>
      </c>
      <c r="Q10" s="229" t="n"/>
      <c r="R10" s="229" t="inlineStr">
        <is>
          <t>ISK</t>
        </is>
      </c>
      <c r="S10" s="231" t="n"/>
      <c r="T10" s="229" t="inlineStr">
        <is>
          <t>RELV_FXIA</t>
        </is>
      </c>
      <c r="U10" s="229" t="inlineStr">
        <is>
          <t>CIU_OAM_MMFC</t>
        </is>
      </c>
      <c r="V10" s="229" t="n"/>
      <c r="W10" s="229" t="n"/>
      <c r="X10" s="229" t="n"/>
      <c r="Y10" s="229" t="n"/>
      <c r="Z10" s="229" t="inlineStr">
        <is>
          <t>MIDDLEEAST</t>
        </is>
      </c>
      <c r="AA10" s="229" t="n"/>
      <c r="AB10" s="229" t="inlineStr">
        <is>
          <t>L_CAP</t>
        </is>
      </c>
      <c r="AC10" s="229" t="n"/>
      <c r="AD10" s="229" t="inlineStr">
        <is>
          <t>DER_FEX_HED</t>
        </is>
      </c>
      <c r="AE10" s="229" t="inlineStr">
        <is>
          <t>ESOP</t>
        </is>
      </c>
      <c r="AF10" s="229" t="inlineStr">
        <is>
          <t>VAR</t>
        </is>
      </c>
      <c r="AG10" s="229" t="n"/>
      <c r="AH10" s="229" t="inlineStr">
        <is>
          <t>Q</t>
        </is>
      </c>
      <c r="AI10" s="229" t="inlineStr">
        <is>
          <t>PFND</t>
        </is>
      </c>
      <c r="AJ10" s="229" t="n">
        <v>5</v>
      </c>
    </row>
    <row r="11" customFormat="1" s="13">
      <c r="A11" s="11" t="inlineStr">
        <is>
          <t>#</t>
        </is>
      </c>
      <c r="B11" s="230" t="inlineStr">
        <is>
          <t>BORROW_SOURCE</t>
        </is>
      </c>
      <c r="C11" s="229" t="inlineStr">
        <is>
          <t>DE</t>
        </is>
      </c>
      <c r="D11" s="229" t="n"/>
      <c r="E11" s="229" t="inlineStr">
        <is>
          <t>H2</t>
        </is>
      </c>
      <c r="F11" s="229" t="n">
        <v>2023</v>
      </c>
      <c r="G11" s="229" t="inlineStr">
        <is>
          <t>QH</t>
        </is>
      </c>
      <c r="H11" s="229" t="n"/>
      <c r="I11" s="229" t="n"/>
      <c r="J11" s="229" t="inlineStr">
        <is>
          <t>NL</t>
        </is>
      </c>
      <c r="K11" s="229" t="n"/>
      <c r="L11" s="229" t="n">
        <v>6</v>
      </c>
      <c r="M11" s="229" t="n">
        <v>6</v>
      </c>
      <c r="N11" s="229" t="n"/>
      <c r="O11" s="229" t="n">
        <v>6</v>
      </c>
      <c r="P11" s="229" t="n">
        <v>6</v>
      </c>
      <c r="Q11" s="229" t="n"/>
      <c r="R11" s="229" t="inlineStr">
        <is>
          <t>NOK</t>
        </is>
      </c>
      <c r="S11" s="229" t="n"/>
      <c r="T11" s="231" t="inlineStr">
        <is>
          <t>RELV_CBAR</t>
        </is>
      </c>
      <c r="U11" s="229" t="inlineStr">
        <is>
          <t>CIU_OAM_OTHR</t>
        </is>
      </c>
      <c r="V11" s="229" t="n"/>
      <c r="W11" s="229" t="n"/>
      <c r="X11" s="229" t="n"/>
      <c r="Y11" s="229" t="n"/>
      <c r="Z11" s="229" t="inlineStr">
        <is>
          <t>NORTHAMERICA</t>
        </is>
      </c>
      <c r="AA11" s="231" t="n"/>
      <c r="AB11" s="231" t="inlineStr">
        <is>
          <t>M_CAP</t>
        </is>
      </c>
      <c r="AC11" s="229" t="n"/>
      <c r="AD11" s="229" t="inlineStr">
        <is>
          <t>DER_FEX_INV</t>
        </is>
      </c>
      <c r="AE11" s="231" t="inlineStr">
        <is>
          <t>GCAP</t>
        </is>
      </c>
      <c r="AF11" s="231" t="inlineStr">
        <is>
          <t>NET_FX_DELTA</t>
        </is>
      </c>
      <c r="AG11" s="229" t="n"/>
      <c r="AH11" s="231" t="inlineStr">
        <is>
          <t>H</t>
        </is>
      </c>
      <c r="AI11" s="231" t="inlineStr">
        <is>
          <t>GENG</t>
        </is>
      </c>
      <c r="AJ11" s="231" t="n">
        <v>6</v>
      </c>
    </row>
    <row r="12" customFormat="1" s="13">
      <c r="A12" s="11" t="inlineStr">
        <is>
          <t>#</t>
        </is>
      </c>
      <c r="B12" s="230" t="inlineStr">
        <is>
          <t>CONTROLLED_STRUCTURE</t>
        </is>
      </c>
      <c r="C12" s="229" t="inlineStr">
        <is>
          <t>DK</t>
        </is>
      </c>
      <c r="D12" s="229" t="n"/>
      <c r="E12" s="229" t="inlineStr">
        <is>
          <t>Y1</t>
        </is>
      </c>
      <c r="F12" s="229" t="n">
        <v>2024</v>
      </c>
      <c r="G12" s="229" t="inlineStr">
        <is>
          <t>NQ</t>
        </is>
      </c>
      <c r="H12" s="229" t="n"/>
      <c r="I12" s="229" t="n"/>
      <c r="J12" s="229" t="inlineStr">
        <is>
          <t>US</t>
        </is>
      </c>
      <c r="K12" s="229" t="n"/>
      <c r="L12" s="229" t="n"/>
      <c r="M12" s="229" t="n">
        <v>7</v>
      </c>
      <c r="N12" s="229" t="n"/>
      <c r="O12" s="229" t="n">
        <v>7</v>
      </c>
      <c r="P12" s="229" t="n">
        <v>7</v>
      </c>
      <c r="Q12" s="231" t="n"/>
      <c r="R12" s="229" t="inlineStr">
        <is>
          <t>USD</t>
        </is>
      </c>
      <c r="S12" s="231" t="n"/>
      <c r="T12" s="229" t="inlineStr">
        <is>
          <t>RELV_VLAR</t>
        </is>
      </c>
      <c r="U12" s="229" t="inlineStr">
        <is>
          <t>DER_CDS_EXOT</t>
        </is>
      </c>
      <c r="V12" s="229" t="n"/>
      <c r="W12" s="231" t="n"/>
      <c r="X12" s="231" t="n"/>
      <c r="Y12" s="231" t="n"/>
      <c r="Z12" s="231" t="inlineStr">
        <is>
          <t>SOUTHAMERICA</t>
        </is>
      </c>
      <c r="AA12" s="229" t="n"/>
      <c r="AB12" s="229" t="n"/>
      <c r="AC12" s="231" t="n"/>
      <c r="AD12" s="229" t="inlineStr">
        <is>
          <t>DER_FID_FID</t>
        </is>
      </c>
      <c r="AE12" s="229" t="inlineStr">
        <is>
          <t>RCAP</t>
        </is>
      </c>
      <c r="AF12" s="229" t="inlineStr">
        <is>
          <t>NET_CTY_DELTA</t>
        </is>
      </c>
      <c r="AG12" s="231" t="n"/>
      <c r="AH12" s="229" t="inlineStr">
        <is>
          <t>Y</t>
        </is>
      </c>
      <c r="AI12" s="229" t="inlineStr">
        <is>
          <t>OCIU</t>
        </is>
      </c>
      <c r="AJ12" s="229" t="n">
        <v>7</v>
      </c>
    </row>
    <row r="13" customFormat="1" s="13">
      <c r="A13" s="11" t="inlineStr">
        <is>
          <t>#</t>
        </is>
      </c>
      <c r="B13" s="230" t="inlineStr">
        <is>
          <t>COUNTERPARTY_RISK_PROFILE</t>
        </is>
      </c>
      <c r="C13" s="229" t="inlineStr">
        <is>
          <t>EE</t>
        </is>
      </c>
      <c r="D13" s="229" t="n"/>
      <c r="E13" s="229" t="inlineStr">
        <is>
          <t>X1</t>
        </is>
      </c>
      <c r="F13" s="229" t="n">
        <v>2025</v>
      </c>
      <c r="G13" s="229" t="inlineStr">
        <is>
          <t>NH</t>
        </is>
      </c>
      <c r="H13" s="229" t="n"/>
      <c r="I13" s="229" t="n"/>
      <c r="J13" s="231" t="n"/>
      <c r="K13" s="229" t="n"/>
      <c r="L13" s="229" t="n"/>
      <c r="M13" s="229" t="n">
        <v>8</v>
      </c>
      <c r="N13" s="229" t="n"/>
      <c r="O13" s="229" t="n">
        <v>8</v>
      </c>
      <c r="P13" s="229" t="n">
        <v>8</v>
      </c>
      <c r="Q13" s="229" t="n"/>
      <c r="R13" s="229" t="n"/>
      <c r="S13" s="229" t="n"/>
      <c r="T13" s="229" t="inlineStr">
        <is>
          <t>EVDR_DSRS</t>
        </is>
      </c>
      <c r="U13" s="229" t="inlineStr">
        <is>
          <t>DER_CDS_INDX</t>
        </is>
      </c>
      <c r="V13" s="229" t="n"/>
      <c r="W13" s="229" t="n"/>
      <c r="X13" s="229" t="n"/>
      <c r="Y13" s="229" t="n"/>
      <c r="Z13" s="229" t="inlineStr">
        <is>
          <t>SUPRANATIONAL</t>
        </is>
      </c>
      <c r="AA13" s="229" t="n"/>
      <c r="AB13" s="229" t="n"/>
      <c r="AC13" s="229" t="n"/>
      <c r="AD13" s="229" t="inlineStr">
        <is>
          <t>DER_IRD_IRD</t>
        </is>
      </c>
      <c r="AE13" s="229" t="inlineStr">
        <is>
          <t>SLIQ</t>
        </is>
      </c>
      <c r="AF13" s="11" t="n"/>
      <c r="AG13" s="229" t="n"/>
      <c r="AH13" s="229" t="inlineStr">
        <is>
          <t>O</t>
        </is>
      </c>
      <c r="AI13" s="229" t="inlineStr">
        <is>
          <t>HHLD</t>
        </is>
      </c>
      <c r="AJ13" s="229" t="n">
        <v>8</v>
      </c>
    </row>
    <row r="14" customFormat="1" s="13">
      <c r="A14" s="11" t="inlineStr">
        <is>
          <t>#</t>
        </is>
      </c>
      <c r="B14" s="230" t="inlineStr">
        <is>
          <t>CUSTOM_FX_RATE</t>
        </is>
      </c>
      <c r="C14" s="229" t="inlineStr">
        <is>
          <t>ES</t>
        </is>
      </c>
      <c r="D14" s="229" t="n"/>
      <c r="E14" s="229" t="inlineStr">
        <is>
          <t>X2</t>
        </is>
      </c>
      <c r="F14" s="229" t="n">
        <v>2026</v>
      </c>
      <c r="G14" s="229" t="inlineStr">
        <is>
          <t>NY</t>
        </is>
      </c>
      <c r="H14" s="11" t="n"/>
      <c r="I14" s="229" t="n"/>
      <c r="J14" s="229" t="inlineStr">
        <is>
          <t>AD</t>
        </is>
      </c>
      <c r="K14" s="229" t="n"/>
      <c r="L14" s="229" t="n"/>
      <c r="M14" s="229" t="n">
        <v>9</v>
      </c>
      <c r="N14" s="229" t="n"/>
      <c r="O14" s="229" t="n">
        <v>9</v>
      </c>
      <c r="P14" s="229" t="n">
        <v>9</v>
      </c>
      <c r="Q14" s="229" t="n"/>
      <c r="R14" s="229" t="inlineStr">
        <is>
          <t>AED</t>
        </is>
      </c>
      <c r="S14" s="229" t="n"/>
      <c r="T14" s="229" t="inlineStr">
        <is>
          <t>EVDR_RAMA</t>
        </is>
      </c>
      <c r="U14" s="229" t="inlineStr">
        <is>
          <t>DER_CDS_OTHR</t>
        </is>
      </c>
      <c r="V14" s="229" t="n"/>
      <c r="W14" s="229" t="n"/>
      <c r="X14" s="229" t="n"/>
      <c r="Y14" s="229" t="n"/>
      <c r="Z14" s="229" t="n"/>
      <c r="AA14" s="229" t="n"/>
      <c r="AB14" s="229" t="n"/>
      <c r="AC14" s="229" t="n"/>
      <c r="AD14" s="229" t="inlineStr">
        <is>
          <t>DER_OTH_OTH</t>
        </is>
      </c>
      <c r="AE14" s="229" t="inlineStr">
        <is>
          <t>TURN</t>
        </is>
      </c>
      <c r="AF14" s="229" t="n"/>
      <c r="AG14" s="229" t="n"/>
      <c r="AH14" s="229" t="inlineStr">
        <is>
          <t>N</t>
        </is>
      </c>
      <c r="AI14" s="229" t="inlineStr">
        <is>
          <t>UNKN</t>
        </is>
      </c>
      <c r="AJ14" s="229" t="n">
        <v>9</v>
      </c>
    </row>
    <row r="15" customFormat="1" s="13">
      <c r="A15" s="11" t="inlineStr">
        <is>
          <t>#</t>
        </is>
      </c>
      <c r="B15" s="230" t="inlineStr">
        <is>
          <t>DOMINANT_INFLUENCE</t>
        </is>
      </c>
      <c r="C15" s="229" t="inlineStr">
        <is>
          <t>FI</t>
        </is>
      </c>
      <c r="D15" s="229" t="n"/>
      <c r="E15" s="229" t="n"/>
      <c r="F15" s="229" t="n">
        <v>2027</v>
      </c>
      <c r="G15" s="229" t="n"/>
      <c r="H15" s="229" t="n"/>
      <c r="I15" s="229" t="n"/>
      <c r="J15" s="229" t="inlineStr">
        <is>
          <t>AE</t>
        </is>
      </c>
      <c r="K15" s="229" t="n"/>
      <c r="L15" s="229" t="n"/>
      <c r="M15" s="229" t="n"/>
      <c r="N15" s="229" t="n"/>
      <c r="O15" s="229" t="n">
        <v>10</v>
      </c>
      <c r="P15" s="229" t="n">
        <v>10</v>
      </c>
      <c r="Q15" s="229" t="n"/>
      <c r="R15" s="231" t="inlineStr">
        <is>
          <t>AFN</t>
        </is>
      </c>
      <c r="S15" s="229" t="n"/>
      <c r="T15" s="229" t="inlineStr">
        <is>
          <t>EVDR_EYSS</t>
        </is>
      </c>
      <c r="U15" s="229" t="inlineStr">
        <is>
          <t>DER_CDS_SNFI</t>
        </is>
      </c>
      <c r="V15" s="229" t="n"/>
      <c r="W15" s="229" t="n"/>
      <c r="X15" s="229" t="n"/>
      <c r="Y15" s="229" t="n"/>
      <c r="Z15" s="229" t="n"/>
      <c r="AA15" s="229" t="n"/>
      <c r="AB15" s="229" t="n"/>
      <c r="AC15" s="229" t="n"/>
      <c r="AD15" s="229" t="inlineStr">
        <is>
          <t>OTH_OTH_OTH</t>
        </is>
      </c>
      <c r="AE15" s="229" t="inlineStr">
        <is>
          <t>OTHR</t>
        </is>
      </c>
      <c r="AF15" s="229" t="n"/>
      <c r="AG15" s="229" t="n"/>
      <c r="AH15" s="11" t="n"/>
      <c r="AI15" s="229" t="inlineStr">
        <is>
          <t>NONE</t>
        </is>
      </c>
      <c r="AJ15" s="229" t="n">
        <v>10</v>
      </c>
    </row>
    <row r="16" customFormat="1" s="13">
      <c r="A16" s="11" t="inlineStr">
        <is>
          <t>#</t>
        </is>
      </c>
      <c r="B16" s="230" t="inlineStr">
        <is>
          <t>FINANCE</t>
        </is>
      </c>
      <c r="C16" s="229" t="inlineStr">
        <is>
          <t>FR</t>
        </is>
      </c>
      <c r="D16" s="229" t="n"/>
      <c r="E16" s="229" t="n"/>
      <c r="F16" s="229" t="n">
        <v>2028</v>
      </c>
      <c r="G16" s="229" t="n"/>
      <c r="H16" s="229" t="n"/>
      <c r="I16" s="229" t="n"/>
      <c r="J16" s="229" t="inlineStr">
        <is>
          <t>AF</t>
        </is>
      </c>
      <c r="K16" s="229" t="n"/>
      <c r="L16" s="229" t="n"/>
      <c r="M16" s="229" t="n"/>
      <c r="N16" s="229" t="n"/>
      <c r="O16" s="229" t="n">
        <v>11</v>
      </c>
      <c r="P16" s="229" t="n">
        <v>11</v>
      </c>
      <c r="Q16" s="229" t="n"/>
      <c r="R16" s="229" t="inlineStr">
        <is>
          <t>ALL</t>
        </is>
      </c>
      <c r="S16" s="229" t="n"/>
      <c r="T16" s="229" t="inlineStr">
        <is>
          <t>CRED_LGST</t>
        </is>
      </c>
      <c r="U16" s="229" t="inlineStr">
        <is>
          <t>DER_CDS_SNOT</t>
        </is>
      </c>
      <c r="V16" s="229" t="n"/>
      <c r="W16" s="229" t="n"/>
      <c r="X16" s="229" t="n"/>
      <c r="Y16" s="229" t="n"/>
      <c r="Z16" s="229" t="n"/>
      <c r="AA16" s="229" t="n"/>
      <c r="AB16" s="229" t="n"/>
      <c r="AC16" s="229" t="n"/>
      <c r="AD16" s="229" t="inlineStr">
        <is>
          <t>PHY_ART_ART</t>
        </is>
      </c>
      <c r="AE16" s="11" t="n"/>
      <c r="AF16" s="229" t="n"/>
      <c r="AG16" s="229" t="n"/>
      <c r="AH16" s="229" t="n"/>
      <c r="AI16" s="229" t="n"/>
      <c r="AJ16" s="229" t="n">
        <v>11</v>
      </c>
    </row>
    <row r="17" customFormat="1" s="13">
      <c r="A17" s="11" t="inlineStr">
        <is>
          <t>#</t>
        </is>
      </c>
      <c r="B17" s="230" t="inlineStr">
        <is>
          <t>FINANCING_LIQUIDITY</t>
        </is>
      </c>
      <c r="C17" s="229" t="inlineStr">
        <is>
          <t>GB</t>
        </is>
      </c>
      <c r="D17" s="229" t="n"/>
      <c r="E17" s="229" t="n"/>
      <c r="F17" s="229" t="n">
        <v>2029</v>
      </c>
      <c r="G17" s="229" t="n"/>
      <c r="H17" s="229" t="n"/>
      <c r="I17" s="229" t="n"/>
      <c r="J17" s="229" t="inlineStr">
        <is>
          <t>AG</t>
        </is>
      </c>
      <c r="K17" s="229" t="n"/>
      <c r="L17" s="229" t="n"/>
      <c r="M17" s="229" t="n"/>
      <c r="N17" s="229" t="n"/>
      <c r="O17" s="229" t="n">
        <v>12</v>
      </c>
      <c r="P17" s="229" t="n">
        <v>12</v>
      </c>
      <c r="Q17" s="229" t="n"/>
      <c r="R17" s="229" t="inlineStr">
        <is>
          <t>AMD</t>
        </is>
      </c>
      <c r="S17" s="229" t="n"/>
      <c r="T17" s="229" t="inlineStr">
        <is>
          <t>CRED_ABLG</t>
        </is>
      </c>
      <c r="U17" s="229" t="inlineStr">
        <is>
          <t>DER_CDS_SNSO</t>
        </is>
      </c>
      <c r="V17" s="229" t="n"/>
      <c r="W17" s="229" t="n"/>
      <c r="X17" s="229" t="n"/>
      <c r="Y17" s="229" t="n"/>
      <c r="Z17" s="229" t="n"/>
      <c r="AA17" s="229" t="n"/>
      <c r="AB17" s="229" t="n"/>
      <c r="AC17" s="229" t="n"/>
      <c r="AD17" s="229" t="inlineStr">
        <is>
          <t>PHY_CTY_CTY</t>
        </is>
      </c>
      <c r="AE17" s="229" t="n"/>
      <c r="AF17" s="229" t="n"/>
      <c r="AG17" s="229" t="n"/>
      <c r="AH17" s="229" t="n"/>
      <c r="AI17" s="229" t="n"/>
      <c r="AJ17" s="229" t="n">
        <v>12</v>
      </c>
    </row>
    <row r="18" customFormat="1" s="13">
      <c r="A18" s="11" t="inlineStr">
        <is>
          <t>#</t>
        </is>
      </c>
      <c r="B18" s="230" t="inlineStr">
        <is>
          <t>HISTORICAL_RISK_PROFILE</t>
        </is>
      </c>
      <c r="C18" s="229" t="inlineStr">
        <is>
          <t>GG</t>
        </is>
      </c>
      <c r="D18" s="229" t="n"/>
      <c r="E18" s="229" t="n"/>
      <c r="F18" s="229" t="n">
        <v>2030</v>
      </c>
      <c r="G18" s="229" t="n"/>
      <c r="H18" s="229" t="n"/>
      <c r="I18" s="229" t="n"/>
      <c r="J18" s="229" t="inlineStr">
        <is>
          <t>AI</t>
        </is>
      </c>
      <c r="K18" s="229" t="n"/>
      <c r="L18" s="229" t="n"/>
      <c r="M18" s="229" t="n"/>
      <c r="N18" s="229" t="n"/>
      <c r="O18" s="229" t="n">
        <v>13</v>
      </c>
      <c r="P18" s="229" t="n">
        <v>13</v>
      </c>
      <c r="Q18" s="229" t="n"/>
      <c r="R18" s="229" t="inlineStr">
        <is>
          <t>ANG</t>
        </is>
      </c>
      <c r="S18" s="229" t="n"/>
      <c r="T18" s="229" t="inlineStr">
        <is>
          <t>MACR_MACR</t>
        </is>
      </c>
      <c r="U18" s="229" t="inlineStr">
        <is>
          <t>DER_CTY_ECOL</t>
        </is>
      </c>
      <c r="V18" s="229" t="n"/>
      <c r="W18" s="229" t="n"/>
      <c r="X18" s="229" t="n"/>
      <c r="Y18" s="229" t="n"/>
      <c r="Z18" s="229" t="n"/>
      <c r="AA18" s="229" t="n"/>
      <c r="AB18" s="229" t="n"/>
      <c r="AC18" s="229" t="n"/>
      <c r="AD18" s="229" t="inlineStr">
        <is>
          <t>PHY_OTH_OTH</t>
        </is>
      </c>
      <c r="AE18" s="229" t="n"/>
      <c r="AF18" s="229" t="n"/>
      <c r="AG18" s="229" t="n"/>
      <c r="AH18" s="229" t="n"/>
      <c r="AI18" s="229" t="n"/>
      <c r="AJ18" s="229" t="n"/>
    </row>
    <row r="19" customFormat="1" s="13">
      <c r="A19" s="11" t="inlineStr">
        <is>
          <t>#</t>
        </is>
      </c>
      <c r="B19" s="230" t="inlineStr">
        <is>
          <t>INVESTOR</t>
        </is>
      </c>
      <c r="C19" s="229" t="inlineStr">
        <is>
          <t>GR</t>
        </is>
      </c>
      <c r="D19" s="229" t="n"/>
      <c r="E19" s="229" t="n"/>
      <c r="F19" s="229" t="n"/>
      <c r="G19" s="229" t="n"/>
      <c r="H19" s="229" t="n"/>
      <c r="I19" s="229" t="n"/>
      <c r="J19" s="229" t="inlineStr">
        <is>
          <t>AL</t>
        </is>
      </c>
      <c r="K19" s="229" t="n"/>
      <c r="L19" s="229" t="n"/>
      <c r="M19" s="229" t="n"/>
      <c r="N19" s="229" t="n"/>
      <c r="O19" s="229" t="n">
        <v>14</v>
      </c>
      <c r="P19" s="229" t="n">
        <v>14</v>
      </c>
      <c r="Q19" s="229" t="n"/>
      <c r="R19" s="229" t="inlineStr">
        <is>
          <t>AOA</t>
        </is>
      </c>
      <c r="S19" s="229" t="n"/>
      <c r="T19" s="229" t="inlineStr">
        <is>
          <t>MANF_CTAF</t>
        </is>
      </c>
      <c r="U19" s="229" t="inlineStr">
        <is>
          <t>DER_CTY_ENNG</t>
        </is>
      </c>
      <c r="V19" s="229" t="n"/>
      <c r="W19" s="229" t="n"/>
      <c r="X19" s="229" t="n"/>
      <c r="Y19" s="229" t="n"/>
      <c r="Z19" s="229" t="n"/>
      <c r="AA19" s="229" t="n"/>
      <c r="AB19" s="229" t="n"/>
      <c r="AC19" s="229" t="n"/>
      <c r="AD19" s="229" t="inlineStr">
        <is>
          <t>PHY_RES_RES</t>
        </is>
      </c>
      <c r="AE19" s="229" t="n"/>
      <c r="AF19" s="229" t="n"/>
      <c r="AG19" s="229" t="n"/>
      <c r="AH19" s="229" t="n"/>
      <c r="AI19" s="229" t="n"/>
      <c r="AJ19" s="229" t="n"/>
    </row>
    <row r="20" customFormat="1" s="13">
      <c r="A20" s="11" t="inlineStr">
        <is>
          <t>#</t>
        </is>
      </c>
      <c r="B20" s="230" t="inlineStr">
        <is>
          <t>INVESTOR_LIQUIDITY_PROFILE</t>
        </is>
      </c>
      <c r="C20" s="229" t="inlineStr">
        <is>
          <t>HR</t>
        </is>
      </c>
      <c r="D20" s="229" t="n"/>
      <c r="E20" s="229" t="n"/>
      <c r="F20" s="229" t="n"/>
      <c r="G20" s="229" t="n"/>
      <c r="H20" s="229" t="n"/>
      <c r="I20" s="229" t="n"/>
      <c r="J20" s="229" t="inlineStr">
        <is>
          <t>AM</t>
        </is>
      </c>
      <c r="K20" s="229" t="n"/>
      <c r="L20" s="229" t="n"/>
      <c r="M20" s="229" t="n"/>
      <c r="N20" s="229" t="n"/>
      <c r="O20" s="229" t="n">
        <v>15</v>
      </c>
      <c r="P20" s="229" t="n">
        <v>15</v>
      </c>
      <c r="Q20" s="229" t="n"/>
      <c r="R20" s="229" t="inlineStr">
        <is>
          <t>ARS</t>
        </is>
      </c>
      <c r="S20" s="229" t="n"/>
      <c r="T20" s="229" t="inlineStr">
        <is>
          <t>MANF_CTAQ</t>
        </is>
      </c>
      <c r="U20" s="229" t="inlineStr">
        <is>
          <t>DER_CTY_ENOT</t>
        </is>
      </c>
      <c r="V20" s="229" t="n"/>
      <c r="W20" s="229" t="n"/>
      <c r="X20" s="229" t="n"/>
      <c r="Y20" s="229" t="n"/>
      <c r="Z20" s="229" t="n"/>
      <c r="AA20" s="229" t="n"/>
      <c r="AB20" s="229" t="n"/>
      <c r="AC20" s="229" t="n"/>
      <c r="AD20" s="229" t="inlineStr">
        <is>
          <t>PHY_TIM_TIM</t>
        </is>
      </c>
      <c r="AE20" s="229" t="n"/>
      <c r="AF20" s="229" t="n"/>
      <c r="AG20" s="229" t="n"/>
      <c r="AH20" s="229" t="n"/>
      <c r="AI20" s="229" t="n"/>
      <c r="AJ20" s="229" t="n"/>
    </row>
    <row r="21" customFormat="1" s="13">
      <c r="A21" s="11" t="inlineStr">
        <is>
          <t>#</t>
        </is>
      </c>
      <c r="B21" s="230" t="inlineStr">
        <is>
          <t>INVESTOR_REDEMPTION</t>
        </is>
      </c>
      <c r="C21" s="229" t="inlineStr">
        <is>
          <t>HU</t>
        </is>
      </c>
      <c r="D21" s="229" t="n"/>
      <c r="E21" s="229" t="n"/>
      <c r="F21" s="229" t="n"/>
      <c r="G21" s="229" t="n"/>
      <c r="H21" s="229" t="n"/>
      <c r="I21" s="229" t="n"/>
      <c r="J21" s="229" t="inlineStr">
        <is>
          <t>AN</t>
        </is>
      </c>
      <c r="K21" s="229" t="n"/>
      <c r="L21" s="229" t="n"/>
      <c r="M21" s="229" t="n"/>
      <c r="N21" s="229" t="n"/>
      <c r="O21" s="229" t="n">
        <v>16</v>
      </c>
      <c r="P21" s="229" t="n">
        <v>16</v>
      </c>
      <c r="Q21" s="229" t="n"/>
      <c r="R21" s="229" t="inlineStr">
        <is>
          <t>AUD</t>
        </is>
      </c>
      <c r="S21" s="229" t="n"/>
      <c r="T21" s="229" t="inlineStr">
        <is>
          <t>OTHR_HFND</t>
        </is>
      </c>
      <c r="U21" s="229" t="inlineStr">
        <is>
          <t>DER_CTY_ENPW</t>
        </is>
      </c>
      <c r="V21" s="229" t="n"/>
      <c r="W21" s="229" t="n"/>
      <c r="X21" s="229" t="n"/>
      <c r="Y21" s="229" t="n"/>
      <c r="Z21" s="229" t="n"/>
      <c r="AA21" s="229" t="n"/>
      <c r="AB21" s="229" t="n"/>
      <c r="AC21" s="229" t="n"/>
      <c r="AD21" s="229" t="inlineStr">
        <is>
          <t>PHY_TPT_TPT</t>
        </is>
      </c>
      <c r="AE21" s="229" t="n"/>
      <c r="AF21" s="229" t="n"/>
      <c r="AG21" s="229" t="n"/>
      <c r="AH21" s="229" t="n"/>
      <c r="AI21" s="229" t="n"/>
      <c r="AJ21" s="229" t="n"/>
    </row>
    <row r="22" customFormat="1" s="13">
      <c r="A22" s="11" t="inlineStr">
        <is>
          <t>#</t>
        </is>
      </c>
      <c r="B22" s="230" t="inlineStr">
        <is>
          <t>MASTER_FEEDER</t>
        </is>
      </c>
      <c r="C22" s="229" t="inlineStr">
        <is>
          <t>IE</t>
        </is>
      </c>
      <c r="D22" s="229" t="n"/>
      <c r="E22" s="229" t="n"/>
      <c r="F22" s="229" t="n"/>
      <c r="G22" s="229" t="n"/>
      <c r="H22" s="229" t="n"/>
      <c r="I22" s="229" t="n"/>
      <c r="J22" s="229" t="inlineStr">
        <is>
          <t>AO</t>
        </is>
      </c>
      <c r="K22" s="229" t="n"/>
      <c r="L22" s="229" t="n"/>
      <c r="M22" s="229" t="n"/>
      <c r="N22" s="229" t="n"/>
      <c r="O22" s="229" t="n">
        <v>17</v>
      </c>
      <c r="P22" s="229" t="n">
        <v>17</v>
      </c>
      <c r="Q22" s="229" t="n"/>
      <c r="R22" s="229" t="inlineStr">
        <is>
          <t>AWG</t>
        </is>
      </c>
      <c r="S22" s="229" t="n"/>
      <c r="T22" s="229" t="inlineStr">
        <is>
          <t>VENT_CAPL</t>
        </is>
      </c>
      <c r="U22" s="229" t="inlineStr">
        <is>
          <t>DER_CTY_OTAP</t>
        </is>
      </c>
      <c r="V22" s="229" t="n"/>
      <c r="W22" s="229" t="n"/>
      <c r="X22" s="229" t="n"/>
      <c r="Y22" s="229" t="n"/>
      <c r="Z22" s="229" t="n"/>
      <c r="AA22" s="229" t="n"/>
      <c r="AB22" s="229" t="n"/>
      <c r="AC22" s="229" t="n"/>
      <c r="AD22" s="229" t="inlineStr">
        <is>
          <t>SEC_CBD_CBD</t>
        </is>
      </c>
      <c r="AE22" s="229" t="n"/>
      <c r="AF22" s="229" t="n"/>
      <c r="AG22" s="229" t="n"/>
      <c r="AH22" s="229" t="n"/>
      <c r="AI22" s="229" t="n"/>
      <c r="AJ22" s="229" t="n"/>
    </row>
    <row r="23" customFormat="1" s="13">
      <c r="A23" s="11" t="inlineStr">
        <is>
          <t>#</t>
        </is>
      </c>
      <c r="B23" s="230" t="inlineStr">
        <is>
          <t>PORTFOLIO_LIQUIDITY_PROFILE</t>
        </is>
      </c>
      <c r="C23" s="229" t="inlineStr">
        <is>
          <t>IS</t>
        </is>
      </c>
      <c r="D23" s="229" t="n"/>
      <c r="E23" s="229" t="n"/>
      <c r="F23" s="229" t="n"/>
      <c r="G23" s="229" t="n"/>
      <c r="H23" s="229" t="n"/>
      <c r="I23" s="229" t="n"/>
      <c r="J23" s="229" t="inlineStr">
        <is>
          <t>AQ</t>
        </is>
      </c>
      <c r="K23" s="229" t="n"/>
      <c r="L23" s="229" t="n"/>
      <c r="M23" s="229" t="n"/>
      <c r="N23" s="229" t="n"/>
      <c r="O23" s="229" t="n">
        <v>18</v>
      </c>
      <c r="P23" s="229" t="n">
        <v>18</v>
      </c>
      <c r="Q23" s="229" t="n"/>
      <c r="R23" s="229" t="inlineStr">
        <is>
          <t>AZN</t>
        </is>
      </c>
      <c r="S23" s="229" t="n"/>
      <c r="T23" s="229" t="inlineStr">
        <is>
          <t>GRTH_CAPL</t>
        </is>
      </c>
      <c r="U23" s="229" t="inlineStr">
        <is>
          <t>DER_CTY_OTHR</t>
        </is>
      </c>
      <c r="V23" s="229" t="n"/>
      <c r="W23" s="229" t="n"/>
      <c r="X23" s="229" t="n"/>
      <c r="Y23" s="229" t="n"/>
      <c r="Z23" s="229" t="n"/>
      <c r="AA23" s="229" t="n"/>
      <c r="AB23" s="229" t="n"/>
      <c r="AC23" s="229" t="n"/>
      <c r="AD23" s="229" t="inlineStr">
        <is>
          <t>SEC_CPI_CPI</t>
        </is>
      </c>
      <c r="AE23" s="229" t="n"/>
      <c r="AF23" s="229" t="n"/>
      <c r="AG23" s="229" t="n"/>
      <c r="AH23" s="229" t="n"/>
      <c r="AI23" s="229" t="n"/>
      <c r="AJ23" s="229" t="n"/>
    </row>
    <row r="24" customFormat="1" s="13">
      <c r="A24" s="11" t="inlineStr">
        <is>
          <t>#</t>
        </is>
      </c>
      <c r="B24" s="230" t="inlineStr">
        <is>
          <t>POSITION</t>
        </is>
      </c>
      <c r="C24" s="229" t="inlineStr">
        <is>
          <t>IT</t>
        </is>
      </c>
      <c r="D24" s="229" t="n"/>
      <c r="E24" s="229" t="n"/>
      <c r="F24" s="229" t="n"/>
      <c r="G24" s="229" t="n"/>
      <c r="H24" s="229" t="n"/>
      <c r="I24" s="229" t="n"/>
      <c r="J24" s="229" t="inlineStr">
        <is>
          <t>AR</t>
        </is>
      </c>
      <c r="K24" s="229" t="n"/>
      <c r="L24" s="229" t="n"/>
      <c r="M24" s="229" t="n"/>
      <c r="N24" s="229" t="n"/>
      <c r="O24" s="229" t="n">
        <v>19</v>
      </c>
      <c r="P24" s="229" t="n">
        <v>19</v>
      </c>
      <c r="Q24" s="229" t="n"/>
      <c r="R24" s="229" t="inlineStr">
        <is>
          <t>BAM</t>
        </is>
      </c>
      <c r="S24" s="229" t="n"/>
      <c r="T24" s="229" t="inlineStr">
        <is>
          <t>MZNE_CAPL</t>
        </is>
      </c>
      <c r="U24" s="229" t="inlineStr">
        <is>
          <t>DER_CTY_OTIM</t>
        </is>
      </c>
      <c r="V24" s="229" t="n"/>
      <c r="W24" s="229" t="n"/>
      <c r="X24" s="229" t="n"/>
      <c r="Y24" s="229" t="n"/>
      <c r="Z24" s="229" t="n"/>
      <c r="AA24" s="229" t="n"/>
      <c r="AB24" s="229" t="n"/>
      <c r="AC24" s="229" t="n"/>
      <c r="AD24" s="229" t="inlineStr">
        <is>
          <t>SEC_CPN_IVG</t>
        </is>
      </c>
      <c r="AE24" s="229" t="n"/>
      <c r="AF24" s="229" t="n"/>
      <c r="AG24" s="229" t="n"/>
      <c r="AH24" s="229" t="n"/>
      <c r="AI24" s="229" t="n"/>
      <c r="AJ24" s="229" t="n"/>
    </row>
    <row r="25" customFormat="1" s="13">
      <c r="A25" s="11" t="inlineStr">
        <is>
          <t>#</t>
        </is>
      </c>
      <c r="B25" s="230" t="inlineStr">
        <is>
          <t>POSITION_EXTERNAL</t>
        </is>
      </c>
      <c r="C25" s="229" t="inlineStr">
        <is>
          <t>JE</t>
        </is>
      </c>
      <c r="D25" s="229" t="n"/>
      <c r="E25" s="229" t="n"/>
      <c r="F25" s="229" t="n"/>
      <c r="G25" s="229" t="n"/>
      <c r="H25" s="229" t="n"/>
      <c r="I25" s="229" t="n"/>
      <c r="J25" s="229" t="inlineStr">
        <is>
          <t>AS</t>
        </is>
      </c>
      <c r="K25" s="229" t="n"/>
      <c r="L25" s="229" t="n"/>
      <c r="M25" s="229" t="n"/>
      <c r="N25" s="229" t="n"/>
      <c r="O25" s="229" t="n">
        <v>20</v>
      </c>
      <c r="P25" s="229" t="n">
        <v>20</v>
      </c>
      <c r="Q25" s="229" t="n"/>
      <c r="R25" s="229" t="inlineStr">
        <is>
          <t>BBD</t>
        </is>
      </c>
      <c r="S25" s="229" t="n"/>
      <c r="T25" s="229" t="inlineStr">
        <is>
          <t>OTHR_PEQF</t>
        </is>
      </c>
      <c r="U25" s="229" t="inlineStr">
        <is>
          <t>DER_CTY_OTLS</t>
        </is>
      </c>
      <c r="V25" s="229" t="n"/>
      <c r="W25" s="229" t="n"/>
      <c r="X25" s="229" t="n"/>
      <c r="Y25" s="229" t="n"/>
      <c r="Z25" s="229" t="n"/>
      <c r="AA25" s="229" t="n"/>
      <c r="AB25" s="229" t="n"/>
      <c r="AC25" s="229" t="n"/>
      <c r="AD25" s="229" t="inlineStr">
        <is>
          <t>SEC_CPN_NIG</t>
        </is>
      </c>
      <c r="AE25" s="229" t="n"/>
      <c r="AF25" s="229" t="n"/>
      <c r="AG25" s="229" t="n"/>
      <c r="AH25" s="229" t="n"/>
      <c r="AI25" s="229" t="n"/>
      <c r="AJ25" s="229" t="n"/>
    </row>
    <row r="26" customFormat="1" s="13">
      <c r="A26" s="11" t="inlineStr">
        <is>
          <t>#</t>
        </is>
      </c>
      <c r="B26" s="230" t="inlineStr">
        <is>
          <t>PRIME_BROKER</t>
        </is>
      </c>
      <c r="C26" s="229" t="inlineStr">
        <is>
          <t>LI</t>
        </is>
      </c>
      <c r="D26" s="229" t="n"/>
      <c r="E26" s="229" t="n"/>
      <c r="F26" s="229" t="n"/>
      <c r="G26" s="229" t="n"/>
      <c r="H26" s="229" t="n"/>
      <c r="I26" s="229" t="n"/>
      <c r="J26" s="229" t="inlineStr">
        <is>
          <t>AT</t>
        </is>
      </c>
      <c r="K26" s="229" t="n"/>
      <c r="L26" s="229" t="n"/>
      <c r="M26" s="229" t="n"/>
      <c r="N26" s="229" t="n"/>
      <c r="O26" s="229" t="n">
        <v>21</v>
      </c>
      <c r="P26" s="229" t="n">
        <v>21</v>
      </c>
      <c r="Q26" s="229" t="n"/>
      <c r="R26" s="229" t="inlineStr">
        <is>
          <t>BDT</t>
        </is>
      </c>
      <c r="S26" s="229" t="n"/>
      <c r="T26" s="229" t="inlineStr">
        <is>
          <t>RESL_REST</t>
        </is>
      </c>
      <c r="U26" s="229" t="inlineStr">
        <is>
          <t>DER_CTY_PMGD</t>
        </is>
      </c>
      <c r="V26" s="229" t="n"/>
      <c r="W26" s="229" t="n"/>
      <c r="X26" s="229" t="n"/>
      <c r="Y26" s="229" t="n"/>
      <c r="Z26" s="229" t="n"/>
      <c r="AA26" s="229" t="n"/>
      <c r="AB26" s="229" t="n"/>
      <c r="AC26" s="229" t="n"/>
      <c r="AD26" s="229" t="inlineStr">
        <is>
          <t>SEC_CSH_CSH</t>
        </is>
      </c>
      <c r="AE26" s="229" t="n"/>
      <c r="AF26" s="229" t="n"/>
      <c r="AG26" s="229" t="n"/>
      <c r="AH26" s="229" t="n"/>
      <c r="AI26" s="229" t="n"/>
      <c r="AJ26" s="229" t="n"/>
    </row>
    <row r="27" customFormat="1" s="13">
      <c r="A27" s="11" t="inlineStr">
        <is>
          <t>#</t>
        </is>
      </c>
      <c r="B27" s="230" t="inlineStr">
        <is>
          <t>RISK</t>
        </is>
      </c>
      <c r="C27" s="229" t="inlineStr">
        <is>
          <t>LT</t>
        </is>
      </c>
      <c r="D27" s="229" t="n"/>
      <c r="E27" s="229" t="n"/>
      <c r="F27" s="229" t="n"/>
      <c r="G27" s="229" t="n"/>
      <c r="H27" s="229" t="n"/>
      <c r="I27" s="229" t="n"/>
      <c r="J27" s="229" t="inlineStr">
        <is>
          <t>AU</t>
        </is>
      </c>
      <c r="K27" s="229" t="n"/>
      <c r="L27" s="229" t="n"/>
      <c r="M27" s="229" t="n"/>
      <c r="N27" s="229" t="n"/>
      <c r="O27" s="229" t="n">
        <v>22</v>
      </c>
      <c r="P27" s="229" t="n">
        <v>22</v>
      </c>
      <c r="Q27" s="229" t="n"/>
      <c r="R27" s="229" t="inlineStr">
        <is>
          <t>BGN</t>
        </is>
      </c>
      <c r="S27" s="229" t="n"/>
      <c r="T27" s="229" t="inlineStr">
        <is>
          <t>COML_REST</t>
        </is>
      </c>
      <c r="U27" s="229" t="inlineStr">
        <is>
          <t>DER_CTY_PMOT</t>
        </is>
      </c>
      <c r="V27" s="229" t="n"/>
      <c r="W27" s="229" t="n"/>
      <c r="X27" s="229" t="n"/>
      <c r="Y27" s="229" t="n"/>
      <c r="Z27" s="229" t="n"/>
      <c r="AA27" s="229" t="n"/>
      <c r="AB27" s="229" t="n"/>
      <c r="AC27" s="229" t="n"/>
      <c r="AD27" s="229" t="inlineStr">
        <is>
          <t>SEC_LEQ_LEQ</t>
        </is>
      </c>
      <c r="AE27" s="229" t="n"/>
      <c r="AF27" s="229" t="n"/>
      <c r="AG27" s="229" t="n"/>
      <c r="AH27" s="229" t="n"/>
      <c r="AI27" s="229" t="n"/>
      <c r="AJ27" s="229" t="n"/>
    </row>
    <row r="28" customFormat="1" s="13">
      <c r="A28" s="11" t="inlineStr">
        <is>
          <t>#</t>
        </is>
      </c>
      <c r="B28" s="230" t="inlineStr">
        <is>
          <t>SHARE_CLASS</t>
        </is>
      </c>
      <c r="C28" s="229" t="inlineStr">
        <is>
          <t>LU</t>
        </is>
      </c>
      <c r="D28" s="229" t="n"/>
      <c r="E28" s="229" t="n"/>
      <c r="F28" s="229" t="n"/>
      <c r="G28" s="229" t="n"/>
      <c r="H28" s="229" t="n"/>
      <c r="I28" s="229" t="n"/>
      <c r="J28" s="229" t="inlineStr">
        <is>
          <t>AW</t>
        </is>
      </c>
      <c r="K28" s="229" t="n"/>
      <c r="L28" s="229" t="n"/>
      <c r="M28" s="229" t="n"/>
      <c r="N28" s="229" t="n"/>
      <c r="O28" s="229" t="n">
        <v>23</v>
      </c>
      <c r="P28" s="229" t="n">
        <v>23</v>
      </c>
      <c r="Q28" s="229" t="n"/>
      <c r="R28" s="229" t="inlineStr">
        <is>
          <t>BHD</t>
        </is>
      </c>
      <c r="S28" s="229" t="n"/>
      <c r="T28" s="229" t="inlineStr">
        <is>
          <t>INDL_REST</t>
        </is>
      </c>
      <c r="U28" s="229" t="inlineStr">
        <is>
          <t>DER_EQD_FINI</t>
        </is>
      </c>
      <c r="V28" s="229" t="n"/>
      <c r="W28" s="229" t="n"/>
      <c r="X28" s="229" t="n"/>
      <c r="Y28" s="229" t="n"/>
      <c r="Z28" s="229" t="n"/>
      <c r="AA28" s="229" t="n"/>
      <c r="AB28" s="229" t="n"/>
      <c r="AC28" s="229" t="n"/>
      <c r="AD28" s="229" t="inlineStr">
        <is>
          <t>SEC_LON_LON</t>
        </is>
      </c>
      <c r="AE28" s="229" t="n"/>
      <c r="AF28" s="229" t="n"/>
      <c r="AG28" s="229" t="n"/>
      <c r="AH28" s="229" t="n"/>
      <c r="AI28" s="229" t="n"/>
      <c r="AJ28" s="229" t="n"/>
    </row>
    <row r="29" customFormat="1" s="13">
      <c r="A29" s="11" t="inlineStr">
        <is>
          <t>#</t>
        </is>
      </c>
      <c r="B29" s="230" t="inlineStr">
        <is>
          <t>SPECIAL_ARRANGEMENT</t>
        </is>
      </c>
      <c r="C29" s="229" t="inlineStr">
        <is>
          <t>LV</t>
        </is>
      </c>
      <c r="D29" s="229" t="n"/>
      <c r="E29" s="229" t="n"/>
      <c r="F29" s="229" t="n"/>
      <c r="G29" s="229" t="n"/>
      <c r="H29" s="229" t="n"/>
      <c r="I29" s="229" t="n"/>
      <c r="J29" s="229" t="inlineStr">
        <is>
          <t>AX</t>
        </is>
      </c>
      <c r="K29" s="229" t="n"/>
      <c r="L29" s="229" t="n"/>
      <c r="M29" s="229" t="n"/>
      <c r="N29" s="229" t="n"/>
      <c r="O29" s="229" t="n">
        <v>24</v>
      </c>
      <c r="P29" s="229" t="n">
        <v>24</v>
      </c>
      <c r="Q29" s="229" t="n"/>
      <c r="R29" s="229" t="inlineStr">
        <is>
          <t>BIF</t>
        </is>
      </c>
      <c r="S29" s="229" t="n"/>
      <c r="T29" s="229" t="inlineStr">
        <is>
          <t>OTHR_REST</t>
        </is>
      </c>
      <c r="U29" s="229" t="inlineStr">
        <is>
          <t>DER_EQD_OTHD</t>
        </is>
      </c>
      <c r="V29" s="229" t="n"/>
      <c r="W29" s="229" t="n"/>
      <c r="X29" s="229" t="n"/>
      <c r="Y29" s="229" t="n"/>
      <c r="Z29" s="229" t="n"/>
      <c r="AA29" s="229" t="n"/>
      <c r="AB29" s="229" t="n"/>
      <c r="AC29" s="229" t="n"/>
      <c r="AD29" s="229" t="inlineStr">
        <is>
          <t>SEC_MUN_MUN</t>
        </is>
      </c>
      <c r="AE29" s="229" t="n"/>
      <c r="AF29" s="229" t="n"/>
      <c r="AG29" s="229" t="n"/>
      <c r="AH29" s="229" t="n"/>
      <c r="AI29" s="229" t="n"/>
      <c r="AJ29" s="229" t="n"/>
    </row>
    <row r="30" customFormat="1" s="13">
      <c r="A30" s="11" t="inlineStr">
        <is>
          <t>#</t>
        </is>
      </c>
      <c r="B30" s="230" t="inlineStr">
        <is>
          <t>STRATEGY</t>
        </is>
      </c>
      <c r="C30" s="229" t="inlineStr">
        <is>
          <t>MT</t>
        </is>
      </c>
      <c r="D30" s="229" t="n"/>
      <c r="E30" s="229" t="n"/>
      <c r="F30" s="229" t="n"/>
      <c r="G30" s="229" t="n"/>
      <c r="H30" s="229" t="n"/>
      <c r="I30" s="229" t="n"/>
      <c r="J30" s="229" t="inlineStr">
        <is>
          <t>AZ</t>
        </is>
      </c>
      <c r="K30" s="229" t="n"/>
      <c r="L30" s="229" t="n"/>
      <c r="M30" s="229" t="n"/>
      <c r="N30" s="229" t="n"/>
      <c r="O30" s="229" t="n">
        <v>25</v>
      </c>
      <c r="P30" s="229" t="n">
        <v>25</v>
      </c>
      <c r="Q30" s="229" t="n"/>
      <c r="R30" s="229" t="inlineStr">
        <is>
          <t>BMD</t>
        </is>
      </c>
      <c r="S30" s="229" t="n"/>
      <c r="T30" s="229" t="inlineStr">
        <is>
          <t>FOFS_FHFS</t>
        </is>
      </c>
      <c r="U30" s="229" t="inlineStr">
        <is>
          <t>DER_FEX_HEDG</t>
        </is>
      </c>
      <c r="V30" s="229" t="n"/>
      <c r="W30" s="229" t="n"/>
      <c r="X30" s="229" t="n"/>
      <c r="Y30" s="229" t="n"/>
      <c r="Z30" s="229" t="n"/>
      <c r="AA30" s="229" t="n"/>
      <c r="AB30" s="229" t="n"/>
      <c r="AC30" s="229" t="n"/>
      <c r="AD30" s="231" t="inlineStr">
        <is>
          <t>SEC_SBD_EUB</t>
        </is>
      </c>
      <c r="AE30" s="229" t="n"/>
      <c r="AF30" s="229" t="n"/>
      <c r="AG30" s="229" t="n"/>
      <c r="AH30" s="229" t="n"/>
      <c r="AI30" s="229" t="n"/>
      <c r="AJ30" s="229" t="n"/>
    </row>
    <row r="31" customFormat="1" s="13">
      <c r="A31" s="11" t="inlineStr">
        <is>
          <t>#</t>
        </is>
      </c>
      <c r="B31" s="230" t="inlineStr">
        <is>
          <t>STRESS_TEST</t>
        </is>
      </c>
      <c r="C31" s="229" t="inlineStr">
        <is>
          <t>NL</t>
        </is>
      </c>
      <c r="D31" s="229" t="n"/>
      <c r="E31" s="229" t="n"/>
      <c r="F31" s="229" t="n"/>
      <c r="G31" s="229" t="n"/>
      <c r="H31" s="229" t="n"/>
      <c r="I31" s="229" t="n"/>
      <c r="J31" s="229" t="inlineStr">
        <is>
          <t>BA</t>
        </is>
      </c>
      <c r="K31" s="229" t="n"/>
      <c r="L31" s="229" t="n"/>
      <c r="M31" s="229" t="n"/>
      <c r="N31" s="229" t="n"/>
      <c r="O31" s="229" t="n"/>
      <c r="P31" s="229" t="n">
        <v>26</v>
      </c>
      <c r="Q31" s="229" t="n"/>
      <c r="R31" s="229" t="inlineStr">
        <is>
          <t>BND</t>
        </is>
      </c>
      <c r="S31" s="229" t="n"/>
      <c r="T31" s="229" t="inlineStr">
        <is>
          <t>FOFS_PRIV</t>
        </is>
      </c>
      <c r="U31" s="229" t="inlineStr">
        <is>
          <t>DER_FEX_INVT</t>
        </is>
      </c>
      <c r="V31" s="229" t="n"/>
      <c r="W31" s="229" t="n"/>
      <c r="X31" s="229" t="n"/>
      <c r="Y31" s="229" t="n"/>
      <c r="Z31" s="229" t="n"/>
      <c r="AA31" s="229" t="n"/>
      <c r="AB31" s="229" t="n"/>
      <c r="AC31" s="229" t="n"/>
      <c r="AD31" s="229" t="inlineStr">
        <is>
          <t>SEC_SBD_NEU</t>
        </is>
      </c>
      <c r="AE31" s="229" t="n"/>
      <c r="AF31" s="229" t="n"/>
      <c r="AG31" s="229" t="n"/>
      <c r="AH31" s="229" t="n"/>
      <c r="AI31" s="229" t="n"/>
      <c r="AJ31" s="229" t="n"/>
    </row>
    <row r="32" customFormat="1" s="13">
      <c r="A32" s="11" t="inlineStr">
        <is>
          <t>#</t>
        </is>
      </c>
      <c r="B32" s="230" t="inlineStr">
        <is>
          <t>TURNOVER</t>
        </is>
      </c>
      <c r="C32" s="229" t="inlineStr">
        <is>
          <t>NO</t>
        </is>
      </c>
      <c r="D32" s="229" t="n"/>
      <c r="E32" s="229" t="n"/>
      <c r="F32" s="229" t="n"/>
      <c r="G32" s="229" t="n"/>
      <c r="H32" s="229" t="n"/>
      <c r="I32" s="229" t="n"/>
      <c r="J32" s="229" t="inlineStr">
        <is>
          <t>BB</t>
        </is>
      </c>
      <c r="K32" s="229" t="n"/>
      <c r="L32" s="229" t="n"/>
      <c r="M32" s="229" t="n"/>
      <c r="N32" s="229" t="n"/>
      <c r="O32" s="229" t="n"/>
      <c r="P32" s="229" t="n">
        <v>27</v>
      </c>
      <c r="Q32" s="229" t="n"/>
      <c r="R32" s="229" t="inlineStr">
        <is>
          <t>BOB</t>
        </is>
      </c>
      <c r="S32" s="229" t="n"/>
      <c r="T32" s="229" t="inlineStr">
        <is>
          <t>OTHR_FOFS</t>
        </is>
      </c>
      <c r="U32" s="229" t="inlineStr">
        <is>
          <t>DER_FID_FIXI</t>
        </is>
      </c>
      <c r="V32" s="229" t="n"/>
      <c r="W32" s="229" t="n"/>
      <c r="X32" s="229" t="n"/>
      <c r="Y32" s="229" t="n"/>
      <c r="Z32" s="229" t="n"/>
      <c r="AA32" s="229" t="n"/>
      <c r="AB32" s="229" t="n"/>
      <c r="AC32" s="229" t="n"/>
      <c r="AD32" s="229" t="inlineStr">
        <is>
          <t>SEC_SSP_SSP</t>
        </is>
      </c>
      <c r="AE32" s="229" t="n"/>
      <c r="AF32" s="229" t="n"/>
      <c r="AG32" s="229" t="n"/>
      <c r="AH32" s="229" t="n"/>
      <c r="AI32" s="229" t="n"/>
      <c r="AJ32" s="229" t="n"/>
    </row>
    <row r="33" customFormat="1" s="13">
      <c r="A33" s="11" t="inlineStr">
        <is>
          <t>#</t>
        </is>
      </c>
      <c r="B33" s="230" t="n"/>
      <c r="C33" s="229" t="inlineStr">
        <is>
          <t>PO</t>
        </is>
      </c>
      <c r="D33" s="229" t="n"/>
      <c r="E33" s="229" t="n"/>
      <c r="F33" s="229" t="n"/>
      <c r="G33" s="229" t="n"/>
      <c r="H33" s="229" t="n"/>
      <c r="I33" s="229" t="n"/>
      <c r="J33" s="229" t="inlineStr">
        <is>
          <t>BD</t>
        </is>
      </c>
      <c r="K33" s="229" t="n"/>
      <c r="L33" s="229" t="n"/>
      <c r="M33" s="229" t="n"/>
      <c r="N33" s="229" t="n"/>
      <c r="O33" s="229" t="n"/>
      <c r="P33" s="229" t="n">
        <v>28</v>
      </c>
      <c r="Q33" s="229" t="n"/>
      <c r="R33" s="229" t="inlineStr">
        <is>
          <t>BOV</t>
        </is>
      </c>
      <c r="S33" s="229" t="n"/>
      <c r="T33" s="229" t="inlineStr">
        <is>
          <t>OTHR_COMF</t>
        </is>
      </c>
      <c r="U33" s="229" t="inlineStr">
        <is>
          <t>DER_IRD_INTR</t>
        </is>
      </c>
      <c r="V33" s="229" t="n"/>
      <c r="W33" s="229" t="n"/>
      <c r="X33" s="229" t="n"/>
      <c r="Y33" s="229" t="n"/>
      <c r="Z33" s="229" t="n"/>
      <c r="AA33" s="229" t="n"/>
      <c r="AB33" s="229" t="n"/>
      <c r="AC33" s="229" t="n"/>
      <c r="AD33" s="229" t="inlineStr">
        <is>
          <t>SEC_UEQ_UEQ</t>
        </is>
      </c>
      <c r="AE33" s="229" t="n"/>
      <c r="AF33" s="229" t="n"/>
      <c r="AG33" s="229" t="n"/>
      <c r="AH33" s="229" t="n"/>
      <c r="AI33" s="229" t="n"/>
      <c r="AJ33" s="229" t="n"/>
    </row>
    <row r="34" customFormat="1" s="13">
      <c r="A34" s="11" t="inlineStr">
        <is>
          <t>#</t>
        </is>
      </c>
      <c r="B34" s="230" t="n"/>
      <c r="C34" s="229" t="inlineStr">
        <is>
          <t>PT</t>
        </is>
      </c>
      <c r="D34" s="229" t="n"/>
      <c r="E34" s="229" t="n"/>
      <c r="F34" s="229" t="n"/>
      <c r="G34" s="229" t="n"/>
      <c r="H34" s="229" t="n"/>
      <c r="I34" s="229" t="n"/>
      <c r="J34" s="229" t="inlineStr">
        <is>
          <t>BE</t>
        </is>
      </c>
      <c r="K34" s="229" t="n"/>
      <c r="L34" s="229" t="n"/>
      <c r="M34" s="229" t="n"/>
      <c r="N34" s="229" t="n"/>
      <c r="O34" s="229" t="n"/>
      <c r="P34" s="229" t="n">
        <v>29</v>
      </c>
      <c r="Q34" s="229" t="n"/>
      <c r="R34" s="229" t="inlineStr">
        <is>
          <t>BRL</t>
        </is>
      </c>
      <c r="S34" s="229" t="n"/>
      <c r="T34" s="229" t="inlineStr">
        <is>
          <t>OTHR_EQYF</t>
        </is>
      </c>
      <c r="U34" s="229" t="inlineStr">
        <is>
          <t>DER_OTH_OTHR</t>
        </is>
      </c>
      <c r="V34" s="229" t="n"/>
      <c r="W34" s="229" t="n"/>
      <c r="X34" s="229" t="n"/>
      <c r="Y34" s="229" t="n"/>
      <c r="Z34" s="229" t="n"/>
      <c r="AA34" s="229" t="n"/>
      <c r="AB34" s="229" t="n"/>
      <c r="AC34" s="229" t="n"/>
      <c r="AD34" s="229" t="n"/>
      <c r="AE34" s="229" t="n"/>
      <c r="AF34" s="229" t="n"/>
      <c r="AG34" s="229" t="n"/>
      <c r="AH34" s="229" t="n"/>
      <c r="AI34" s="229" t="n"/>
      <c r="AJ34" s="229" t="n"/>
    </row>
    <row r="35" customFormat="1" s="13">
      <c r="A35" s="11" t="inlineStr">
        <is>
          <t>#</t>
        </is>
      </c>
      <c r="B35" s="230" t="n"/>
      <c r="C35" s="229" t="inlineStr">
        <is>
          <t>RO</t>
        </is>
      </c>
      <c r="D35" s="229" t="n"/>
      <c r="E35" s="229" t="n"/>
      <c r="F35" s="229" t="n"/>
      <c r="G35" s="229" t="n"/>
      <c r="H35" s="229" t="n"/>
      <c r="I35" s="229" t="n"/>
      <c r="J35" s="229" t="inlineStr">
        <is>
          <t>BF</t>
        </is>
      </c>
      <c r="K35" s="229" t="n"/>
      <c r="L35" s="229" t="n"/>
      <c r="M35" s="229" t="n"/>
      <c r="N35" s="229" t="n"/>
      <c r="O35" s="229" t="n"/>
      <c r="P35" s="229" t="n">
        <v>30</v>
      </c>
      <c r="Q35" s="229" t="n"/>
      <c r="R35" s="229" t="inlineStr">
        <is>
          <t>BSD</t>
        </is>
      </c>
      <c r="S35" s="229" t="n"/>
      <c r="T35" s="229" t="inlineStr">
        <is>
          <t>OTHR_FXIF</t>
        </is>
      </c>
      <c r="U35" s="229" t="inlineStr">
        <is>
          <t>OTH_OTH_OTHR</t>
        </is>
      </c>
      <c r="V35" s="229" t="n"/>
      <c r="W35" s="229" t="n"/>
      <c r="X35" s="229" t="n"/>
      <c r="Y35" s="229" t="n"/>
      <c r="Z35" s="229" t="n"/>
      <c r="AA35" s="229" t="n"/>
      <c r="AB35" s="229" t="n"/>
      <c r="AC35" s="229" t="n"/>
      <c r="AD35" s="229" t="n"/>
      <c r="AE35" s="229" t="n"/>
      <c r="AF35" s="229" t="n"/>
      <c r="AG35" s="229" t="n"/>
      <c r="AH35" s="229" t="n"/>
      <c r="AI35" s="229" t="n"/>
      <c r="AJ35" s="229" t="n"/>
    </row>
    <row r="36" customFormat="1" s="13">
      <c r="A36" s="11" t="inlineStr">
        <is>
          <t>#</t>
        </is>
      </c>
      <c r="B36" s="230" t="n"/>
      <c r="C36" s="229" t="inlineStr">
        <is>
          <t>SE</t>
        </is>
      </c>
      <c r="D36" s="229" t="n"/>
      <c r="E36" s="229" t="n"/>
      <c r="F36" s="229" t="n"/>
      <c r="G36" s="229" t="n"/>
      <c r="H36" s="229" t="n"/>
      <c r="I36" s="229" t="n"/>
      <c r="J36" s="229" t="inlineStr">
        <is>
          <t>BG</t>
        </is>
      </c>
      <c r="K36" s="229" t="n"/>
      <c r="L36" s="229" t="n"/>
      <c r="M36" s="229" t="n"/>
      <c r="N36" s="229" t="n"/>
      <c r="O36" s="229" t="n"/>
      <c r="P36" s="229" t="n">
        <v>31</v>
      </c>
      <c r="Q36" s="229" t="n"/>
      <c r="R36" s="229" t="inlineStr">
        <is>
          <t>BTN</t>
        </is>
      </c>
      <c r="S36" s="229" t="n"/>
      <c r="T36" s="229" t="inlineStr">
        <is>
          <t>OTHR_INFF</t>
        </is>
      </c>
      <c r="U36" s="229" t="inlineStr">
        <is>
          <t>PHY_ART_PART</t>
        </is>
      </c>
      <c r="V36" s="229" t="n"/>
      <c r="W36" s="229" t="n"/>
      <c r="X36" s="229" t="n"/>
      <c r="Y36" s="229" t="n"/>
      <c r="Z36" s="229" t="n"/>
      <c r="AA36" s="229" t="n"/>
      <c r="AB36" s="229" t="n"/>
      <c r="AC36" s="229" t="n"/>
      <c r="AD36" s="229" t="n"/>
      <c r="AE36" s="229" t="n"/>
      <c r="AF36" s="229" t="n"/>
      <c r="AG36" s="229" t="n"/>
      <c r="AH36" s="229" t="n"/>
      <c r="AI36" s="229" t="n"/>
      <c r="AJ36" s="229" t="n"/>
    </row>
    <row r="37" customFormat="1" s="13">
      <c r="A37" s="11" t="inlineStr">
        <is>
          <t>#</t>
        </is>
      </c>
      <c r="B37" s="230" t="n"/>
      <c r="C37" s="229" t="inlineStr">
        <is>
          <t>SI</t>
        </is>
      </c>
      <c r="D37" s="229" t="n"/>
      <c r="E37" s="229" t="n"/>
      <c r="F37" s="229" t="n"/>
      <c r="G37" s="229" t="n"/>
      <c r="H37" s="229" t="n"/>
      <c r="I37" s="229" t="n"/>
      <c r="J37" s="229" t="inlineStr">
        <is>
          <t>BH</t>
        </is>
      </c>
      <c r="K37" s="229" t="n"/>
      <c r="L37" s="229" t="n"/>
      <c r="M37" s="229" t="n"/>
      <c r="N37" s="229" t="n"/>
      <c r="O37" s="229" t="n"/>
      <c r="P37" s="229" t="n">
        <v>32</v>
      </c>
      <c r="Q37" s="229" t="n"/>
      <c r="R37" s="229" t="inlineStr">
        <is>
          <t>BWP</t>
        </is>
      </c>
      <c r="S37" s="229" t="n"/>
      <c r="T37" s="229" t="inlineStr">
        <is>
          <t>OTHR_OTHF</t>
        </is>
      </c>
      <c r="U37" s="229" t="inlineStr">
        <is>
          <t>PHY_CTY_PCTY</t>
        </is>
      </c>
      <c r="V37" s="229" t="n"/>
      <c r="W37" s="229" t="n"/>
      <c r="X37" s="229" t="n"/>
      <c r="Y37" s="229" t="n"/>
      <c r="Z37" s="229" t="n"/>
      <c r="AA37" s="229" t="n"/>
      <c r="AB37" s="229" t="n"/>
      <c r="AC37" s="229" t="n"/>
      <c r="AD37" s="229" t="n"/>
      <c r="AE37" s="229" t="n"/>
      <c r="AF37" s="229" t="n"/>
      <c r="AG37" s="229" t="n"/>
      <c r="AH37" s="229" t="n"/>
      <c r="AI37" s="229" t="n"/>
      <c r="AJ37" s="229" t="n"/>
    </row>
    <row r="38" customFormat="1" s="13">
      <c r="A38" s="11" t="inlineStr">
        <is>
          <t>#</t>
        </is>
      </c>
      <c r="B38" s="230" t="n"/>
      <c r="C38" s="229" t="inlineStr">
        <is>
          <t>SK</t>
        </is>
      </c>
      <c r="D38" s="229" t="n"/>
      <c r="E38" s="229" t="n"/>
      <c r="F38" s="229" t="n"/>
      <c r="G38" s="229" t="n"/>
      <c r="H38" s="229" t="n"/>
      <c r="I38" s="229" t="n"/>
      <c r="J38" s="229" t="inlineStr">
        <is>
          <t>BI</t>
        </is>
      </c>
      <c r="K38" s="229" t="n"/>
      <c r="L38" s="229" t="n"/>
      <c r="M38" s="229" t="n"/>
      <c r="N38" s="229" t="n"/>
      <c r="O38" s="229" t="n"/>
      <c r="P38" s="229" t="n">
        <v>33</v>
      </c>
      <c r="Q38" s="229" t="n"/>
      <c r="R38" s="229" t="inlineStr">
        <is>
          <t>BYN</t>
        </is>
      </c>
      <c r="S38" s="229" t="n"/>
      <c r="T38" s="11" t="n"/>
      <c r="U38" s="229" t="inlineStr">
        <is>
          <t>PHY_OTH_OTHR</t>
        </is>
      </c>
      <c r="V38" s="229" t="n"/>
      <c r="W38" s="229" t="n"/>
      <c r="X38" s="229" t="n"/>
      <c r="Y38" s="229" t="n"/>
      <c r="Z38" s="229" t="n"/>
      <c r="AA38" s="229" t="n"/>
      <c r="AB38" s="229" t="n"/>
      <c r="AC38" s="229" t="n"/>
      <c r="AD38" s="229" t="n"/>
      <c r="AE38" s="229" t="n"/>
      <c r="AF38" s="229" t="n"/>
      <c r="AG38" s="229" t="n"/>
      <c r="AH38" s="229" t="n"/>
      <c r="AI38" s="229" t="n"/>
      <c r="AJ38" s="229" t="n"/>
    </row>
    <row r="39" customFormat="1" s="13">
      <c r="A39" s="11" t="inlineStr">
        <is>
          <t>#</t>
        </is>
      </c>
      <c r="B39" s="230" t="n"/>
      <c r="C39" s="229" t="inlineStr">
        <is>
          <t>XS</t>
        </is>
      </c>
      <c r="D39" s="229" t="n"/>
      <c r="E39" s="229" t="n"/>
      <c r="F39" s="229" t="n"/>
      <c r="G39" s="229" t="n"/>
      <c r="H39" s="229" t="n"/>
      <c r="I39" s="229" t="n"/>
      <c r="J39" s="229" t="inlineStr">
        <is>
          <t>BJ</t>
        </is>
      </c>
      <c r="K39" s="229" t="n"/>
      <c r="L39" s="229" t="n"/>
      <c r="M39" s="229" t="n"/>
      <c r="N39" s="229" t="n"/>
      <c r="O39" s="229" t="n"/>
      <c r="P39" s="229" t="n">
        <v>34</v>
      </c>
      <c r="Q39" s="229" t="n"/>
      <c r="R39" s="229" t="inlineStr">
        <is>
          <t>BZD</t>
        </is>
      </c>
      <c r="S39" s="229" t="n"/>
      <c r="T39" s="11" t="n"/>
      <c r="U39" s="229" t="inlineStr">
        <is>
          <t>PHY_RES_COML</t>
        </is>
      </c>
      <c r="V39" s="229" t="n"/>
      <c r="W39" s="229" t="n"/>
      <c r="X39" s="229" t="n"/>
      <c r="Y39" s="229" t="n"/>
      <c r="Z39" s="229" t="n"/>
      <c r="AA39" s="229" t="n"/>
      <c r="AB39" s="229" t="n"/>
      <c r="AC39" s="229" t="n"/>
      <c r="AD39" s="229" t="n"/>
      <c r="AE39" s="229" t="n"/>
      <c r="AF39" s="229" t="n"/>
      <c r="AG39" s="229" t="n"/>
      <c r="AH39" s="229" t="n"/>
      <c r="AI39" s="229" t="n"/>
      <c r="AJ39" s="229" t="n"/>
    </row>
    <row r="40" customFormat="1" s="13">
      <c r="A40" s="11" t="inlineStr">
        <is>
          <t>#</t>
        </is>
      </c>
      <c r="B40" s="230" t="n"/>
      <c r="C40" s="229" t="n"/>
      <c r="D40" s="229" t="n"/>
      <c r="E40" s="229" t="n"/>
      <c r="F40" s="229" t="n"/>
      <c r="G40" s="229" t="n"/>
      <c r="H40" s="229" t="n"/>
      <c r="I40" s="229" t="n"/>
      <c r="J40" s="229" t="inlineStr">
        <is>
          <t>BL</t>
        </is>
      </c>
      <c r="K40" s="229" t="n"/>
      <c r="L40" s="229" t="n"/>
      <c r="M40" s="229" t="n"/>
      <c r="N40" s="229" t="n"/>
      <c r="O40" s="229" t="n"/>
      <c r="P40" s="229" t="n">
        <v>35</v>
      </c>
      <c r="Q40" s="229" t="n"/>
      <c r="R40" s="229" t="inlineStr">
        <is>
          <t>CAD</t>
        </is>
      </c>
      <c r="S40" s="229" t="n"/>
      <c r="T40" s="11" t="n"/>
      <c r="U40" s="229" t="inlineStr">
        <is>
          <t>PHY_RES_OTHR</t>
        </is>
      </c>
      <c r="V40" s="229" t="n"/>
      <c r="W40" s="229" t="n"/>
      <c r="X40" s="229" t="n"/>
      <c r="Y40" s="229" t="n"/>
      <c r="Z40" s="229" t="n"/>
      <c r="AA40" s="229" t="n"/>
      <c r="AB40" s="229" t="n"/>
      <c r="AC40" s="229" t="n"/>
      <c r="AD40" s="229" t="n"/>
      <c r="AE40" s="229" t="n"/>
      <c r="AF40" s="229" t="n"/>
      <c r="AG40" s="229" t="n"/>
      <c r="AH40" s="229" t="n"/>
      <c r="AI40" s="229" t="n"/>
      <c r="AJ40" s="229" t="n"/>
    </row>
    <row r="41" customFormat="1" s="13">
      <c r="A41" s="11" t="inlineStr">
        <is>
          <t>#</t>
        </is>
      </c>
      <c r="B41" s="230" t="n"/>
      <c r="C41" s="229" t="n"/>
      <c r="D41" s="229" t="n"/>
      <c r="E41" s="229" t="n"/>
      <c r="F41" s="229" t="n"/>
      <c r="G41" s="229" t="n"/>
      <c r="H41" s="229" t="n"/>
      <c r="I41" s="229" t="n"/>
      <c r="J41" s="229" t="inlineStr">
        <is>
          <t>BM</t>
        </is>
      </c>
      <c r="K41" s="229" t="n"/>
      <c r="L41" s="229" t="n"/>
      <c r="M41" s="229" t="n"/>
      <c r="N41" s="229" t="n"/>
      <c r="O41" s="229" t="n"/>
      <c r="P41" s="229" t="n">
        <v>36</v>
      </c>
      <c r="Q41" s="229" t="n"/>
      <c r="R41" s="229" t="inlineStr">
        <is>
          <t>CDF</t>
        </is>
      </c>
      <c r="S41" s="229" t="n"/>
      <c r="T41" s="11" t="n"/>
      <c r="U41" s="229" t="inlineStr">
        <is>
          <t>PHY_RES_RESL</t>
        </is>
      </c>
      <c r="V41" s="229" t="n"/>
      <c r="W41" s="229" t="n"/>
      <c r="X41" s="229" t="n"/>
      <c r="Y41" s="229" t="n"/>
      <c r="Z41" s="229" t="n"/>
      <c r="AA41" s="229" t="n"/>
      <c r="AB41" s="229" t="n"/>
      <c r="AC41" s="229" t="n"/>
      <c r="AD41" s="229" t="n"/>
      <c r="AE41" s="229" t="n"/>
      <c r="AF41" s="229" t="n"/>
      <c r="AG41" s="229" t="n"/>
      <c r="AH41" s="229" t="n"/>
      <c r="AI41" s="229" t="n"/>
      <c r="AJ41" s="229" t="n"/>
    </row>
    <row r="42" customFormat="1" s="13">
      <c r="A42" s="11" t="inlineStr">
        <is>
          <t>#</t>
        </is>
      </c>
      <c r="B42" s="230" t="n"/>
      <c r="C42" s="229" t="n"/>
      <c r="D42" s="229" t="n"/>
      <c r="E42" s="229" t="n"/>
      <c r="F42" s="229" t="n"/>
      <c r="G42" s="229" t="n"/>
      <c r="H42" s="229" t="n"/>
      <c r="I42" s="229" t="n"/>
      <c r="J42" s="229" t="inlineStr">
        <is>
          <t>BN</t>
        </is>
      </c>
      <c r="K42" s="229" t="n"/>
      <c r="L42" s="229" t="n"/>
      <c r="M42" s="229" t="n"/>
      <c r="N42" s="229" t="n"/>
      <c r="O42" s="229" t="n"/>
      <c r="P42" s="229" t="n">
        <v>37</v>
      </c>
      <c r="Q42" s="229" t="n"/>
      <c r="R42" s="229" t="inlineStr">
        <is>
          <t>CHE</t>
        </is>
      </c>
      <c r="S42" s="229" t="n"/>
      <c r="T42" s="229" t="n"/>
      <c r="U42" s="229" t="inlineStr">
        <is>
          <t>PHY_TIM_PTIM</t>
        </is>
      </c>
      <c r="V42" s="229" t="n"/>
      <c r="W42" s="229" t="n"/>
      <c r="X42" s="229" t="n"/>
      <c r="Y42" s="229" t="n"/>
      <c r="Z42" s="229" t="n"/>
      <c r="AA42" s="229" t="n"/>
      <c r="AB42" s="229" t="n"/>
      <c r="AC42" s="229" t="n"/>
      <c r="AD42" s="229" t="n"/>
      <c r="AE42" s="229" t="n"/>
      <c r="AF42" s="229" t="n"/>
      <c r="AG42" s="229" t="n"/>
      <c r="AH42" s="229" t="n"/>
      <c r="AI42" s="229" t="n"/>
      <c r="AJ42" s="229" t="n"/>
    </row>
    <row r="43" customFormat="1" s="13">
      <c r="A43" s="11" t="inlineStr">
        <is>
          <t>#</t>
        </is>
      </c>
      <c r="B43" s="230" t="n"/>
      <c r="C43" s="229" t="n"/>
      <c r="D43" s="229" t="n"/>
      <c r="E43" s="229" t="n"/>
      <c r="F43" s="229" t="n"/>
      <c r="G43" s="229" t="n"/>
      <c r="H43" s="229" t="n"/>
      <c r="I43" s="229" t="n"/>
      <c r="J43" s="229" t="inlineStr">
        <is>
          <t>BO</t>
        </is>
      </c>
      <c r="K43" s="229" t="n"/>
      <c r="L43" s="229" t="n"/>
      <c r="M43" s="229" t="n"/>
      <c r="N43" s="229" t="n"/>
      <c r="O43" s="229" t="n"/>
      <c r="P43" s="229" t="n">
        <v>38</v>
      </c>
      <c r="Q43" s="229" t="n"/>
      <c r="R43" s="229" t="inlineStr">
        <is>
          <t>CHF</t>
        </is>
      </c>
      <c r="S43" s="229" t="n"/>
      <c r="T43" s="229" t="n"/>
      <c r="U43" s="229" t="inlineStr">
        <is>
          <t>PHY_TPT_PTPT</t>
        </is>
      </c>
      <c r="V43" s="229" t="n"/>
      <c r="W43" s="229" t="n"/>
      <c r="X43" s="229" t="n"/>
      <c r="Y43" s="229" t="n"/>
      <c r="Z43" s="229" t="n"/>
      <c r="AA43" s="229" t="n"/>
      <c r="AB43" s="229" t="n"/>
      <c r="AC43" s="229" t="n"/>
      <c r="AD43" s="229" t="n"/>
      <c r="AE43" s="229" t="n"/>
      <c r="AF43" s="229" t="n"/>
      <c r="AG43" s="229" t="n"/>
      <c r="AH43" s="229" t="n"/>
      <c r="AI43" s="229" t="n"/>
      <c r="AJ43" s="229" t="n"/>
    </row>
    <row r="44" customFormat="1" s="13">
      <c r="A44" s="11" t="inlineStr">
        <is>
          <t>#</t>
        </is>
      </c>
      <c r="B44" s="230" t="n"/>
      <c r="C44" s="229" t="n"/>
      <c r="D44" s="229" t="n"/>
      <c r="E44" s="229" t="n"/>
      <c r="F44" s="229" t="n"/>
      <c r="G44" s="229" t="n"/>
      <c r="H44" s="229" t="n"/>
      <c r="I44" s="229" t="n"/>
      <c r="J44" s="229" t="inlineStr">
        <is>
          <t>BR</t>
        </is>
      </c>
      <c r="K44" s="229" t="n"/>
      <c r="L44" s="229" t="n"/>
      <c r="M44" s="229" t="n"/>
      <c r="N44" s="229" t="n"/>
      <c r="O44" s="229" t="n"/>
      <c r="P44" s="229" t="n">
        <v>39</v>
      </c>
      <c r="Q44" s="229" t="n"/>
      <c r="R44" s="229" t="inlineStr">
        <is>
          <t>CHW</t>
        </is>
      </c>
      <c r="S44" s="229" t="n"/>
      <c r="T44" s="229" t="n"/>
      <c r="U44" s="229" t="inlineStr">
        <is>
          <t>SEC_CBI_INVG</t>
        </is>
      </c>
      <c r="V44" s="229" t="n"/>
      <c r="W44" s="229" t="n"/>
      <c r="X44" s="229" t="n"/>
      <c r="Y44" s="229" t="n"/>
      <c r="Z44" s="229" t="n"/>
      <c r="AA44" s="229" t="n"/>
      <c r="AB44" s="229" t="n"/>
      <c r="AC44" s="229" t="n"/>
      <c r="AD44" s="229" t="n"/>
      <c r="AE44" s="229" t="n"/>
      <c r="AF44" s="229" t="n"/>
      <c r="AG44" s="229" t="n"/>
      <c r="AH44" s="229" t="n"/>
      <c r="AI44" s="229" t="n"/>
      <c r="AJ44" s="229" t="n"/>
    </row>
    <row r="45" customFormat="1" s="13">
      <c r="A45" s="11" t="inlineStr">
        <is>
          <t>#</t>
        </is>
      </c>
      <c r="B45" s="230" t="n"/>
      <c r="C45" s="229" t="n"/>
      <c r="D45" s="229" t="n"/>
      <c r="E45" s="229" t="n"/>
      <c r="F45" s="229" t="n"/>
      <c r="G45" s="229" t="n"/>
      <c r="H45" s="229" t="n"/>
      <c r="I45" s="229" t="n"/>
      <c r="J45" s="229" t="inlineStr">
        <is>
          <t>BS</t>
        </is>
      </c>
      <c r="K45" s="229" t="n"/>
      <c r="L45" s="229" t="n"/>
      <c r="M45" s="229" t="n"/>
      <c r="N45" s="229" t="n"/>
      <c r="O45" s="229" t="n"/>
      <c r="P45" s="229" t="n">
        <v>40</v>
      </c>
      <c r="Q45" s="229" t="n"/>
      <c r="R45" s="229" t="inlineStr">
        <is>
          <t>CLF</t>
        </is>
      </c>
      <c r="S45" s="229" t="n"/>
      <c r="T45" s="229" t="n"/>
      <c r="U45" s="229" t="inlineStr">
        <is>
          <t>SEC_CBI_NIVG</t>
        </is>
      </c>
      <c r="V45" s="229" t="n"/>
      <c r="W45" s="229" t="n"/>
      <c r="X45" s="229" t="n"/>
      <c r="Y45" s="229" t="n"/>
      <c r="Z45" s="229" t="n"/>
      <c r="AA45" s="229" t="n"/>
      <c r="AB45" s="229" t="n"/>
      <c r="AC45" s="229" t="n"/>
      <c r="AD45" s="229" t="n"/>
      <c r="AE45" s="229" t="n"/>
      <c r="AF45" s="229" t="n"/>
      <c r="AG45" s="229" t="n"/>
      <c r="AH45" s="229" t="n"/>
      <c r="AI45" s="229" t="n"/>
      <c r="AJ45" s="229" t="n"/>
    </row>
    <row r="46" customFormat="1" s="13">
      <c r="A46" s="11" t="inlineStr">
        <is>
          <t>#</t>
        </is>
      </c>
      <c r="B46" s="230" t="n"/>
      <c r="C46" s="229" t="n"/>
      <c r="D46" s="229" t="n"/>
      <c r="E46" s="229" t="n"/>
      <c r="F46" s="229" t="n"/>
      <c r="G46" s="229" t="n"/>
      <c r="H46" s="229" t="n"/>
      <c r="I46" s="229" t="n"/>
      <c r="J46" s="229" t="inlineStr">
        <is>
          <t>BT</t>
        </is>
      </c>
      <c r="K46" s="229" t="n"/>
      <c r="L46" s="229" t="n"/>
      <c r="M46" s="229" t="n"/>
      <c r="N46" s="229" t="n"/>
      <c r="O46" s="229" t="n"/>
      <c r="P46" s="229" t="n">
        <v>41</v>
      </c>
      <c r="Q46" s="229" t="n"/>
      <c r="R46" s="229" t="inlineStr">
        <is>
          <t>CLP</t>
        </is>
      </c>
      <c r="S46" s="229" t="n"/>
      <c r="T46" s="229" t="n"/>
      <c r="U46" s="229" t="inlineStr">
        <is>
          <t>SEC_CBN_INVG</t>
        </is>
      </c>
      <c r="V46" s="229" t="n"/>
      <c r="W46" s="229" t="n"/>
      <c r="X46" s="229" t="n"/>
      <c r="Y46" s="229" t="n"/>
      <c r="Z46" s="229" t="n"/>
      <c r="AA46" s="229" t="n"/>
      <c r="AB46" s="229" t="n"/>
      <c r="AC46" s="229" t="n"/>
      <c r="AD46" s="229" t="n"/>
      <c r="AE46" s="229" t="n"/>
      <c r="AF46" s="229" t="n"/>
      <c r="AG46" s="229" t="n"/>
      <c r="AH46" s="229" t="n"/>
      <c r="AI46" s="229" t="n"/>
      <c r="AJ46" s="229" t="n"/>
    </row>
    <row r="47" customFormat="1" s="13">
      <c r="A47" s="11" t="inlineStr">
        <is>
          <t>#</t>
        </is>
      </c>
      <c r="B47" s="230" t="n"/>
      <c r="C47" s="229" t="n"/>
      <c r="D47" s="229" t="n"/>
      <c r="E47" s="229" t="n"/>
      <c r="F47" s="229" t="n"/>
      <c r="G47" s="229" t="n"/>
      <c r="H47" s="229" t="n"/>
      <c r="I47" s="229" t="n"/>
      <c r="J47" s="229" t="inlineStr">
        <is>
          <t>BV</t>
        </is>
      </c>
      <c r="K47" s="229" t="n"/>
      <c r="L47" s="229" t="n"/>
      <c r="M47" s="229" t="n"/>
      <c r="N47" s="229" t="n"/>
      <c r="O47" s="229" t="n"/>
      <c r="P47" s="229" t="n">
        <v>42</v>
      </c>
      <c r="Q47" s="229" t="n"/>
      <c r="R47" s="229" t="inlineStr">
        <is>
          <t>CNY</t>
        </is>
      </c>
      <c r="S47" s="229" t="n"/>
      <c r="T47" s="11" t="n"/>
      <c r="U47" s="229" t="inlineStr">
        <is>
          <t>SEC_CBN_NIVG</t>
        </is>
      </c>
      <c r="V47" s="229" t="n"/>
      <c r="W47" s="229" t="n"/>
      <c r="X47" s="229" t="n"/>
      <c r="Y47" s="229" t="n"/>
      <c r="Z47" s="229" t="n"/>
      <c r="AA47" s="229" t="n"/>
      <c r="AB47" s="229" t="n"/>
      <c r="AC47" s="229" t="n"/>
      <c r="AD47" s="229" t="n"/>
      <c r="AE47" s="229" t="n"/>
      <c r="AF47" s="229" t="n"/>
      <c r="AG47" s="229" t="n"/>
      <c r="AH47" s="229" t="n"/>
      <c r="AI47" s="229" t="n"/>
      <c r="AJ47" s="229" t="n"/>
    </row>
    <row r="48" customFormat="1" s="13">
      <c r="A48" s="11" t="inlineStr">
        <is>
          <t>#</t>
        </is>
      </c>
      <c r="B48" s="230" t="n"/>
      <c r="C48" s="229" t="n"/>
      <c r="D48" s="229" t="n"/>
      <c r="E48" s="229" t="n"/>
      <c r="F48" s="229" t="n"/>
      <c r="G48" s="229" t="n"/>
      <c r="H48" s="229" t="n"/>
      <c r="I48" s="229" t="n"/>
      <c r="J48" s="229" t="inlineStr">
        <is>
          <t>BW</t>
        </is>
      </c>
      <c r="K48" s="229" t="n"/>
      <c r="L48" s="229" t="n"/>
      <c r="M48" s="229" t="n"/>
      <c r="N48" s="229" t="n"/>
      <c r="O48" s="229" t="n"/>
      <c r="P48" s="229" t="n">
        <v>43</v>
      </c>
      <c r="Q48" s="229" t="n"/>
      <c r="R48" s="229" t="inlineStr">
        <is>
          <t>COP</t>
        </is>
      </c>
      <c r="S48" s="229" t="n"/>
      <c r="T48" s="229" t="n"/>
      <c r="U48" s="229" t="inlineStr">
        <is>
          <t>SEC_CPI_INVG</t>
        </is>
      </c>
      <c r="V48" s="229" t="n"/>
      <c r="W48" s="229" t="n"/>
      <c r="X48" s="229" t="n"/>
      <c r="Y48" s="229" t="n"/>
      <c r="Z48" s="229" t="n"/>
      <c r="AA48" s="229" t="n"/>
      <c r="AB48" s="229" t="n"/>
      <c r="AC48" s="229" t="n"/>
      <c r="AD48" s="229" t="n"/>
      <c r="AE48" s="229" t="n"/>
      <c r="AF48" s="229" t="n"/>
      <c r="AG48" s="229" t="n"/>
      <c r="AH48" s="229" t="n"/>
      <c r="AI48" s="229" t="n"/>
      <c r="AJ48" s="229" t="n"/>
    </row>
    <row r="49" customFormat="1" s="13">
      <c r="A49" s="11" t="inlineStr">
        <is>
          <t>#</t>
        </is>
      </c>
      <c r="B49" s="230" t="n"/>
      <c r="C49" s="229" t="n"/>
      <c r="D49" s="229" t="n"/>
      <c r="E49" s="229" t="n"/>
      <c r="F49" s="229" t="n"/>
      <c r="G49" s="229" t="n"/>
      <c r="H49" s="229" t="n"/>
      <c r="I49" s="229" t="n"/>
      <c r="J49" s="229" t="inlineStr">
        <is>
          <t>BY</t>
        </is>
      </c>
      <c r="K49" s="229" t="n"/>
      <c r="L49" s="229" t="n"/>
      <c r="M49" s="229" t="n"/>
      <c r="N49" s="229" t="n"/>
      <c r="O49" s="229" t="n"/>
      <c r="P49" s="229" t="n">
        <v>44</v>
      </c>
      <c r="Q49" s="229" t="n"/>
      <c r="R49" s="229" t="inlineStr">
        <is>
          <t>COU</t>
        </is>
      </c>
      <c r="S49" s="229" t="n"/>
      <c r="T49" s="229" t="n"/>
      <c r="U49" s="229" t="inlineStr">
        <is>
          <t>SEC_CPI_NIVG</t>
        </is>
      </c>
      <c r="V49" s="229" t="n"/>
      <c r="W49" s="229" t="n"/>
      <c r="X49" s="229" t="n"/>
      <c r="Y49" s="229" t="n"/>
      <c r="Z49" s="229" t="n"/>
      <c r="AA49" s="229" t="n"/>
      <c r="AB49" s="229" t="n"/>
      <c r="AC49" s="229" t="n"/>
      <c r="AD49" s="229" t="n"/>
      <c r="AE49" s="229" t="n"/>
      <c r="AF49" s="229" t="n"/>
      <c r="AG49" s="229" t="n"/>
      <c r="AH49" s="229" t="n"/>
      <c r="AI49" s="229" t="n"/>
      <c r="AJ49" s="229" t="n"/>
    </row>
    <row r="50" customFormat="1" s="13">
      <c r="A50" s="11" t="inlineStr">
        <is>
          <t>#</t>
        </is>
      </c>
      <c r="B50" s="230" t="n"/>
      <c r="C50" s="229" t="n"/>
      <c r="D50" s="229" t="n"/>
      <c r="E50" s="229" t="n"/>
      <c r="F50" s="229" t="n"/>
      <c r="G50" s="229" t="n"/>
      <c r="H50" s="229" t="n"/>
      <c r="I50" s="229" t="n"/>
      <c r="J50" s="229" t="inlineStr">
        <is>
          <t>BZ</t>
        </is>
      </c>
      <c r="K50" s="229" t="n"/>
      <c r="L50" s="229" t="n"/>
      <c r="M50" s="229" t="n"/>
      <c r="N50" s="229" t="n"/>
      <c r="O50" s="229" t="n"/>
      <c r="P50" s="229" t="n">
        <v>45</v>
      </c>
      <c r="Q50" s="229" t="n"/>
      <c r="R50" s="229" t="inlineStr">
        <is>
          <t>CRC</t>
        </is>
      </c>
      <c r="S50" s="229" t="n"/>
      <c r="T50" s="229" t="n"/>
      <c r="U50" s="229" t="inlineStr">
        <is>
          <t>SEC_CPN_INVG</t>
        </is>
      </c>
      <c r="V50" s="229" t="n"/>
      <c r="W50" s="229" t="n"/>
      <c r="X50" s="229" t="n"/>
      <c r="Y50" s="229" t="n"/>
      <c r="Z50" s="229" t="n"/>
      <c r="AA50" s="229" t="n"/>
      <c r="AB50" s="229" t="n"/>
      <c r="AC50" s="229" t="n"/>
      <c r="AD50" s="229" t="n"/>
      <c r="AE50" s="229" t="n"/>
      <c r="AF50" s="229" t="n"/>
      <c r="AG50" s="229" t="n"/>
      <c r="AH50" s="229" t="n"/>
      <c r="AI50" s="229" t="n"/>
      <c r="AJ50" s="229" t="n"/>
    </row>
    <row r="51" customFormat="1" s="13">
      <c r="A51" s="11" t="inlineStr">
        <is>
          <t>#</t>
        </is>
      </c>
      <c r="B51" s="230" t="n"/>
      <c r="C51" s="229" t="n"/>
      <c r="D51" s="229" t="n"/>
      <c r="E51" s="229" t="n"/>
      <c r="F51" s="229" t="n"/>
      <c r="G51" s="229" t="n"/>
      <c r="H51" s="229" t="n"/>
      <c r="I51" s="229" t="n"/>
      <c r="J51" s="229" t="inlineStr">
        <is>
          <t>CA</t>
        </is>
      </c>
      <c r="K51" s="229" t="n"/>
      <c r="L51" s="229" t="n"/>
      <c r="M51" s="229" t="n"/>
      <c r="N51" s="229" t="n"/>
      <c r="O51" s="229" t="n"/>
      <c r="P51" s="229" t="n"/>
      <c r="Q51" s="229" t="n"/>
      <c r="R51" s="229" t="inlineStr">
        <is>
          <t>CUC</t>
        </is>
      </c>
      <c r="S51" s="229" t="n"/>
      <c r="T51" s="229" t="n"/>
      <c r="U51" s="229" t="inlineStr">
        <is>
          <t>SEC_CPN_NIVG</t>
        </is>
      </c>
      <c r="V51" s="229" t="n"/>
      <c r="W51" s="229" t="n"/>
      <c r="X51" s="229" t="n"/>
      <c r="Y51" s="229" t="n"/>
      <c r="Z51" s="229" t="n"/>
      <c r="AA51" s="229" t="n"/>
      <c r="AB51" s="229" t="n"/>
      <c r="AC51" s="229" t="n"/>
      <c r="AD51" s="229" t="n"/>
      <c r="AE51" s="229" t="n"/>
      <c r="AF51" s="229" t="n"/>
      <c r="AG51" s="229" t="n"/>
      <c r="AH51" s="229" t="n"/>
      <c r="AI51" s="229" t="n"/>
      <c r="AJ51" s="229" t="n"/>
    </row>
    <row r="52" customFormat="1" s="13">
      <c r="A52" s="11" t="inlineStr">
        <is>
          <t>#</t>
        </is>
      </c>
      <c r="B52" s="230" t="n"/>
      <c r="C52" s="229" t="n"/>
      <c r="D52" s="229" t="n"/>
      <c r="E52" s="229" t="n"/>
      <c r="F52" s="229" t="n"/>
      <c r="G52" s="229" t="n"/>
      <c r="H52" s="229" t="n"/>
      <c r="I52" s="229" t="n"/>
      <c r="J52" s="229" t="inlineStr">
        <is>
          <t>CC</t>
        </is>
      </c>
      <c r="K52" s="229" t="n"/>
      <c r="L52" s="229" t="n"/>
      <c r="M52" s="229" t="n"/>
      <c r="N52" s="229" t="n"/>
      <c r="O52" s="229" t="n"/>
      <c r="P52" s="229" t="n"/>
      <c r="Q52" s="229" t="n"/>
      <c r="R52" s="229" t="inlineStr">
        <is>
          <t>CUP</t>
        </is>
      </c>
      <c r="S52" s="229" t="n"/>
      <c r="T52" s="229" t="n"/>
      <c r="U52" s="229" t="inlineStr">
        <is>
          <t>SEC_CSH_CODP</t>
        </is>
      </c>
      <c r="V52" s="229" t="n"/>
      <c r="W52" s="229" t="n"/>
      <c r="X52" s="229" t="n"/>
      <c r="Y52" s="229" t="n"/>
      <c r="Z52" s="229" t="n"/>
      <c r="AA52" s="229" t="n"/>
      <c r="AB52" s="229" t="n"/>
      <c r="AC52" s="229" t="n"/>
      <c r="AD52" s="229" t="n"/>
      <c r="AE52" s="229" t="n"/>
      <c r="AF52" s="229" t="n"/>
      <c r="AG52" s="229" t="n"/>
      <c r="AH52" s="229" t="n"/>
      <c r="AI52" s="229" t="n"/>
      <c r="AJ52" s="229" t="n"/>
    </row>
    <row r="53" customFormat="1" s="13">
      <c r="A53" s="11" t="inlineStr">
        <is>
          <t>#</t>
        </is>
      </c>
      <c r="B53" s="230" t="n"/>
      <c r="C53" s="229" t="n"/>
      <c r="D53" s="229" t="n"/>
      <c r="E53" s="229" t="n"/>
      <c r="F53" s="229" t="n"/>
      <c r="G53" s="229" t="n"/>
      <c r="H53" s="229" t="n"/>
      <c r="I53" s="229" t="n"/>
      <c r="J53" s="229" t="inlineStr">
        <is>
          <t>CD</t>
        </is>
      </c>
      <c r="K53" s="229" t="n"/>
      <c r="L53" s="229" t="n"/>
      <c r="M53" s="229" t="n"/>
      <c r="N53" s="229" t="n"/>
      <c r="O53" s="229" t="n"/>
      <c r="P53" s="229" t="n"/>
      <c r="Q53" s="229" t="n"/>
      <c r="R53" s="229" t="inlineStr">
        <is>
          <t>CVE</t>
        </is>
      </c>
      <c r="S53" s="229" t="n"/>
      <c r="T53" s="229" t="n"/>
      <c r="U53" s="229" t="inlineStr">
        <is>
          <t>SEC_CSH_COMP</t>
        </is>
      </c>
      <c r="V53" s="229" t="n"/>
      <c r="W53" s="229" t="n"/>
      <c r="X53" s="229" t="n"/>
      <c r="Y53" s="229" t="n"/>
      <c r="Z53" s="229" t="n"/>
      <c r="AA53" s="229" t="n"/>
      <c r="AB53" s="229" t="n"/>
      <c r="AC53" s="229" t="n"/>
      <c r="AD53" s="229" t="n"/>
      <c r="AE53" s="229" t="n"/>
      <c r="AF53" s="229" t="n"/>
      <c r="AG53" s="229" t="n"/>
      <c r="AH53" s="229" t="n"/>
      <c r="AI53" s="229" t="n"/>
      <c r="AJ53" s="229" t="n"/>
    </row>
    <row r="54" customFormat="1" s="13">
      <c r="A54" s="11" t="inlineStr">
        <is>
          <t>#</t>
        </is>
      </c>
      <c r="B54" s="230" t="n"/>
      <c r="C54" s="229" t="n"/>
      <c r="D54" s="229" t="n"/>
      <c r="E54" s="229" t="n"/>
      <c r="F54" s="229" t="n"/>
      <c r="G54" s="229" t="n"/>
      <c r="H54" s="229" t="n"/>
      <c r="I54" s="229" t="n"/>
      <c r="J54" s="229" t="inlineStr">
        <is>
          <t>CF</t>
        </is>
      </c>
      <c r="K54" s="229" t="n"/>
      <c r="L54" s="229" t="n"/>
      <c r="M54" s="229" t="n"/>
      <c r="N54" s="229" t="n"/>
      <c r="O54" s="229" t="n"/>
      <c r="P54" s="229" t="n"/>
      <c r="Q54" s="229" t="n"/>
      <c r="R54" s="229" t="inlineStr">
        <is>
          <t>CZK</t>
        </is>
      </c>
      <c r="S54" s="229" t="n"/>
      <c r="T54" s="229" t="n"/>
      <c r="U54" s="229" t="inlineStr">
        <is>
          <t>SEC_CSH_OTHC</t>
        </is>
      </c>
      <c r="V54" s="229" t="n"/>
      <c r="W54" s="229" t="n"/>
      <c r="X54" s="229" t="n"/>
      <c r="Y54" s="229" t="n"/>
      <c r="Z54" s="229" t="n"/>
      <c r="AA54" s="229" t="n"/>
      <c r="AB54" s="229" t="n"/>
      <c r="AC54" s="229" t="n"/>
      <c r="AD54" s="229" t="n"/>
      <c r="AE54" s="229" t="n"/>
      <c r="AF54" s="229" t="n"/>
      <c r="AG54" s="229" t="n"/>
      <c r="AH54" s="229" t="n"/>
      <c r="AI54" s="229" t="n"/>
      <c r="AJ54" s="229" t="n"/>
    </row>
    <row r="55" customFormat="1" s="13">
      <c r="A55" s="11" t="inlineStr">
        <is>
          <t>#</t>
        </is>
      </c>
      <c r="B55" s="230" t="n"/>
      <c r="C55" s="229" t="n"/>
      <c r="D55" s="229" t="n"/>
      <c r="E55" s="229" t="n"/>
      <c r="F55" s="229" t="n"/>
      <c r="G55" s="229" t="n"/>
      <c r="H55" s="229" t="n"/>
      <c r="I55" s="229" t="n"/>
      <c r="J55" s="229" t="inlineStr">
        <is>
          <t>CG</t>
        </is>
      </c>
      <c r="K55" s="229" t="n"/>
      <c r="L55" s="229" t="n"/>
      <c r="M55" s="229" t="n"/>
      <c r="N55" s="229" t="n"/>
      <c r="O55" s="229" t="n"/>
      <c r="P55" s="229" t="n"/>
      <c r="Q55" s="229" t="n"/>
      <c r="R55" s="229" t="inlineStr">
        <is>
          <t>DJF</t>
        </is>
      </c>
      <c r="S55" s="229" t="n"/>
      <c r="T55" s="229" t="n"/>
      <c r="U55" s="229" t="inlineStr">
        <is>
          <t>SEC_CSH_OTHD</t>
        </is>
      </c>
      <c r="V55" s="229" t="n"/>
      <c r="W55" s="229" t="n"/>
      <c r="X55" s="229" t="n"/>
      <c r="Y55" s="229" t="n"/>
      <c r="Z55" s="229" t="n"/>
      <c r="AA55" s="229" t="n"/>
      <c r="AB55" s="229" t="n"/>
      <c r="AC55" s="229" t="n"/>
      <c r="AD55" s="229" t="n"/>
      <c r="AE55" s="229" t="n"/>
      <c r="AF55" s="229" t="n"/>
      <c r="AG55" s="229" t="n"/>
      <c r="AH55" s="229" t="n"/>
      <c r="AI55" s="229" t="n"/>
      <c r="AJ55" s="229" t="n"/>
    </row>
    <row r="56" customFormat="1" s="13">
      <c r="A56" s="11" t="inlineStr">
        <is>
          <t>#</t>
        </is>
      </c>
      <c r="B56" s="230" t="n"/>
      <c r="C56" s="229" t="n"/>
      <c r="D56" s="229" t="n"/>
      <c r="E56" s="229" t="n"/>
      <c r="F56" s="229" t="n"/>
      <c r="G56" s="229" t="n"/>
      <c r="H56" s="229" t="n"/>
      <c r="I56" s="229" t="n"/>
      <c r="J56" s="229" t="inlineStr">
        <is>
          <t>CH</t>
        </is>
      </c>
      <c r="K56" s="229" t="n"/>
      <c r="L56" s="229" t="n"/>
      <c r="M56" s="229" t="n"/>
      <c r="N56" s="229" t="n"/>
      <c r="O56" s="229" t="n"/>
      <c r="P56" s="229" t="n"/>
      <c r="Q56" s="229" t="n"/>
      <c r="R56" s="229" t="inlineStr">
        <is>
          <t>DKK</t>
        </is>
      </c>
      <c r="S56" s="229" t="n"/>
      <c r="T56" s="229" t="n"/>
      <c r="U56" s="229" t="inlineStr">
        <is>
          <t>SEC_LEQ_IFIN</t>
        </is>
      </c>
      <c r="V56" s="229" t="n"/>
      <c r="W56" s="229" t="n"/>
      <c r="X56" s="229" t="n"/>
      <c r="Y56" s="229" t="n"/>
      <c r="Z56" s="229" t="n"/>
      <c r="AA56" s="229" t="n"/>
      <c r="AB56" s="229" t="n"/>
      <c r="AC56" s="229" t="n"/>
      <c r="AD56" s="229" t="n"/>
      <c r="AE56" s="229" t="n"/>
      <c r="AF56" s="229" t="n"/>
      <c r="AG56" s="229" t="n"/>
      <c r="AH56" s="229" t="n"/>
      <c r="AI56" s="229" t="n"/>
      <c r="AJ56" s="229" t="n"/>
    </row>
    <row r="57" customFormat="1" s="13">
      <c r="A57" s="11" t="inlineStr">
        <is>
          <t>#</t>
        </is>
      </c>
      <c r="B57" s="230" t="n"/>
      <c r="C57" s="229" t="n"/>
      <c r="D57" s="229" t="n"/>
      <c r="E57" s="229" t="n"/>
      <c r="F57" s="229" t="n"/>
      <c r="G57" s="229" t="n"/>
      <c r="H57" s="229" t="n"/>
      <c r="I57" s="229" t="n"/>
      <c r="J57" s="229" t="inlineStr">
        <is>
          <t>CI</t>
        </is>
      </c>
      <c r="K57" s="229" t="n"/>
      <c r="L57" s="229" t="n"/>
      <c r="M57" s="229" t="n"/>
      <c r="N57" s="229" t="n"/>
      <c r="O57" s="229" t="n"/>
      <c r="P57" s="229" t="n"/>
      <c r="Q57" s="229" t="n"/>
      <c r="R57" s="229" t="inlineStr">
        <is>
          <t>DOP</t>
        </is>
      </c>
      <c r="S57" s="229" t="n"/>
      <c r="T57" s="229" t="n"/>
      <c r="U57" s="229" t="inlineStr">
        <is>
          <t>SEC_LEQ_OTHR</t>
        </is>
      </c>
      <c r="V57" s="229" t="n"/>
      <c r="W57" s="229" t="n"/>
      <c r="X57" s="229" t="n"/>
      <c r="Y57" s="229" t="n"/>
      <c r="Z57" s="229" t="n"/>
      <c r="AA57" s="229" t="n"/>
      <c r="AB57" s="229" t="n"/>
      <c r="AC57" s="229" t="n"/>
      <c r="AD57" s="229" t="n"/>
      <c r="AE57" s="229" t="n"/>
      <c r="AF57" s="229" t="n"/>
      <c r="AG57" s="229" t="n"/>
      <c r="AH57" s="229" t="n"/>
      <c r="AI57" s="229" t="n"/>
      <c r="AJ57" s="229" t="n"/>
    </row>
    <row r="58" customFormat="1" s="13">
      <c r="A58" s="11" t="inlineStr">
        <is>
          <t>#</t>
        </is>
      </c>
      <c r="B58" s="230" t="n"/>
      <c r="C58" s="229" t="n"/>
      <c r="D58" s="229" t="n"/>
      <c r="E58" s="229" t="n"/>
      <c r="F58" s="229" t="n"/>
      <c r="G58" s="229" t="n"/>
      <c r="H58" s="229" t="n"/>
      <c r="I58" s="229" t="n"/>
      <c r="J58" s="229" t="inlineStr">
        <is>
          <t>CK</t>
        </is>
      </c>
      <c r="K58" s="229" t="n"/>
      <c r="L58" s="229" t="n"/>
      <c r="M58" s="229" t="n"/>
      <c r="N58" s="229" t="n"/>
      <c r="O58" s="229" t="n"/>
      <c r="P58" s="229" t="n"/>
      <c r="Q58" s="229" t="n"/>
      <c r="R58" s="229" t="inlineStr">
        <is>
          <t>DZD</t>
        </is>
      </c>
      <c r="S58" s="229" t="n"/>
      <c r="T58" s="229" t="n"/>
      <c r="U58" s="229" t="inlineStr">
        <is>
          <t>SEC_LON_LEVL</t>
        </is>
      </c>
      <c r="V58" s="229" t="n"/>
      <c r="W58" s="229" t="n"/>
      <c r="X58" s="229" t="n"/>
      <c r="Y58" s="229" t="n"/>
      <c r="Z58" s="229" t="n"/>
      <c r="AA58" s="229" t="n"/>
      <c r="AB58" s="229" t="n"/>
      <c r="AC58" s="229" t="n"/>
      <c r="AD58" s="229" t="n"/>
      <c r="AE58" s="229" t="n"/>
      <c r="AF58" s="229" t="n"/>
      <c r="AG58" s="229" t="n"/>
      <c r="AH58" s="229" t="n"/>
      <c r="AI58" s="229" t="n"/>
      <c r="AJ58" s="229" t="n"/>
    </row>
    <row r="59" customFormat="1" s="13">
      <c r="A59" s="11" t="inlineStr">
        <is>
          <t>#</t>
        </is>
      </c>
      <c r="B59" s="230" t="n"/>
      <c r="C59" s="229" t="n"/>
      <c r="D59" s="229" t="n"/>
      <c r="E59" s="229" t="n"/>
      <c r="F59" s="229" t="n"/>
      <c r="G59" s="229" t="n"/>
      <c r="H59" s="229" t="n"/>
      <c r="I59" s="229" t="n"/>
      <c r="J59" s="229" t="inlineStr">
        <is>
          <t>CL</t>
        </is>
      </c>
      <c r="K59" s="229" t="n"/>
      <c r="L59" s="229" t="n"/>
      <c r="M59" s="229" t="n"/>
      <c r="N59" s="229" t="n"/>
      <c r="O59" s="229" t="n"/>
      <c r="P59" s="229" t="n"/>
      <c r="Q59" s="229" t="n"/>
      <c r="R59" s="229" t="inlineStr">
        <is>
          <t>EGP</t>
        </is>
      </c>
      <c r="S59" s="229" t="n"/>
      <c r="T59" s="229" t="n"/>
      <c r="U59" s="229" t="inlineStr">
        <is>
          <t>SEC_LON_OTHL</t>
        </is>
      </c>
      <c r="V59" s="229" t="n"/>
      <c r="W59" s="229" t="n"/>
      <c r="X59" s="229" t="n"/>
      <c r="Y59" s="229" t="n"/>
      <c r="Z59" s="229" t="n"/>
      <c r="AA59" s="229" t="n"/>
      <c r="AB59" s="229" t="n"/>
      <c r="AC59" s="229" t="n"/>
      <c r="AD59" s="229" t="n"/>
      <c r="AE59" s="229" t="n"/>
      <c r="AF59" s="229" t="n"/>
      <c r="AG59" s="229" t="n"/>
      <c r="AH59" s="229" t="n"/>
      <c r="AI59" s="229" t="n"/>
      <c r="AJ59" s="229" t="n"/>
    </row>
    <row r="60" customFormat="1" s="13">
      <c r="A60" s="11" t="inlineStr">
        <is>
          <t>#</t>
        </is>
      </c>
      <c r="B60" s="230" t="n"/>
      <c r="C60" s="229" t="n"/>
      <c r="D60" s="229" t="n"/>
      <c r="E60" s="229" t="n"/>
      <c r="F60" s="229" t="n"/>
      <c r="G60" s="229" t="n"/>
      <c r="H60" s="229" t="n"/>
      <c r="I60" s="229" t="n"/>
      <c r="J60" s="229" t="inlineStr">
        <is>
          <t>CM</t>
        </is>
      </c>
      <c r="K60" s="229" t="n"/>
      <c r="L60" s="229" t="n"/>
      <c r="M60" s="229" t="n"/>
      <c r="N60" s="229" t="n"/>
      <c r="O60" s="229" t="n"/>
      <c r="P60" s="229" t="n"/>
      <c r="Q60" s="229" t="n"/>
      <c r="R60" s="229" t="inlineStr">
        <is>
          <t>ERN</t>
        </is>
      </c>
      <c r="S60" s="229" t="n"/>
      <c r="T60" s="229" t="n"/>
      <c r="U60" s="229" t="inlineStr">
        <is>
          <t>SEC_MBN_MNPL</t>
        </is>
      </c>
      <c r="V60" s="229" t="n"/>
      <c r="W60" s="229" t="n"/>
      <c r="X60" s="229" t="n"/>
      <c r="Y60" s="229" t="n"/>
      <c r="Z60" s="229" t="n"/>
      <c r="AA60" s="229" t="n"/>
      <c r="AB60" s="229" t="n"/>
      <c r="AC60" s="229" t="n"/>
      <c r="AD60" s="229" t="n"/>
      <c r="AE60" s="229" t="n"/>
      <c r="AF60" s="229" t="n"/>
      <c r="AG60" s="229" t="n"/>
      <c r="AH60" s="229" t="n"/>
      <c r="AI60" s="229" t="n"/>
      <c r="AJ60" s="229" t="n"/>
    </row>
    <row r="61" customFormat="1" s="13">
      <c r="A61" s="11" t="inlineStr">
        <is>
          <t>#</t>
        </is>
      </c>
      <c r="B61" s="230" t="n"/>
      <c r="C61" s="229" t="n"/>
      <c r="D61" s="229" t="n"/>
      <c r="E61" s="229" t="n"/>
      <c r="F61" s="229" t="n"/>
      <c r="G61" s="229" t="n"/>
      <c r="H61" s="229" t="n"/>
      <c r="I61" s="229" t="n"/>
      <c r="J61" s="229" t="inlineStr">
        <is>
          <t>CN</t>
        </is>
      </c>
      <c r="K61" s="229" t="n"/>
      <c r="L61" s="229" t="n"/>
      <c r="M61" s="229" t="n"/>
      <c r="N61" s="229" t="n"/>
      <c r="O61" s="229" t="n"/>
      <c r="P61" s="229" t="n"/>
      <c r="Q61" s="229" t="n"/>
      <c r="R61" s="229" t="inlineStr">
        <is>
          <t>ETB</t>
        </is>
      </c>
      <c r="S61" s="229" t="n"/>
      <c r="T61" s="229" t="n"/>
      <c r="U61" s="229" t="inlineStr">
        <is>
          <t>SEC_SBD_EUBM</t>
        </is>
      </c>
      <c r="V61" s="229" t="n"/>
      <c r="W61" s="229" t="n"/>
      <c r="X61" s="229" t="n"/>
      <c r="Y61" s="229" t="n"/>
      <c r="Z61" s="229" t="n"/>
      <c r="AA61" s="229" t="n"/>
      <c r="AB61" s="229" t="n"/>
      <c r="AC61" s="229" t="n"/>
      <c r="AD61" s="229" t="n"/>
      <c r="AE61" s="229" t="n"/>
      <c r="AF61" s="229" t="n"/>
      <c r="AG61" s="229" t="n"/>
      <c r="AH61" s="229" t="n"/>
      <c r="AI61" s="229" t="n"/>
      <c r="AJ61" s="229" t="n"/>
    </row>
    <row r="62" customFormat="1" s="13">
      <c r="A62" s="11" t="inlineStr">
        <is>
          <t>#</t>
        </is>
      </c>
      <c r="B62" s="230" t="n"/>
      <c r="C62" s="229" t="n"/>
      <c r="D62" s="229" t="n"/>
      <c r="E62" s="229" t="n"/>
      <c r="F62" s="229" t="n"/>
      <c r="G62" s="229" t="n"/>
      <c r="H62" s="229" t="n"/>
      <c r="I62" s="229" t="n"/>
      <c r="J62" s="229" t="inlineStr">
        <is>
          <t>CO</t>
        </is>
      </c>
      <c r="K62" s="229" t="n"/>
      <c r="L62" s="229" t="n"/>
      <c r="M62" s="229" t="n"/>
      <c r="N62" s="229" t="n"/>
      <c r="O62" s="229" t="n"/>
      <c r="P62" s="229" t="n"/>
      <c r="Q62" s="229" t="n"/>
      <c r="R62" s="229" t="inlineStr">
        <is>
          <t>EUR</t>
        </is>
      </c>
      <c r="S62" s="229" t="n"/>
      <c r="T62" s="229" t="n"/>
      <c r="U62" s="229" t="inlineStr">
        <is>
          <t>SEC_SBD_EUBY</t>
        </is>
      </c>
      <c r="V62" s="229" t="n"/>
      <c r="W62" s="229" t="n"/>
      <c r="X62" s="229" t="n"/>
      <c r="Y62" s="229" t="n"/>
      <c r="Z62" s="229" t="n"/>
      <c r="AA62" s="229" t="n"/>
      <c r="AB62" s="229" t="n"/>
      <c r="AC62" s="229" t="n"/>
      <c r="AD62" s="229" t="n"/>
      <c r="AE62" s="229" t="n"/>
      <c r="AF62" s="229" t="n"/>
      <c r="AG62" s="229" t="n"/>
      <c r="AH62" s="229" t="n"/>
      <c r="AI62" s="229" t="n"/>
      <c r="AJ62" s="229" t="n"/>
    </row>
    <row r="63" customFormat="1" s="13">
      <c r="A63" s="11" t="inlineStr">
        <is>
          <t>#</t>
        </is>
      </c>
      <c r="B63" s="230" t="n"/>
      <c r="C63" s="229" t="n"/>
      <c r="D63" s="229" t="n"/>
      <c r="E63" s="229" t="n"/>
      <c r="F63" s="229" t="n"/>
      <c r="G63" s="229" t="n"/>
      <c r="H63" s="229" t="n"/>
      <c r="I63" s="229" t="n"/>
      <c r="J63" s="229" t="inlineStr">
        <is>
          <t>CR</t>
        </is>
      </c>
      <c r="K63" s="229" t="n"/>
      <c r="L63" s="229" t="n"/>
      <c r="M63" s="229" t="n"/>
      <c r="N63" s="229" t="n"/>
      <c r="O63" s="229" t="n"/>
      <c r="P63" s="229" t="n"/>
      <c r="Q63" s="229" t="n"/>
      <c r="R63" s="229" t="inlineStr">
        <is>
          <t>FJD</t>
        </is>
      </c>
      <c r="S63" s="229" t="n"/>
      <c r="T63" s="229" t="n"/>
      <c r="U63" s="229" t="inlineStr">
        <is>
          <t>SEC_SBD_EUGM</t>
        </is>
      </c>
      <c r="V63" s="229" t="n"/>
      <c r="W63" s="229" t="n"/>
      <c r="X63" s="229" t="n"/>
      <c r="Y63" s="229" t="n"/>
      <c r="Z63" s="229" t="n"/>
      <c r="AA63" s="229" t="n"/>
      <c r="AB63" s="229" t="n"/>
      <c r="AC63" s="229" t="n"/>
      <c r="AD63" s="229" t="n"/>
      <c r="AE63" s="229" t="n"/>
      <c r="AF63" s="229" t="n"/>
      <c r="AG63" s="229" t="n"/>
      <c r="AH63" s="229" t="n"/>
      <c r="AI63" s="229" t="n"/>
      <c r="AJ63" s="229" t="n"/>
    </row>
    <row r="64" customFormat="1" s="13">
      <c r="A64" s="11" t="inlineStr">
        <is>
          <t>#</t>
        </is>
      </c>
      <c r="B64" s="230" t="n"/>
      <c r="C64" s="229" t="n"/>
      <c r="D64" s="229" t="n"/>
      <c r="E64" s="229" t="n"/>
      <c r="F64" s="229" t="n"/>
      <c r="G64" s="229" t="n"/>
      <c r="H64" s="229" t="n"/>
      <c r="I64" s="229" t="n"/>
      <c r="J64" s="229" t="inlineStr">
        <is>
          <t>CU</t>
        </is>
      </c>
      <c r="K64" s="229" t="n"/>
      <c r="L64" s="229" t="n"/>
      <c r="M64" s="229" t="n"/>
      <c r="N64" s="229" t="n"/>
      <c r="O64" s="229" t="n"/>
      <c r="P64" s="229" t="n"/>
      <c r="Q64" s="229" t="n"/>
      <c r="R64" s="229" t="inlineStr">
        <is>
          <t>FKP</t>
        </is>
      </c>
      <c r="S64" s="229" t="n"/>
      <c r="T64" s="229" t="n"/>
      <c r="U64" s="229" t="inlineStr">
        <is>
          <t>SEC_SBD_EUGY</t>
        </is>
      </c>
      <c r="V64" s="229" t="n"/>
      <c r="W64" s="229" t="n"/>
      <c r="X64" s="229" t="n"/>
      <c r="Y64" s="229" t="n"/>
      <c r="Z64" s="229" t="n"/>
      <c r="AA64" s="229" t="n"/>
      <c r="AB64" s="229" t="n"/>
      <c r="AC64" s="229" t="n"/>
      <c r="AD64" s="229" t="n"/>
      <c r="AE64" s="229" t="n"/>
      <c r="AF64" s="229" t="n"/>
      <c r="AG64" s="229" t="n"/>
      <c r="AH64" s="229" t="n"/>
      <c r="AI64" s="229" t="n"/>
      <c r="AJ64" s="229" t="n"/>
    </row>
    <row r="65" customFormat="1" s="13">
      <c r="A65" s="11" t="inlineStr">
        <is>
          <t>#</t>
        </is>
      </c>
      <c r="B65" s="230" t="n"/>
      <c r="C65" s="229" t="n"/>
      <c r="D65" s="229" t="n"/>
      <c r="E65" s="229" t="n"/>
      <c r="F65" s="229" t="n"/>
      <c r="G65" s="229" t="n"/>
      <c r="H65" s="229" t="n"/>
      <c r="I65" s="229" t="n"/>
      <c r="J65" s="229" t="inlineStr">
        <is>
          <t>CV</t>
        </is>
      </c>
      <c r="K65" s="229" t="n"/>
      <c r="L65" s="229" t="n"/>
      <c r="M65" s="229" t="n"/>
      <c r="N65" s="229" t="n"/>
      <c r="O65" s="229" t="n"/>
      <c r="P65" s="229" t="n"/>
      <c r="Q65" s="229" t="n"/>
      <c r="R65" s="229" t="inlineStr">
        <is>
          <t>GBP</t>
        </is>
      </c>
      <c r="S65" s="229" t="n"/>
      <c r="T65" s="229" t="n"/>
      <c r="U65" s="229" t="inlineStr">
        <is>
          <t>SEC_SBD_NOGM</t>
        </is>
      </c>
      <c r="V65" s="229" t="n"/>
      <c r="W65" s="229" t="n"/>
      <c r="X65" s="229" t="n"/>
      <c r="Y65" s="229" t="n"/>
      <c r="Z65" s="229" t="n"/>
      <c r="AA65" s="229" t="n"/>
      <c r="AB65" s="229" t="n"/>
      <c r="AC65" s="229" t="n"/>
      <c r="AD65" s="229" t="n"/>
      <c r="AE65" s="229" t="n"/>
      <c r="AF65" s="229" t="n"/>
      <c r="AG65" s="229" t="n"/>
      <c r="AH65" s="229" t="n"/>
      <c r="AI65" s="229" t="n"/>
      <c r="AJ65" s="229" t="n"/>
    </row>
    <row r="66" customFormat="1" s="13">
      <c r="A66" s="11" t="inlineStr">
        <is>
          <t>#</t>
        </is>
      </c>
      <c r="B66" s="230" t="n"/>
      <c r="C66" s="229" t="n"/>
      <c r="D66" s="229" t="n"/>
      <c r="E66" s="229" t="n"/>
      <c r="F66" s="229" t="n"/>
      <c r="G66" s="229" t="n"/>
      <c r="H66" s="229" t="n"/>
      <c r="I66" s="229" t="n"/>
      <c r="J66" s="229" t="inlineStr">
        <is>
          <t>CX</t>
        </is>
      </c>
      <c r="K66" s="229" t="n"/>
      <c r="L66" s="229" t="n"/>
      <c r="M66" s="229" t="n"/>
      <c r="N66" s="229" t="n"/>
      <c r="O66" s="229" t="n"/>
      <c r="P66" s="229" t="n"/>
      <c r="Q66" s="229" t="n"/>
      <c r="R66" s="229" t="inlineStr">
        <is>
          <t>GEL</t>
        </is>
      </c>
      <c r="S66" s="229" t="n"/>
      <c r="T66" s="229" t="n"/>
      <c r="U66" s="229" t="inlineStr">
        <is>
          <t>SEC_SBD_NOGY</t>
        </is>
      </c>
      <c r="V66" s="229" t="n"/>
      <c r="W66" s="229" t="n"/>
      <c r="X66" s="229" t="n"/>
      <c r="Y66" s="229" t="n"/>
      <c r="Z66" s="229" t="n"/>
      <c r="AA66" s="229" t="n"/>
      <c r="AB66" s="229" t="n"/>
      <c r="AC66" s="229" t="n"/>
      <c r="AD66" s="229" t="n"/>
      <c r="AE66" s="229" t="n"/>
      <c r="AF66" s="229" t="n"/>
      <c r="AG66" s="229" t="n"/>
      <c r="AH66" s="229" t="n"/>
      <c r="AI66" s="229" t="n"/>
      <c r="AJ66" s="229" t="n"/>
    </row>
    <row r="67" customFormat="1" s="13">
      <c r="A67" s="11" t="inlineStr">
        <is>
          <t>#</t>
        </is>
      </c>
      <c r="B67" s="230" t="n"/>
      <c r="C67" s="229" t="n"/>
      <c r="D67" s="229" t="n"/>
      <c r="E67" s="229" t="n"/>
      <c r="F67" s="229" t="n"/>
      <c r="G67" s="229" t="n"/>
      <c r="H67" s="229" t="n"/>
      <c r="I67" s="229" t="n"/>
      <c r="J67" s="229" t="inlineStr">
        <is>
          <t>CY</t>
        </is>
      </c>
      <c r="K67" s="229" t="n"/>
      <c r="L67" s="229" t="n"/>
      <c r="M67" s="229" t="n"/>
      <c r="N67" s="229" t="n"/>
      <c r="O67" s="229" t="n"/>
      <c r="P67" s="229" t="n"/>
      <c r="Q67" s="229" t="n"/>
      <c r="R67" s="229" t="inlineStr">
        <is>
          <t>GHS</t>
        </is>
      </c>
      <c r="S67" s="229" t="n"/>
      <c r="T67" s="229" t="n"/>
      <c r="U67" s="229" t="inlineStr">
        <is>
          <t>SEC_SBD_UKBM</t>
        </is>
      </c>
      <c r="V67" s="229" t="n"/>
      <c r="W67" s="229" t="n"/>
      <c r="X67" s="229" t="n"/>
      <c r="Y67" s="229" t="n"/>
      <c r="Z67" s="229" t="n"/>
      <c r="AA67" s="229" t="n"/>
      <c r="AB67" s="229" t="n"/>
      <c r="AC67" s="229" t="n"/>
      <c r="AD67" s="229" t="n"/>
      <c r="AE67" s="229" t="n"/>
      <c r="AF67" s="229" t="n"/>
      <c r="AG67" s="229" t="n"/>
      <c r="AH67" s="229" t="n"/>
      <c r="AI67" s="229" t="n"/>
      <c r="AJ67" s="229" t="n"/>
    </row>
    <row r="68" customFormat="1" s="13">
      <c r="A68" s="11" t="inlineStr">
        <is>
          <t>#</t>
        </is>
      </c>
      <c r="B68" s="230" t="n"/>
      <c r="C68" s="229" t="n"/>
      <c r="D68" s="229" t="n"/>
      <c r="E68" s="229" t="n"/>
      <c r="F68" s="229" t="n"/>
      <c r="G68" s="229" t="n"/>
      <c r="H68" s="229" t="n"/>
      <c r="I68" s="229" t="n"/>
      <c r="J68" s="229" t="inlineStr">
        <is>
          <t>CZ</t>
        </is>
      </c>
      <c r="K68" s="229" t="n"/>
      <c r="L68" s="229" t="n"/>
      <c r="M68" s="229" t="n"/>
      <c r="N68" s="229" t="n"/>
      <c r="O68" s="229" t="n"/>
      <c r="P68" s="229" t="n"/>
      <c r="Q68" s="229" t="n"/>
      <c r="R68" s="229" t="inlineStr">
        <is>
          <t>GIP</t>
        </is>
      </c>
      <c r="S68" s="229" t="n"/>
      <c r="T68" s="229" t="n"/>
      <c r="U68" s="229" t="inlineStr">
        <is>
          <t>SEC_SBD_UKBY</t>
        </is>
      </c>
      <c r="V68" s="229" t="n"/>
      <c r="W68" s="229" t="n"/>
      <c r="X68" s="229" t="n"/>
      <c r="Y68" s="229" t="n"/>
      <c r="Z68" s="229" t="n"/>
      <c r="AA68" s="229" t="n"/>
      <c r="AB68" s="229" t="n"/>
      <c r="AC68" s="229" t="n"/>
      <c r="AD68" s="229" t="n"/>
      <c r="AE68" s="229" t="n"/>
      <c r="AF68" s="229" t="n"/>
      <c r="AG68" s="229" t="n"/>
      <c r="AH68" s="229" t="n"/>
      <c r="AI68" s="229" t="n"/>
      <c r="AJ68" s="229" t="n"/>
    </row>
    <row r="69" customFormat="1" s="13">
      <c r="A69" s="11" t="inlineStr">
        <is>
          <t>#</t>
        </is>
      </c>
      <c r="B69" s="230" t="n"/>
      <c r="C69" s="229" t="n"/>
      <c r="D69" s="229" t="n"/>
      <c r="E69" s="229" t="n"/>
      <c r="F69" s="229" t="n"/>
      <c r="G69" s="229" t="n"/>
      <c r="H69" s="229" t="n"/>
      <c r="I69" s="229" t="n"/>
      <c r="J69" s="229" t="inlineStr">
        <is>
          <t>DE</t>
        </is>
      </c>
      <c r="K69" s="229" t="n"/>
      <c r="L69" s="229" t="n"/>
      <c r="M69" s="229" t="n"/>
      <c r="N69" s="229" t="n"/>
      <c r="O69" s="229" t="n"/>
      <c r="P69" s="229" t="n"/>
      <c r="Q69" s="229" t="n"/>
      <c r="R69" s="229" t="inlineStr">
        <is>
          <t>GMD</t>
        </is>
      </c>
      <c r="S69" s="229" t="n"/>
      <c r="T69" s="229" t="n"/>
      <c r="U69" s="229" t="inlineStr">
        <is>
          <t>SEC_SSP_ABCP</t>
        </is>
      </c>
      <c r="V69" s="229" t="n"/>
      <c r="W69" s="229" t="n"/>
      <c r="X69" s="229" t="n"/>
      <c r="Y69" s="229" t="n"/>
      <c r="Z69" s="229" t="n"/>
      <c r="AA69" s="229" t="n"/>
      <c r="AB69" s="229" t="n"/>
      <c r="AC69" s="229" t="n"/>
      <c r="AD69" s="229" t="n"/>
      <c r="AE69" s="229" t="n"/>
      <c r="AF69" s="229" t="n"/>
      <c r="AG69" s="229" t="n"/>
      <c r="AH69" s="229" t="n"/>
      <c r="AI69" s="229" t="n"/>
      <c r="AJ69" s="229" t="n"/>
    </row>
    <row r="70" customFormat="1" s="13">
      <c r="A70" s="11" t="inlineStr">
        <is>
          <t>#</t>
        </is>
      </c>
      <c r="B70" s="230" t="n"/>
      <c r="C70" s="229" t="n"/>
      <c r="D70" s="229" t="n"/>
      <c r="E70" s="229" t="n"/>
      <c r="F70" s="229" t="n"/>
      <c r="G70" s="229" t="n"/>
      <c r="H70" s="229" t="n"/>
      <c r="I70" s="229" t="n"/>
      <c r="J70" s="229" t="inlineStr">
        <is>
          <t>DJ</t>
        </is>
      </c>
      <c r="K70" s="229" t="n"/>
      <c r="L70" s="229" t="n"/>
      <c r="M70" s="229" t="n"/>
      <c r="N70" s="229" t="n"/>
      <c r="O70" s="229" t="n"/>
      <c r="P70" s="229" t="n"/>
      <c r="Q70" s="229" t="n"/>
      <c r="R70" s="229" t="inlineStr">
        <is>
          <t>GNF</t>
        </is>
      </c>
      <c r="S70" s="229" t="n"/>
      <c r="T70" s="229" t="n"/>
      <c r="U70" s="229" t="inlineStr">
        <is>
          <t>SEC_SSP_AMBS</t>
        </is>
      </c>
      <c r="V70" s="229" t="n"/>
      <c r="W70" s="229" t="n"/>
      <c r="X70" s="229" t="n"/>
      <c r="Y70" s="229" t="n"/>
      <c r="Z70" s="229" t="n"/>
      <c r="AA70" s="229" t="n"/>
      <c r="AB70" s="229" t="n"/>
      <c r="AC70" s="229" t="n"/>
      <c r="AD70" s="229" t="n"/>
      <c r="AE70" s="229" t="n"/>
      <c r="AF70" s="229" t="n"/>
      <c r="AG70" s="229" t="n"/>
      <c r="AH70" s="229" t="n"/>
      <c r="AI70" s="229" t="n"/>
      <c r="AJ70" s="229" t="n"/>
    </row>
    <row r="71" customFormat="1" s="13">
      <c r="A71" s="11" t="inlineStr">
        <is>
          <t>#</t>
        </is>
      </c>
      <c r="B71" s="230" t="n"/>
      <c r="C71" s="229" t="n"/>
      <c r="D71" s="229" t="n"/>
      <c r="E71" s="229" t="n"/>
      <c r="F71" s="229" t="n"/>
      <c r="G71" s="229" t="n"/>
      <c r="H71" s="229" t="n"/>
      <c r="I71" s="229" t="n"/>
      <c r="J71" s="229" t="inlineStr">
        <is>
          <t>DK</t>
        </is>
      </c>
      <c r="K71" s="229" t="n"/>
      <c r="L71" s="229" t="n"/>
      <c r="M71" s="229" t="n"/>
      <c r="N71" s="229" t="n"/>
      <c r="O71" s="229" t="n"/>
      <c r="P71" s="229" t="n"/>
      <c r="Q71" s="229" t="n"/>
      <c r="R71" s="229" t="inlineStr">
        <is>
          <t>GTQ</t>
        </is>
      </c>
      <c r="S71" s="229" t="n"/>
      <c r="T71" s="229" t="n"/>
      <c r="U71" s="229" t="inlineStr">
        <is>
          <t>SEC_SSP_CDOC</t>
        </is>
      </c>
      <c r="V71" s="229" t="n"/>
      <c r="W71" s="229" t="n"/>
      <c r="X71" s="229" t="n"/>
      <c r="Y71" s="229" t="n"/>
      <c r="Z71" s="229" t="n"/>
      <c r="AA71" s="229" t="n"/>
      <c r="AB71" s="229" t="n"/>
      <c r="AC71" s="229" t="n"/>
      <c r="AD71" s="229" t="n"/>
      <c r="AE71" s="229" t="n"/>
      <c r="AF71" s="229" t="n"/>
      <c r="AG71" s="229" t="n"/>
      <c r="AH71" s="229" t="n"/>
      <c r="AI71" s="229" t="n"/>
      <c r="AJ71" s="229" t="n"/>
    </row>
    <row r="72" customFormat="1" s="13">
      <c r="A72" s="11" t="inlineStr">
        <is>
          <t>#</t>
        </is>
      </c>
      <c r="B72" s="230" t="n"/>
      <c r="C72" s="229" t="n"/>
      <c r="D72" s="229" t="n"/>
      <c r="E72" s="229" t="n"/>
      <c r="F72" s="229" t="n"/>
      <c r="G72" s="229" t="n"/>
      <c r="H72" s="229" t="n"/>
      <c r="I72" s="229" t="n"/>
      <c r="J72" s="229" t="inlineStr">
        <is>
          <t>DM</t>
        </is>
      </c>
      <c r="K72" s="229" t="n"/>
      <c r="L72" s="229" t="n"/>
      <c r="M72" s="229" t="n"/>
      <c r="N72" s="229" t="n"/>
      <c r="O72" s="229" t="n"/>
      <c r="P72" s="229" t="n"/>
      <c r="Q72" s="229" t="n"/>
      <c r="R72" s="229" t="inlineStr">
        <is>
          <t>GYD</t>
        </is>
      </c>
      <c r="S72" s="229" t="n"/>
      <c r="T72" s="229" t="n"/>
      <c r="U72" s="229" t="inlineStr">
        <is>
          <t>SEC_SSP_CMBS</t>
        </is>
      </c>
      <c r="V72" s="229" t="n"/>
      <c r="W72" s="229" t="n"/>
      <c r="X72" s="229" t="n"/>
      <c r="Y72" s="229" t="n"/>
      <c r="Z72" s="229" t="n"/>
      <c r="AA72" s="229" t="n"/>
      <c r="AB72" s="229" t="n"/>
      <c r="AC72" s="229" t="n"/>
      <c r="AD72" s="229" t="n"/>
      <c r="AE72" s="229" t="n"/>
      <c r="AF72" s="229" t="n"/>
      <c r="AG72" s="229" t="n"/>
      <c r="AH72" s="229" t="n"/>
      <c r="AI72" s="229" t="n"/>
      <c r="AJ72" s="229" t="n"/>
    </row>
    <row r="73" customFormat="1" s="13">
      <c r="A73" s="11" t="inlineStr">
        <is>
          <t>#</t>
        </is>
      </c>
      <c r="B73" s="230" t="n"/>
      <c r="C73" s="229" t="n"/>
      <c r="D73" s="229" t="n"/>
      <c r="E73" s="229" t="n"/>
      <c r="F73" s="229" t="n"/>
      <c r="G73" s="229" t="n"/>
      <c r="H73" s="229" t="n"/>
      <c r="I73" s="229" t="n"/>
      <c r="J73" s="229" t="inlineStr">
        <is>
          <t>DO</t>
        </is>
      </c>
      <c r="K73" s="229" t="n"/>
      <c r="L73" s="229" t="n"/>
      <c r="M73" s="229" t="n"/>
      <c r="N73" s="229" t="n"/>
      <c r="O73" s="229" t="n"/>
      <c r="P73" s="229" t="n"/>
      <c r="Q73" s="229" t="n"/>
      <c r="R73" s="229" t="inlineStr">
        <is>
          <t>HKD</t>
        </is>
      </c>
      <c r="S73" s="229" t="n"/>
      <c r="T73" s="229" t="n"/>
      <c r="U73" s="229" t="inlineStr">
        <is>
          <t>SEC_SSP_OTHS</t>
        </is>
      </c>
      <c r="V73" s="229" t="n"/>
      <c r="W73" s="229" t="n"/>
      <c r="X73" s="229" t="n"/>
      <c r="Y73" s="229" t="n"/>
      <c r="Z73" s="229" t="n"/>
      <c r="AA73" s="229" t="n"/>
      <c r="AB73" s="229" t="n"/>
      <c r="AC73" s="229" t="n"/>
      <c r="AD73" s="229" t="n"/>
      <c r="AE73" s="229" t="n"/>
      <c r="AF73" s="229" t="n"/>
      <c r="AG73" s="229" t="n"/>
      <c r="AH73" s="229" t="n"/>
      <c r="AI73" s="229" t="n"/>
      <c r="AJ73" s="229" t="n"/>
    </row>
    <row r="74" customFormat="1" s="13">
      <c r="A74" s="11" t="inlineStr">
        <is>
          <t>#</t>
        </is>
      </c>
      <c r="B74" s="230" t="n"/>
      <c r="C74" s="229" t="n"/>
      <c r="D74" s="229" t="n"/>
      <c r="E74" s="229" t="n"/>
      <c r="F74" s="229" t="n"/>
      <c r="G74" s="229" t="n"/>
      <c r="H74" s="229" t="n"/>
      <c r="I74" s="229" t="n"/>
      <c r="J74" s="229" t="inlineStr">
        <is>
          <t>DZ</t>
        </is>
      </c>
      <c r="K74" s="229" t="n"/>
      <c r="L74" s="229" t="n"/>
      <c r="M74" s="229" t="n"/>
      <c r="N74" s="229" t="n"/>
      <c r="O74" s="229" t="n"/>
      <c r="P74" s="229" t="n"/>
      <c r="Q74" s="229" t="n"/>
      <c r="R74" s="229" t="inlineStr">
        <is>
          <t>HNL</t>
        </is>
      </c>
      <c r="S74" s="229" t="n"/>
      <c r="T74" s="229" t="n"/>
      <c r="U74" s="229" t="inlineStr">
        <is>
          <t>SEC_SSP_RMBS</t>
        </is>
      </c>
      <c r="V74" s="229" t="n"/>
      <c r="W74" s="229" t="n"/>
      <c r="X74" s="229" t="n"/>
      <c r="Y74" s="229" t="n"/>
      <c r="Z74" s="229" t="n"/>
      <c r="AA74" s="229" t="n"/>
      <c r="AB74" s="229" t="n"/>
      <c r="AC74" s="229" t="n"/>
      <c r="AD74" s="229" t="n"/>
      <c r="AE74" s="229" t="n"/>
      <c r="AF74" s="229" t="n"/>
      <c r="AG74" s="229" t="n"/>
      <c r="AH74" s="229" t="n"/>
      <c r="AI74" s="229" t="n"/>
      <c r="AJ74" s="229" t="n"/>
    </row>
    <row r="75" customFormat="1" s="13">
      <c r="A75" s="11" t="inlineStr">
        <is>
          <t>#</t>
        </is>
      </c>
      <c r="B75" s="230" t="n"/>
      <c r="C75" s="229" t="n"/>
      <c r="D75" s="229" t="n"/>
      <c r="E75" s="229" t="n"/>
      <c r="F75" s="229" t="n"/>
      <c r="G75" s="229" t="n"/>
      <c r="H75" s="229" t="n"/>
      <c r="I75" s="229" t="n"/>
      <c r="J75" s="229" t="inlineStr">
        <is>
          <t>EC</t>
        </is>
      </c>
      <c r="K75" s="229" t="n"/>
      <c r="L75" s="229" t="n"/>
      <c r="M75" s="229" t="n"/>
      <c r="N75" s="229" t="n"/>
      <c r="O75" s="229" t="n"/>
      <c r="P75" s="229" t="n"/>
      <c r="Q75" s="229" t="n"/>
      <c r="R75" s="229" t="inlineStr">
        <is>
          <t>HRK</t>
        </is>
      </c>
      <c r="S75" s="229" t="n"/>
      <c r="T75" s="229" t="n"/>
      <c r="U75" s="229" t="inlineStr">
        <is>
          <t>SEC_SSP_SABS</t>
        </is>
      </c>
      <c r="V75" s="229" t="n"/>
      <c r="W75" s="229" t="n"/>
      <c r="X75" s="229" t="n"/>
      <c r="Y75" s="229" t="n"/>
      <c r="Z75" s="229" t="n"/>
      <c r="AA75" s="229" t="n"/>
      <c r="AB75" s="229" t="n"/>
      <c r="AC75" s="229" t="n"/>
      <c r="AD75" s="229" t="n"/>
      <c r="AE75" s="229" t="n"/>
      <c r="AF75" s="229" t="n"/>
      <c r="AG75" s="229" t="n"/>
      <c r="AH75" s="229" t="n"/>
      <c r="AI75" s="229" t="n"/>
      <c r="AJ75" s="229" t="n"/>
    </row>
    <row r="76" customFormat="1" s="13">
      <c r="A76" s="11" t="inlineStr">
        <is>
          <t>#</t>
        </is>
      </c>
      <c r="B76" s="230" t="n"/>
      <c r="C76" s="229" t="n"/>
      <c r="D76" s="229" t="n"/>
      <c r="E76" s="229" t="n"/>
      <c r="F76" s="229" t="n"/>
      <c r="G76" s="229" t="n"/>
      <c r="H76" s="229" t="n"/>
      <c r="I76" s="229" t="n"/>
      <c r="J76" s="229" t="inlineStr">
        <is>
          <t>EE</t>
        </is>
      </c>
      <c r="K76" s="229" t="n"/>
      <c r="L76" s="229" t="n"/>
      <c r="M76" s="229" t="n"/>
      <c r="N76" s="229" t="n"/>
      <c r="O76" s="229" t="n"/>
      <c r="P76" s="229" t="n"/>
      <c r="Q76" s="229" t="n"/>
      <c r="R76" s="229" t="inlineStr">
        <is>
          <t>HTG</t>
        </is>
      </c>
      <c r="S76" s="229" t="n"/>
      <c r="T76" s="229" t="n"/>
      <c r="U76" s="229" t="inlineStr">
        <is>
          <t>SEC_SSP_SETP</t>
        </is>
      </c>
      <c r="V76" s="229" t="n"/>
      <c r="W76" s="229" t="n"/>
      <c r="X76" s="229" t="n"/>
      <c r="Y76" s="229" t="n"/>
      <c r="Z76" s="229" t="n"/>
      <c r="AA76" s="229" t="n"/>
      <c r="AB76" s="229" t="n"/>
      <c r="AC76" s="229" t="n"/>
      <c r="AD76" s="229" t="n"/>
      <c r="AE76" s="229" t="n"/>
      <c r="AF76" s="229" t="n"/>
      <c r="AG76" s="229" t="n"/>
      <c r="AH76" s="229" t="n"/>
      <c r="AI76" s="229" t="n"/>
      <c r="AJ76" s="229" t="n"/>
    </row>
    <row r="77" customFormat="1" s="13">
      <c r="A77" s="11" t="inlineStr">
        <is>
          <t>#</t>
        </is>
      </c>
      <c r="B77" s="230" t="n"/>
      <c r="C77" s="229" t="n"/>
      <c r="D77" s="229" t="n"/>
      <c r="E77" s="229" t="n"/>
      <c r="F77" s="229" t="n"/>
      <c r="G77" s="229" t="n"/>
      <c r="H77" s="229" t="n"/>
      <c r="I77" s="229" t="n"/>
      <c r="J77" s="229" t="inlineStr">
        <is>
          <t>EG</t>
        </is>
      </c>
      <c r="K77" s="229" t="n"/>
      <c r="L77" s="229" t="n"/>
      <c r="M77" s="229" t="n"/>
      <c r="N77" s="229" t="n"/>
      <c r="O77" s="229" t="n"/>
      <c r="P77" s="229" t="n"/>
      <c r="Q77" s="229" t="n"/>
      <c r="R77" s="229" t="inlineStr">
        <is>
          <t>HUF</t>
        </is>
      </c>
      <c r="S77" s="229" t="n"/>
      <c r="T77" s="229" t="n"/>
      <c r="U77" s="229" t="inlineStr">
        <is>
          <t>SEC_SSP_STRC</t>
        </is>
      </c>
      <c r="V77" s="229" t="n"/>
      <c r="W77" s="229" t="n"/>
      <c r="X77" s="229" t="n"/>
      <c r="Y77" s="229" t="n"/>
      <c r="Z77" s="229" t="n"/>
      <c r="AA77" s="229" t="n"/>
      <c r="AB77" s="229" t="n"/>
      <c r="AC77" s="229" t="n"/>
      <c r="AD77" s="229" t="n"/>
      <c r="AE77" s="229" t="n"/>
      <c r="AF77" s="229" t="n"/>
      <c r="AG77" s="229" t="n"/>
      <c r="AH77" s="229" t="n"/>
      <c r="AI77" s="229" t="n"/>
      <c r="AJ77" s="229" t="n"/>
    </row>
    <row r="78" customFormat="1" s="13">
      <c r="A78" s="11" t="inlineStr">
        <is>
          <t>#</t>
        </is>
      </c>
      <c r="B78" s="230" t="n"/>
      <c r="C78" s="229" t="n"/>
      <c r="D78" s="229" t="n"/>
      <c r="E78" s="229" t="n"/>
      <c r="F78" s="229" t="n"/>
      <c r="G78" s="229" t="n"/>
      <c r="H78" s="229" t="n"/>
      <c r="I78" s="229" t="n"/>
      <c r="J78" s="229" t="inlineStr">
        <is>
          <t>EH</t>
        </is>
      </c>
      <c r="K78" s="229" t="n"/>
      <c r="L78" s="229" t="n"/>
      <c r="M78" s="229" t="n"/>
      <c r="N78" s="229" t="n"/>
      <c r="O78" s="229" t="n"/>
      <c r="P78" s="229" t="n"/>
      <c r="Q78" s="229" t="n"/>
      <c r="R78" s="229" t="inlineStr">
        <is>
          <t>IDR</t>
        </is>
      </c>
      <c r="S78" s="229" t="n"/>
      <c r="T78" s="229" t="n"/>
      <c r="U78" s="231" t="inlineStr">
        <is>
          <t>SEC_UEQ_UEQY</t>
        </is>
      </c>
      <c r="V78" s="231" t="n"/>
      <c r="W78" s="229" t="n"/>
      <c r="X78" s="229" t="n"/>
      <c r="Y78" s="229" t="n"/>
      <c r="Z78" s="229" t="n"/>
      <c r="AA78" s="229" t="n"/>
      <c r="AB78" s="229" t="n"/>
      <c r="AC78" s="229" t="n"/>
      <c r="AD78" s="229" t="n"/>
      <c r="AE78" s="229" t="n"/>
      <c r="AF78" s="229" t="n"/>
      <c r="AG78" s="229" t="n"/>
      <c r="AH78" s="229" t="n"/>
      <c r="AI78" s="229" t="n"/>
      <c r="AJ78" s="229" t="n"/>
    </row>
    <row r="79" customFormat="1" s="13">
      <c r="A79" s="11" t="inlineStr">
        <is>
          <t>#</t>
        </is>
      </c>
      <c r="B79" s="230" t="n"/>
      <c r="C79" s="229" t="n"/>
      <c r="D79" s="229" t="n"/>
      <c r="E79" s="229" t="n"/>
      <c r="F79" s="229" t="n"/>
      <c r="G79" s="229" t="n"/>
      <c r="H79" s="229" t="n"/>
      <c r="I79" s="229" t="n"/>
      <c r="J79" s="229" t="inlineStr">
        <is>
          <t>ER</t>
        </is>
      </c>
      <c r="K79" s="229" t="n"/>
      <c r="L79" s="229" t="n"/>
      <c r="M79" s="229" t="n"/>
      <c r="N79" s="229" t="n"/>
      <c r="O79" s="229" t="n"/>
      <c r="P79" s="229" t="n"/>
      <c r="Q79" s="229" t="n"/>
      <c r="R79" s="229" t="inlineStr">
        <is>
          <t>ILS</t>
        </is>
      </c>
      <c r="S79" s="229" t="n"/>
      <c r="T79" s="229" t="n"/>
      <c r="U79" s="11" t="n"/>
      <c r="V79" s="11" t="n"/>
      <c r="W79" s="229" t="n"/>
      <c r="X79" s="229" t="n"/>
      <c r="Y79" s="229" t="n"/>
      <c r="Z79" s="229" t="n"/>
      <c r="AA79" s="229" t="n"/>
      <c r="AB79" s="229" t="n"/>
      <c r="AC79" s="229" t="n"/>
      <c r="AD79" s="229" t="n"/>
      <c r="AE79" s="229" t="n"/>
      <c r="AF79" s="229" t="n"/>
      <c r="AG79" s="229" t="n"/>
      <c r="AH79" s="229" t="n"/>
      <c r="AI79" s="229" t="n"/>
      <c r="AJ79" s="229" t="n"/>
    </row>
    <row r="80" customFormat="1" s="13">
      <c r="A80" s="11" t="inlineStr">
        <is>
          <t>#</t>
        </is>
      </c>
      <c r="B80" s="230" t="n"/>
      <c r="C80" s="229" t="n"/>
      <c r="D80" s="229" t="n"/>
      <c r="E80" s="229" t="n"/>
      <c r="F80" s="229" t="n"/>
      <c r="G80" s="229" t="n"/>
      <c r="H80" s="229" t="n"/>
      <c r="I80" s="229" t="n"/>
      <c r="J80" s="229" t="inlineStr">
        <is>
          <t>ES</t>
        </is>
      </c>
      <c r="K80" s="229" t="n"/>
      <c r="L80" s="229" t="n"/>
      <c r="M80" s="229" t="n"/>
      <c r="N80" s="229" t="n"/>
      <c r="O80" s="229" t="n"/>
      <c r="P80" s="229" t="n"/>
      <c r="Q80" s="229" t="n"/>
      <c r="R80" s="229" t="inlineStr">
        <is>
          <t>INR</t>
        </is>
      </c>
      <c r="S80" s="229" t="n"/>
      <c r="T80" s="229" t="n"/>
      <c r="U80" s="229" t="n"/>
      <c r="V80" s="229" t="n"/>
      <c r="W80" s="229" t="n"/>
      <c r="X80" s="229" t="n"/>
      <c r="Y80" s="229" t="n"/>
      <c r="Z80" s="229" t="n"/>
      <c r="AA80" s="229" t="n"/>
      <c r="AB80" s="229" t="n"/>
      <c r="AC80" s="229" t="n"/>
      <c r="AD80" s="229" t="n"/>
      <c r="AE80" s="229" t="n"/>
      <c r="AF80" s="229" t="n"/>
      <c r="AG80" s="229" t="n"/>
      <c r="AH80" s="229" t="n"/>
      <c r="AI80" s="229" t="n"/>
      <c r="AJ80" s="229" t="n"/>
    </row>
    <row r="81" customFormat="1" s="13">
      <c r="A81" s="11" t="inlineStr">
        <is>
          <t>#</t>
        </is>
      </c>
      <c r="B81" s="230" t="n"/>
      <c r="C81" s="229" t="n"/>
      <c r="D81" s="229" t="n"/>
      <c r="E81" s="229" t="n"/>
      <c r="F81" s="229" t="n"/>
      <c r="G81" s="229" t="n"/>
      <c r="H81" s="229" t="n"/>
      <c r="I81" s="229" t="n"/>
      <c r="J81" s="229" t="inlineStr">
        <is>
          <t>ET</t>
        </is>
      </c>
      <c r="K81" s="229" t="n"/>
      <c r="L81" s="229" t="n"/>
      <c r="M81" s="229" t="n"/>
      <c r="N81" s="229" t="n"/>
      <c r="O81" s="229" t="n"/>
      <c r="P81" s="229" t="n"/>
      <c r="Q81" s="229" t="n"/>
      <c r="R81" s="229" t="inlineStr">
        <is>
          <t>IQD</t>
        </is>
      </c>
      <c r="S81" s="229" t="n"/>
      <c r="T81" s="229" t="n"/>
      <c r="U81" s="229" t="n"/>
      <c r="V81" s="229" t="n"/>
      <c r="W81" s="229" t="n"/>
      <c r="X81" s="229" t="n"/>
      <c r="Y81" s="229" t="n"/>
      <c r="Z81" s="229" t="n"/>
      <c r="AA81" s="229" t="n"/>
      <c r="AB81" s="229" t="n"/>
      <c r="AC81" s="229" t="n"/>
      <c r="AD81" s="229" t="n"/>
      <c r="AE81" s="229" t="n"/>
      <c r="AF81" s="229" t="n"/>
      <c r="AG81" s="229" t="n"/>
      <c r="AH81" s="229" t="n"/>
      <c r="AI81" s="229" t="n"/>
      <c r="AJ81" s="229" t="n"/>
    </row>
    <row r="82" customFormat="1" s="13">
      <c r="A82" s="11" t="inlineStr">
        <is>
          <t>#</t>
        </is>
      </c>
      <c r="B82" s="230" t="n"/>
      <c r="C82" s="229" t="n"/>
      <c r="D82" s="229" t="n"/>
      <c r="E82" s="229" t="n"/>
      <c r="F82" s="229" t="n"/>
      <c r="G82" s="229" t="n"/>
      <c r="H82" s="229" t="n"/>
      <c r="I82" s="229" t="n"/>
      <c r="J82" s="229" t="inlineStr">
        <is>
          <t>FI</t>
        </is>
      </c>
      <c r="K82" s="229" t="n"/>
      <c r="L82" s="229" t="n"/>
      <c r="M82" s="229" t="n"/>
      <c r="N82" s="229" t="n"/>
      <c r="O82" s="229" t="n"/>
      <c r="P82" s="229" t="n"/>
      <c r="Q82" s="229" t="n"/>
      <c r="R82" s="229" t="inlineStr">
        <is>
          <t>IRR</t>
        </is>
      </c>
      <c r="S82" s="229" t="n"/>
      <c r="T82" s="229" t="n"/>
      <c r="U82" s="229" t="n"/>
      <c r="V82" s="229" t="n"/>
      <c r="W82" s="229" t="n"/>
      <c r="X82" s="229" t="n"/>
      <c r="Y82" s="229" t="n"/>
      <c r="Z82" s="229" t="n"/>
      <c r="AA82" s="229" t="n"/>
      <c r="AB82" s="229" t="n"/>
      <c r="AC82" s="229" t="n"/>
      <c r="AD82" s="229" t="n"/>
      <c r="AE82" s="229" t="n"/>
      <c r="AF82" s="229" t="n"/>
      <c r="AG82" s="229" t="n"/>
      <c r="AH82" s="229" t="n"/>
      <c r="AI82" s="229" t="n"/>
      <c r="AJ82" s="229" t="n"/>
    </row>
    <row r="83" customFormat="1" s="13">
      <c r="A83" s="11" t="inlineStr">
        <is>
          <t>#</t>
        </is>
      </c>
      <c r="B83" s="230" t="n"/>
      <c r="C83" s="229" t="n"/>
      <c r="D83" s="229" t="n"/>
      <c r="E83" s="229" t="n"/>
      <c r="F83" s="229" t="n"/>
      <c r="G83" s="229" t="n"/>
      <c r="H83" s="229" t="n"/>
      <c r="I83" s="229" t="n"/>
      <c r="J83" s="229" t="inlineStr">
        <is>
          <t>FJ</t>
        </is>
      </c>
      <c r="K83" s="229" t="n"/>
      <c r="L83" s="229" t="n"/>
      <c r="M83" s="229" t="n"/>
      <c r="N83" s="229" t="n"/>
      <c r="O83" s="229" t="n"/>
      <c r="P83" s="229" t="n"/>
      <c r="Q83" s="229" t="n"/>
      <c r="R83" s="229" t="inlineStr">
        <is>
          <t>ISK</t>
        </is>
      </c>
      <c r="S83" s="229" t="n"/>
      <c r="T83" s="229" t="n"/>
      <c r="U83" s="229" t="n"/>
      <c r="V83" s="229" t="n"/>
      <c r="W83" s="229" t="n"/>
      <c r="X83" s="229" t="n"/>
      <c r="Y83" s="229" t="n"/>
      <c r="Z83" s="229" t="n"/>
      <c r="AA83" s="229" t="n"/>
      <c r="AB83" s="229" t="n"/>
      <c r="AC83" s="229" t="n"/>
      <c r="AD83" s="229" t="n"/>
      <c r="AE83" s="229" t="n"/>
      <c r="AF83" s="229" t="n"/>
      <c r="AG83" s="229" t="n"/>
      <c r="AH83" s="229" t="n"/>
      <c r="AI83" s="229" t="n"/>
      <c r="AJ83" s="229" t="n"/>
    </row>
    <row r="84" customFormat="1" s="13">
      <c r="A84" s="11" t="inlineStr">
        <is>
          <t>#</t>
        </is>
      </c>
      <c r="B84" s="230" t="n"/>
      <c r="C84" s="229" t="n"/>
      <c r="D84" s="229" t="n"/>
      <c r="E84" s="229" t="n"/>
      <c r="F84" s="229" t="n"/>
      <c r="G84" s="229" t="n"/>
      <c r="H84" s="229" t="n"/>
      <c r="I84" s="229" t="n"/>
      <c r="J84" s="229" t="inlineStr">
        <is>
          <t>FK</t>
        </is>
      </c>
      <c r="K84" s="229" t="n"/>
      <c r="L84" s="229" t="n"/>
      <c r="M84" s="229" t="n"/>
      <c r="N84" s="229" t="n"/>
      <c r="O84" s="229" t="n"/>
      <c r="P84" s="229" t="n"/>
      <c r="Q84" s="229" t="n"/>
      <c r="R84" s="229" t="inlineStr">
        <is>
          <t>JMD</t>
        </is>
      </c>
      <c r="S84" s="229" t="n"/>
      <c r="T84" s="229" t="n"/>
      <c r="U84" s="229" t="n"/>
      <c r="V84" s="229" t="n"/>
      <c r="W84" s="229" t="n"/>
      <c r="X84" s="229" t="n"/>
      <c r="Y84" s="229" t="n"/>
      <c r="Z84" s="229" t="n"/>
      <c r="AA84" s="229" t="n"/>
      <c r="AB84" s="229" t="n"/>
      <c r="AC84" s="229" t="n"/>
      <c r="AD84" s="229" t="n"/>
      <c r="AE84" s="229" t="n"/>
      <c r="AF84" s="229" t="n"/>
      <c r="AG84" s="229" t="n"/>
      <c r="AH84" s="229" t="n"/>
      <c r="AI84" s="229" t="n"/>
      <c r="AJ84" s="229" t="n"/>
    </row>
    <row r="85" customFormat="1" s="13">
      <c r="A85" s="11" t="inlineStr">
        <is>
          <t>#</t>
        </is>
      </c>
      <c r="B85" s="230" t="n"/>
      <c r="C85" s="229" t="n"/>
      <c r="D85" s="229" t="n"/>
      <c r="E85" s="229" t="n"/>
      <c r="F85" s="229" t="n"/>
      <c r="G85" s="229" t="n"/>
      <c r="H85" s="229" t="n"/>
      <c r="I85" s="229" t="n"/>
      <c r="J85" s="229" t="inlineStr">
        <is>
          <t>FM</t>
        </is>
      </c>
      <c r="K85" s="229" t="n"/>
      <c r="L85" s="229" t="n"/>
      <c r="M85" s="229" t="n"/>
      <c r="N85" s="229" t="n"/>
      <c r="O85" s="229" t="n"/>
      <c r="P85" s="229" t="n"/>
      <c r="Q85" s="229" t="n"/>
      <c r="R85" s="229" t="inlineStr">
        <is>
          <t>JOD</t>
        </is>
      </c>
      <c r="S85" s="229" t="n"/>
      <c r="T85" s="229" t="n"/>
      <c r="U85" s="229" t="n"/>
      <c r="V85" s="229" t="n"/>
      <c r="W85" s="229" t="n"/>
      <c r="X85" s="229" t="n"/>
      <c r="Y85" s="229" t="n"/>
      <c r="Z85" s="229" t="n"/>
      <c r="AA85" s="229" t="n"/>
      <c r="AB85" s="229" t="n"/>
      <c r="AC85" s="229" t="n"/>
      <c r="AD85" s="229" t="n"/>
      <c r="AE85" s="229" t="n"/>
      <c r="AF85" s="229" t="n"/>
      <c r="AG85" s="229" t="n"/>
      <c r="AH85" s="229" t="n"/>
      <c r="AI85" s="229" t="n"/>
      <c r="AJ85" s="229" t="n"/>
    </row>
    <row r="86" customFormat="1" s="13">
      <c r="A86" s="11" t="inlineStr">
        <is>
          <t>#</t>
        </is>
      </c>
      <c r="B86" s="230" t="n"/>
      <c r="C86" s="229" t="n"/>
      <c r="D86" s="229" t="n"/>
      <c r="E86" s="229" t="n"/>
      <c r="F86" s="229" t="n"/>
      <c r="G86" s="229" t="n"/>
      <c r="H86" s="229" t="n"/>
      <c r="I86" s="229" t="n"/>
      <c r="J86" s="229" t="inlineStr">
        <is>
          <t>FO</t>
        </is>
      </c>
      <c r="K86" s="229" t="n"/>
      <c r="L86" s="229" t="n"/>
      <c r="M86" s="229" t="n"/>
      <c r="N86" s="229" t="n"/>
      <c r="O86" s="229" t="n"/>
      <c r="P86" s="229" t="n"/>
      <c r="Q86" s="229" t="n"/>
      <c r="R86" s="229" t="inlineStr">
        <is>
          <t>JPY</t>
        </is>
      </c>
      <c r="S86" s="229" t="n"/>
      <c r="T86" s="229" t="n"/>
      <c r="U86" s="229" t="n"/>
      <c r="V86" s="229" t="n"/>
      <c r="W86" s="229" t="n"/>
      <c r="X86" s="229" t="n"/>
      <c r="Y86" s="229" t="n"/>
      <c r="Z86" s="229" t="n"/>
      <c r="AA86" s="229" t="n"/>
      <c r="AB86" s="229" t="n"/>
      <c r="AC86" s="229" t="n"/>
      <c r="AD86" s="229" t="n"/>
      <c r="AE86" s="229" t="n"/>
      <c r="AF86" s="229" t="n"/>
      <c r="AG86" s="229" t="n"/>
      <c r="AH86" s="229" t="n"/>
      <c r="AI86" s="229" t="n"/>
      <c r="AJ86" s="229" t="n"/>
    </row>
    <row r="87" customFormat="1" s="13">
      <c r="A87" s="11" t="inlineStr">
        <is>
          <t>#</t>
        </is>
      </c>
      <c r="B87" s="230" t="n"/>
      <c r="C87" s="229" t="n"/>
      <c r="D87" s="229" t="n"/>
      <c r="E87" s="229" t="n"/>
      <c r="F87" s="229" t="n"/>
      <c r="G87" s="229" t="n"/>
      <c r="H87" s="229" t="n"/>
      <c r="I87" s="229" t="n"/>
      <c r="J87" s="229" t="inlineStr">
        <is>
          <t>FR</t>
        </is>
      </c>
      <c r="K87" s="229" t="n"/>
      <c r="L87" s="229" t="n"/>
      <c r="M87" s="229" t="n"/>
      <c r="N87" s="229" t="n"/>
      <c r="O87" s="229" t="n"/>
      <c r="P87" s="229" t="n"/>
      <c r="Q87" s="229" t="n"/>
      <c r="R87" s="229" t="inlineStr">
        <is>
          <t>KES</t>
        </is>
      </c>
      <c r="S87" s="229" t="n"/>
      <c r="T87" s="229" t="n"/>
      <c r="U87" s="229" t="n"/>
      <c r="V87" s="229" t="n"/>
      <c r="W87" s="229" t="n"/>
      <c r="X87" s="229" t="n"/>
      <c r="Y87" s="229" t="n"/>
      <c r="Z87" s="229" t="n"/>
      <c r="AA87" s="229" t="n"/>
      <c r="AB87" s="229" t="n"/>
      <c r="AC87" s="229" t="n"/>
      <c r="AD87" s="229" t="n"/>
      <c r="AE87" s="229" t="n"/>
      <c r="AF87" s="229" t="n"/>
      <c r="AG87" s="229" t="n"/>
      <c r="AH87" s="229" t="n"/>
      <c r="AI87" s="229" t="n"/>
      <c r="AJ87" s="229" t="n"/>
    </row>
    <row r="88" customFormat="1" s="13">
      <c r="A88" s="11" t="inlineStr">
        <is>
          <t>#</t>
        </is>
      </c>
      <c r="B88" s="230" t="n"/>
      <c r="C88" s="229" t="n"/>
      <c r="D88" s="229" t="n"/>
      <c r="E88" s="229" t="n"/>
      <c r="F88" s="229" t="n"/>
      <c r="G88" s="229" t="n"/>
      <c r="H88" s="229" t="n"/>
      <c r="I88" s="229" t="n"/>
      <c r="J88" s="229" t="inlineStr">
        <is>
          <t>GA</t>
        </is>
      </c>
      <c r="K88" s="229" t="n"/>
      <c r="L88" s="229" t="n"/>
      <c r="M88" s="229" t="n"/>
      <c r="N88" s="229" t="n"/>
      <c r="O88" s="229" t="n"/>
      <c r="P88" s="229" t="n"/>
      <c r="Q88" s="229" t="n"/>
      <c r="R88" s="229" t="inlineStr">
        <is>
          <t>KGS</t>
        </is>
      </c>
      <c r="S88" s="229" t="n"/>
      <c r="T88" s="229" t="n"/>
      <c r="U88" s="229" t="n"/>
      <c r="V88" s="229" t="n"/>
      <c r="W88" s="229" t="n"/>
      <c r="X88" s="229" t="n"/>
      <c r="Y88" s="229" t="n"/>
      <c r="Z88" s="229" t="n"/>
      <c r="AA88" s="229" t="n"/>
      <c r="AB88" s="229" t="n"/>
      <c r="AC88" s="229" t="n"/>
      <c r="AD88" s="229" t="n"/>
      <c r="AE88" s="229" t="n"/>
      <c r="AF88" s="229" t="n"/>
      <c r="AG88" s="229" t="n"/>
      <c r="AH88" s="229" t="n"/>
      <c r="AI88" s="229" t="n"/>
      <c r="AJ88" s="229" t="n"/>
    </row>
    <row r="89" customFormat="1" s="13">
      <c r="A89" s="11" t="inlineStr">
        <is>
          <t>#</t>
        </is>
      </c>
      <c r="B89" s="230" t="n"/>
      <c r="C89" s="229" t="n"/>
      <c r="D89" s="229" t="n"/>
      <c r="E89" s="229" t="n"/>
      <c r="F89" s="229" t="n"/>
      <c r="G89" s="229" t="n"/>
      <c r="H89" s="229" t="n"/>
      <c r="I89" s="229" t="n"/>
      <c r="J89" s="229" t="inlineStr">
        <is>
          <t>GB</t>
        </is>
      </c>
      <c r="K89" s="229" t="n"/>
      <c r="L89" s="229" t="n"/>
      <c r="M89" s="229" t="n"/>
      <c r="N89" s="229" t="n"/>
      <c r="O89" s="229" t="n"/>
      <c r="P89" s="229" t="n"/>
      <c r="Q89" s="229" t="n"/>
      <c r="R89" s="229" t="inlineStr">
        <is>
          <t>KHR</t>
        </is>
      </c>
      <c r="S89" s="229" t="n"/>
      <c r="T89" s="229" t="n"/>
      <c r="U89" s="229" t="n"/>
      <c r="V89" s="229" t="n"/>
      <c r="W89" s="229" t="n"/>
      <c r="X89" s="229" t="n"/>
      <c r="Y89" s="229" t="n"/>
      <c r="Z89" s="229" t="n"/>
      <c r="AA89" s="229" t="n"/>
      <c r="AB89" s="229" t="n"/>
      <c r="AC89" s="229" t="n"/>
      <c r="AD89" s="229" t="n"/>
      <c r="AE89" s="229" t="n"/>
      <c r="AF89" s="229" t="n"/>
      <c r="AG89" s="229" t="n"/>
      <c r="AH89" s="229" t="n"/>
      <c r="AI89" s="229" t="n"/>
      <c r="AJ89" s="229" t="n"/>
    </row>
    <row r="90" customFormat="1" s="13">
      <c r="A90" s="11" t="inlineStr">
        <is>
          <t>#</t>
        </is>
      </c>
      <c r="B90" s="230" t="n"/>
      <c r="C90" s="229" t="n"/>
      <c r="D90" s="229" t="n"/>
      <c r="E90" s="229" t="n"/>
      <c r="F90" s="229" t="n"/>
      <c r="G90" s="229" t="n"/>
      <c r="H90" s="229" t="n"/>
      <c r="I90" s="229" t="n"/>
      <c r="J90" s="229" t="inlineStr">
        <is>
          <t>GD</t>
        </is>
      </c>
      <c r="K90" s="229" t="n"/>
      <c r="L90" s="229" t="n"/>
      <c r="M90" s="229" t="n"/>
      <c r="N90" s="229" t="n"/>
      <c r="O90" s="229" t="n"/>
      <c r="P90" s="229" t="n"/>
      <c r="Q90" s="229" t="n"/>
      <c r="R90" s="229" t="inlineStr">
        <is>
          <t>KMF</t>
        </is>
      </c>
      <c r="S90" s="229" t="n"/>
      <c r="T90" s="229" t="n"/>
      <c r="U90" s="229" t="n"/>
      <c r="V90" s="229" t="n"/>
      <c r="W90" s="229" t="n"/>
      <c r="X90" s="229" t="n"/>
      <c r="Y90" s="229" t="n"/>
      <c r="Z90" s="229" t="n"/>
      <c r="AA90" s="229" t="n"/>
      <c r="AB90" s="229" t="n"/>
      <c r="AC90" s="229" t="n"/>
      <c r="AD90" s="229" t="n"/>
      <c r="AE90" s="229" t="n"/>
      <c r="AF90" s="229" t="n"/>
      <c r="AG90" s="229" t="n"/>
      <c r="AH90" s="229" t="n"/>
      <c r="AI90" s="229" t="n"/>
      <c r="AJ90" s="229" t="n"/>
    </row>
    <row r="91" customFormat="1" s="13">
      <c r="A91" s="11" t="inlineStr">
        <is>
          <t>#</t>
        </is>
      </c>
      <c r="B91" s="230" t="n"/>
      <c r="C91" s="229" t="n"/>
      <c r="D91" s="229" t="n"/>
      <c r="E91" s="229" t="n"/>
      <c r="F91" s="229" t="n"/>
      <c r="G91" s="229" t="n"/>
      <c r="H91" s="229" t="n"/>
      <c r="I91" s="229" t="n"/>
      <c r="J91" s="229" t="inlineStr">
        <is>
          <t>GE</t>
        </is>
      </c>
      <c r="K91" s="229" t="n"/>
      <c r="L91" s="229" t="n"/>
      <c r="M91" s="229" t="n"/>
      <c r="N91" s="229" t="n"/>
      <c r="O91" s="229" t="n"/>
      <c r="P91" s="229" t="n"/>
      <c r="Q91" s="229" t="n"/>
      <c r="R91" s="229" t="inlineStr">
        <is>
          <t>KPW</t>
        </is>
      </c>
      <c r="S91" s="229" t="n"/>
      <c r="T91" s="229" t="n"/>
      <c r="U91" s="229" t="n"/>
      <c r="V91" s="229" t="n"/>
      <c r="W91" s="229" t="n"/>
      <c r="X91" s="229" t="n"/>
      <c r="Y91" s="229" t="n"/>
      <c r="Z91" s="229" t="n"/>
      <c r="AA91" s="229" t="n"/>
      <c r="AB91" s="229" t="n"/>
      <c r="AC91" s="229" t="n"/>
      <c r="AD91" s="229" t="n"/>
      <c r="AE91" s="229" t="n"/>
      <c r="AF91" s="229" t="n"/>
      <c r="AG91" s="229" t="n"/>
      <c r="AH91" s="229" t="n"/>
      <c r="AI91" s="229" t="n"/>
      <c r="AJ91" s="229" t="n"/>
    </row>
    <row r="92" customFormat="1" s="13">
      <c r="A92" s="11" t="inlineStr">
        <is>
          <t>#</t>
        </is>
      </c>
      <c r="B92" s="230" t="n"/>
      <c r="C92" s="229" t="n"/>
      <c r="D92" s="229" t="n"/>
      <c r="E92" s="229" t="n"/>
      <c r="F92" s="229" t="n"/>
      <c r="G92" s="229" t="n"/>
      <c r="H92" s="229" t="n"/>
      <c r="I92" s="229" t="n"/>
      <c r="J92" s="229" t="inlineStr">
        <is>
          <t>GF</t>
        </is>
      </c>
      <c r="K92" s="229" t="n"/>
      <c r="L92" s="229" t="n"/>
      <c r="M92" s="229" t="n"/>
      <c r="N92" s="229" t="n"/>
      <c r="O92" s="229" t="n"/>
      <c r="P92" s="229" t="n"/>
      <c r="Q92" s="229" t="n"/>
      <c r="R92" s="229" t="inlineStr">
        <is>
          <t>KRW</t>
        </is>
      </c>
      <c r="S92" s="229" t="n"/>
      <c r="T92" s="229" t="n"/>
      <c r="U92" s="229" t="n"/>
      <c r="V92" s="229" t="n"/>
      <c r="W92" s="229" t="n"/>
      <c r="X92" s="229" t="n"/>
      <c r="Y92" s="229" t="n"/>
      <c r="Z92" s="229" t="n"/>
      <c r="AA92" s="229" t="n"/>
      <c r="AB92" s="229" t="n"/>
      <c r="AC92" s="229" t="n"/>
      <c r="AD92" s="229" t="n"/>
      <c r="AE92" s="229" t="n"/>
      <c r="AF92" s="229" t="n"/>
      <c r="AG92" s="229" t="n"/>
      <c r="AH92" s="229" t="n"/>
      <c r="AI92" s="229" t="n"/>
      <c r="AJ92" s="229" t="n"/>
    </row>
    <row r="93" customFormat="1" s="13">
      <c r="A93" s="11" t="inlineStr">
        <is>
          <t>#</t>
        </is>
      </c>
      <c r="B93" s="230" t="n"/>
      <c r="C93" s="229" t="n"/>
      <c r="D93" s="229" t="n"/>
      <c r="E93" s="229" t="n"/>
      <c r="F93" s="229" t="n"/>
      <c r="G93" s="229" t="n"/>
      <c r="H93" s="229" t="n"/>
      <c r="I93" s="229" t="n"/>
      <c r="J93" s="229" t="inlineStr">
        <is>
          <t>GG</t>
        </is>
      </c>
      <c r="K93" s="229" t="n"/>
      <c r="L93" s="229" t="n"/>
      <c r="M93" s="229" t="n"/>
      <c r="N93" s="229" t="n"/>
      <c r="O93" s="229" t="n"/>
      <c r="P93" s="229" t="n"/>
      <c r="Q93" s="229" t="n"/>
      <c r="R93" s="229" t="inlineStr">
        <is>
          <t>KWD</t>
        </is>
      </c>
      <c r="S93" s="229" t="n"/>
      <c r="T93" s="229" t="n"/>
      <c r="U93" s="229" t="n"/>
      <c r="V93" s="229" t="n"/>
      <c r="W93" s="229" t="n"/>
      <c r="X93" s="229" t="n"/>
      <c r="Y93" s="229" t="n"/>
      <c r="Z93" s="229" t="n"/>
      <c r="AA93" s="229" t="n"/>
      <c r="AB93" s="229" t="n"/>
      <c r="AC93" s="229" t="n"/>
      <c r="AD93" s="229" t="n"/>
      <c r="AE93" s="229" t="n"/>
      <c r="AF93" s="229" t="n"/>
      <c r="AG93" s="229" t="n"/>
      <c r="AH93" s="229" t="n"/>
      <c r="AI93" s="229" t="n"/>
      <c r="AJ93" s="229" t="n"/>
    </row>
    <row r="94" customFormat="1" s="13">
      <c r="A94" s="11" t="inlineStr">
        <is>
          <t>#</t>
        </is>
      </c>
      <c r="B94" s="230" t="n"/>
      <c r="C94" s="229" t="n"/>
      <c r="D94" s="229" t="n"/>
      <c r="E94" s="229" t="n"/>
      <c r="F94" s="229" t="n"/>
      <c r="G94" s="229" t="n"/>
      <c r="H94" s="229" t="n"/>
      <c r="I94" s="229" t="n"/>
      <c r="J94" s="229" t="inlineStr">
        <is>
          <t>GH</t>
        </is>
      </c>
      <c r="K94" s="229" t="n"/>
      <c r="L94" s="229" t="n"/>
      <c r="M94" s="229" t="n"/>
      <c r="N94" s="229" t="n"/>
      <c r="O94" s="229" t="n"/>
      <c r="P94" s="229" t="n"/>
      <c r="Q94" s="229" t="n"/>
      <c r="R94" s="229" t="inlineStr">
        <is>
          <t>KYD</t>
        </is>
      </c>
      <c r="S94" s="229" t="n"/>
      <c r="T94" s="229" t="n"/>
      <c r="U94" s="229" t="n"/>
      <c r="V94" s="229" t="n"/>
      <c r="W94" s="229" t="n"/>
      <c r="X94" s="229" t="n"/>
      <c r="Y94" s="229" t="n"/>
      <c r="Z94" s="229" t="n"/>
      <c r="AA94" s="229" t="n"/>
      <c r="AB94" s="229" t="n"/>
      <c r="AC94" s="229" t="n"/>
      <c r="AD94" s="229" t="n"/>
      <c r="AE94" s="229" t="n"/>
      <c r="AF94" s="229" t="n"/>
      <c r="AG94" s="229" t="n"/>
      <c r="AH94" s="229" t="n"/>
      <c r="AI94" s="229" t="n"/>
      <c r="AJ94" s="229" t="n"/>
    </row>
    <row r="95" customFormat="1" s="13">
      <c r="A95" s="11" t="inlineStr">
        <is>
          <t>#</t>
        </is>
      </c>
      <c r="B95" s="230" t="n"/>
      <c r="C95" s="229" t="n"/>
      <c r="D95" s="229" t="n"/>
      <c r="E95" s="229" t="n"/>
      <c r="F95" s="229" t="n"/>
      <c r="G95" s="229" t="n"/>
      <c r="H95" s="229" t="n"/>
      <c r="I95" s="229" t="n"/>
      <c r="J95" s="229" t="inlineStr">
        <is>
          <t>GI</t>
        </is>
      </c>
      <c r="K95" s="229" t="n"/>
      <c r="L95" s="229" t="n"/>
      <c r="M95" s="229" t="n"/>
      <c r="N95" s="229" t="n"/>
      <c r="O95" s="229" t="n"/>
      <c r="P95" s="229" t="n"/>
      <c r="Q95" s="229" t="n"/>
      <c r="R95" s="229" t="inlineStr">
        <is>
          <t>KZT</t>
        </is>
      </c>
      <c r="S95" s="229" t="n"/>
      <c r="T95" s="229" t="n"/>
      <c r="U95" s="229" t="n"/>
      <c r="V95" s="229" t="n"/>
      <c r="W95" s="229" t="n"/>
      <c r="X95" s="229" t="n"/>
      <c r="Y95" s="229" t="n"/>
      <c r="Z95" s="229" t="n"/>
      <c r="AA95" s="229" t="n"/>
      <c r="AB95" s="229" t="n"/>
      <c r="AC95" s="229" t="n"/>
      <c r="AD95" s="229" t="n"/>
      <c r="AE95" s="229" t="n"/>
      <c r="AF95" s="229" t="n"/>
      <c r="AG95" s="229" t="n"/>
      <c r="AH95" s="229" t="n"/>
      <c r="AI95" s="229" t="n"/>
      <c r="AJ95" s="229" t="n"/>
    </row>
    <row r="96" customFormat="1" s="13">
      <c r="A96" s="11" t="inlineStr">
        <is>
          <t>#</t>
        </is>
      </c>
      <c r="B96" s="230" t="n"/>
      <c r="C96" s="229" t="n"/>
      <c r="D96" s="229" t="n"/>
      <c r="E96" s="229" t="n"/>
      <c r="F96" s="229" t="n"/>
      <c r="G96" s="229" t="n"/>
      <c r="H96" s="229" t="n"/>
      <c r="I96" s="229" t="n"/>
      <c r="J96" s="229" t="inlineStr">
        <is>
          <t>GL</t>
        </is>
      </c>
      <c r="K96" s="229" t="n"/>
      <c r="L96" s="229" t="n"/>
      <c r="M96" s="229" t="n"/>
      <c r="N96" s="229" t="n"/>
      <c r="O96" s="229" t="n"/>
      <c r="P96" s="229" t="n"/>
      <c r="Q96" s="229" t="n"/>
      <c r="R96" s="229" t="inlineStr">
        <is>
          <t>LAK</t>
        </is>
      </c>
      <c r="S96" s="229" t="n"/>
      <c r="T96" s="229" t="n"/>
      <c r="U96" s="229" t="n"/>
      <c r="V96" s="229" t="n"/>
      <c r="W96" s="229" t="n"/>
      <c r="X96" s="229" t="n"/>
      <c r="Y96" s="229" t="n"/>
      <c r="Z96" s="229" t="n"/>
      <c r="AA96" s="229" t="n"/>
      <c r="AB96" s="229" t="n"/>
      <c r="AC96" s="229" t="n"/>
      <c r="AD96" s="229" t="n"/>
      <c r="AE96" s="229" t="n"/>
      <c r="AF96" s="229" t="n"/>
      <c r="AG96" s="229" t="n"/>
      <c r="AH96" s="229" t="n"/>
      <c r="AI96" s="229" t="n"/>
      <c r="AJ96" s="229" t="n"/>
    </row>
    <row r="97" customFormat="1" s="13">
      <c r="A97" s="11" t="inlineStr">
        <is>
          <t>#</t>
        </is>
      </c>
      <c r="B97" s="230" t="n"/>
      <c r="C97" s="229" t="n"/>
      <c r="D97" s="229" t="n"/>
      <c r="E97" s="229" t="n"/>
      <c r="F97" s="229" t="n"/>
      <c r="G97" s="229" t="n"/>
      <c r="H97" s="229" t="n"/>
      <c r="I97" s="229" t="n"/>
      <c r="J97" s="229" t="inlineStr">
        <is>
          <t>GM</t>
        </is>
      </c>
      <c r="K97" s="229" t="n"/>
      <c r="L97" s="229" t="n"/>
      <c r="M97" s="229" t="n"/>
      <c r="N97" s="229" t="n"/>
      <c r="O97" s="229" t="n"/>
      <c r="P97" s="229" t="n"/>
      <c r="Q97" s="229" t="n"/>
      <c r="R97" s="229" t="inlineStr">
        <is>
          <t>LBP</t>
        </is>
      </c>
      <c r="S97" s="229" t="n"/>
      <c r="T97" s="229" t="n"/>
      <c r="U97" s="229" t="n"/>
      <c r="V97" s="229" t="n"/>
      <c r="W97" s="229" t="n"/>
      <c r="X97" s="229" t="n"/>
      <c r="Y97" s="229" t="n"/>
      <c r="Z97" s="229" t="n"/>
      <c r="AA97" s="229" t="n"/>
      <c r="AB97" s="229" t="n"/>
      <c r="AC97" s="229" t="n"/>
      <c r="AD97" s="229" t="n"/>
      <c r="AE97" s="229" t="n"/>
      <c r="AF97" s="229" t="n"/>
      <c r="AG97" s="229" t="n"/>
      <c r="AH97" s="229" t="n"/>
      <c r="AI97" s="229" t="n"/>
      <c r="AJ97" s="229" t="n"/>
    </row>
    <row r="98" customFormat="1" s="13">
      <c r="A98" s="11" t="inlineStr">
        <is>
          <t>#</t>
        </is>
      </c>
      <c r="B98" s="230" t="n"/>
      <c r="C98" s="229" t="n"/>
      <c r="D98" s="229" t="n"/>
      <c r="E98" s="229" t="n"/>
      <c r="F98" s="229" t="n"/>
      <c r="G98" s="229" t="n"/>
      <c r="H98" s="229" t="n"/>
      <c r="I98" s="229" t="n"/>
      <c r="J98" s="229" t="inlineStr">
        <is>
          <t>GN</t>
        </is>
      </c>
      <c r="K98" s="229" t="n"/>
      <c r="L98" s="229" t="n"/>
      <c r="M98" s="229" t="n"/>
      <c r="N98" s="229" t="n"/>
      <c r="O98" s="229" t="n"/>
      <c r="P98" s="229" t="n"/>
      <c r="Q98" s="229" t="n"/>
      <c r="R98" s="229" t="inlineStr">
        <is>
          <t>LKR</t>
        </is>
      </c>
      <c r="S98" s="229" t="n"/>
      <c r="T98" s="229" t="n"/>
      <c r="U98" s="229" t="n"/>
      <c r="V98" s="229" t="n"/>
      <c r="W98" s="229" t="n"/>
      <c r="X98" s="229" t="n"/>
      <c r="Y98" s="229" t="n"/>
      <c r="Z98" s="229" t="n"/>
      <c r="AA98" s="229" t="n"/>
      <c r="AB98" s="229" t="n"/>
      <c r="AC98" s="229" t="n"/>
      <c r="AD98" s="229" t="n"/>
      <c r="AE98" s="229" t="n"/>
      <c r="AF98" s="229" t="n"/>
      <c r="AG98" s="229" t="n"/>
      <c r="AH98" s="229" t="n"/>
      <c r="AI98" s="229" t="n"/>
      <c r="AJ98" s="229" t="n"/>
    </row>
    <row r="99" customFormat="1" s="13">
      <c r="A99" s="11" t="inlineStr">
        <is>
          <t>#</t>
        </is>
      </c>
      <c r="B99" s="230" t="n"/>
      <c r="C99" s="229" t="n"/>
      <c r="D99" s="229" t="n"/>
      <c r="E99" s="229" t="n"/>
      <c r="F99" s="229" t="n"/>
      <c r="G99" s="229" t="n"/>
      <c r="H99" s="229" t="n"/>
      <c r="I99" s="229" t="n"/>
      <c r="J99" s="229" t="inlineStr">
        <is>
          <t>GP</t>
        </is>
      </c>
      <c r="K99" s="229" t="n"/>
      <c r="L99" s="229" t="n"/>
      <c r="M99" s="229" t="n"/>
      <c r="N99" s="229" t="n"/>
      <c r="O99" s="229" t="n"/>
      <c r="P99" s="229" t="n"/>
      <c r="Q99" s="229" t="n"/>
      <c r="R99" s="229" t="inlineStr">
        <is>
          <t>LRD</t>
        </is>
      </c>
      <c r="S99" s="229" t="n"/>
      <c r="T99" s="229" t="n"/>
      <c r="U99" s="229" t="n"/>
      <c r="V99" s="229" t="n"/>
      <c r="W99" s="229" t="n"/>
      <c r="X99" s="229" t="n"/>
      <c r="Y99" s="229" t="n"/>
      <c r="Z99" s="229" t="n"/>
      <c r="AA99" s="229" t="n"/>
      <c r="AB99" s="229" t="n"/>
      <c r="AC99" s="229" t="n"/>
      <c r="AD99" s="229" t="n"/>
      <c r="AE99" s="229" t="n"/>
      <c r="AF99" s="229" t="n"/>
      <c r="AG99" s="229" t="n"/>
      <c r="AH99" s="229" t="n"/>
      <c r="AI99" s="229" t="n"/>
      <c r="AJ99" s="229" t="n"/>
    </row>
    <row r="100" customFormat="1" s="13">
      <c r="A100" s="11" t="inlineStr">
        <is>
          <t>#</t>
        </is>
      </c>
      <c r="B100" s="230" t="n"/>
      <c r="C100" s="229" t="n"/>
      <c r="D100" s="229" t="n"/>
      <c r="E100" s="229" t="n"/>
      <c r="F100" s="229" t="n"/>
      <c r="G100" s="229" t="n"/>
      <c r="H100" s="229" t="n"/>
      <c r="I100" s="229" t="n"/>
      <c r="J100" s="229" t="inlineStr">
        <is>
          <t>GQ</t>
        </is>
      </c>
      <c r="K100" s="229" t="n"/>
      <c r="L100" s="229" t="n"/>
      <c r="M100" s="229" t="n"/>
      <c r="N100" s="229" t="n"/>
      <c r="O100" s="229" t="n"/>
      <c r="P100" s="229" t="n"/>
      <c r="Q100" s="229" t="n"/>
      <c r="R100" s="229" t="inlineStr">
        <is>
          <t>LSL</t>
        </is>
      </c>
      <c r="S100" s="229" t="n"/>
      <c r="T100" s="229" t="n"/>
      <c r="U100" s="229" t="n"/>
      <c r="V100" s="229" t="n"/>
      <c r="W100" s="229" t="n"/>
      <c r="X100" s="229" t="n"/>
      <c r="Y100" s="229" t="n"/>
      <c r="Z100" s="229" t="n"/>
      <c r="AA100" s="229" t="n"/>
      <c r="AB100" s="229" t="n"/>
      <c r="AC100" s="229" t="n"/>
      <c r="AD100" s="229" t="n"/>
      <c r="AE100" s="229" t="n"/>
      <c r="AF100" s="229" t="n"/>
      <c r="AG100" s="229" t="n"/>
      <c r="AH100" s="229" t="n"/>
      <c r="AI100" s="229" t="n"/>
      <c r="AJ100" s="229" t="n"/>
    </row>
    <row r="101" customFormat="1" s="13">
      <c r="A101" s="11" t="inlineStr">
        <is>
          <t>#</t>
        </is>
      </c>
      <c r="B101" s="230" t="n"/>
      <c r="C101" s="229" t="n"/>
      <c r="D101" s="229" t="n"/>
      <c r="E101" s="229" t="n"/>
      <c r="F101" s="229" t="n"/>
      <c r="G101" s="229" t="n"/>
      <c r="H101" s="229" t="n"/>
      <c r="I101" s="229" t="n"/>
      <c r="J101" s="229" t="inlineStr">
        <is>
          <t>GR</t>
        </is>
      </c>
      <c r="K101" s="229" t="n"/>
      <c r="L101" s="229" t="n"/>
      <c r="M101" s="229" t="n"/>
      <c r="N101" s="229" t="n"/>
      <c r="O101" s="229" t="n"/>
      <c r="P101" s="229" t="n"/>
      <c r="Q101" s="229" t="n"/>
      <c r="R101" s="229" t="inlineStr">
        <is>
          <t>LYD</t>
        </is>
      </c>
      <c r="S101" s="229" t="n"/>
      <c r="T101" s="229" t="n"/>
      <c r="U101" s="229" t="n"/>
      <c r="V101" s="229" t="n"/>
      <c r="W101" s="229" t="n"/>
      <c r="X101" s="229" t="n"/>
      <c r="Y101" s="229" t="n"/>
      <c r="Z101" s="229" t="n"/>
      <c r="AA101" s="229" t="n"/>
      <c r="AB101" s="229" t="n"/>
      <c r="AC101" s="229" t="n"/>
      <c r="AD101" s="229" t="n"/>
      <c r="AE101" s="229" t="n"/>
      <c r="AF101" s="229" t="n"/>
      <c r="AG101" s="229" t="n"/>
      <c r="AH101" s="229" t="n"/>
      <c r="AI101" s="229" t="n"/>
      <c r="AJ101" s="229" t="n"/>
    </row>
    <row r="102" customFormat="1" s="13">
      <c r="A102" s="11" t="inlineStr">
        <is>
          <t>#</t>
        </is>
      </c>
      <c r="B102" s="230" t="n"/>
      <c r="C102" s="229" t="n"/>
      <c r="D102" s="229" t="n"/>
      <c r="E102" s="229" t="n"/>
      <c r="F102" s="229" t="n"/>
      <c r="G102" s="229" t="n"/>
      <c r="H102" s="229" t="n"/>
      <c r="I102" s="229" t="n"/>
      <c r="J102" s="229" t="inlineStr">
        <is>
          <t>GS</t>
        </is>
      </c>
      <c r="K102" s="229" t="n"/>
      <c r="L102" s="229" t="n"/>
      <c r="M102" s="229" t="n"/>
      <c r="N102" s="229" t="n"/>
      <c r="O102" s="229" t="n"/>
      <c r="P102" s="229" t="n"/>
      <c r="Q102" s="229" t="n"/>
      <c r="R102" s="229" t="inlineStr">
        <is>
          <t>MAD</t>
        </is>
      </c>
      <c r="S102" s="229" t="n"/>
      <c r="T102" s="229" t="n"/>
      <c r="U102" s="229" t="n"/>
      <c r="V102" s="229" t="n"/>
      <c r="W102" s="229" t="n"/>
      <c r="X102" s="229" t="n"/>
      <c r="Y102" s="229" t="n"/>
      <c r="Z102" s="229" t="n"/>
      <c r="AA102" s="229" t="n"/>
      <c r="AB102" s="229" t="n"/>
      <c r="AC102" s="229" t="n"/>
      <c r="AD102" s="229" t="n"/>
      <c r="AE102" s="229" t="n"/>
      <c r="AF102" s="229" t="n"/>
      <c r="AG102" s="229" t="n"/>
      <c r="AH102" s="229" t="n"/>
      <c r="AI102" s="229" t="n"/>
      <c r="AJ102" s="229" t="n"/>
    </row>
    <row r="103" customFormat="1" s="13">
      <c r="A103" s="11" t="inlineStr">
        <is>
          <t>#</t>
        </is>
      </c>
      <c r="B103" s="230" t="n"/>
      <c r="C103" s="229" t="n"/>
      <c r="D103" s="229" t="n"/>
      <c r="E103" s="229" t="n"/>
      <c r="F103" s="229" t="n"/>
      <c r="G103" s="229" t="n"/>
      <c r="H103" s="229" t="n"/>
      <c r="I103" s="229" t="n"/>
      <c r="J103" s="229" t="inlineStr">
        <is>
          <t>GT</t>
        </is>
      </c>
      <c r="K103" s="229" t="n"/>
      <c r="L103" s="229" t="n"/>
      <c r="M103" s="229" t="n"/>
      <c r="N103" s="229" t="n"/>
      <c r="O103" s="229" t="n"/>
      <c r="P103" s="229" t="n"/>
      <c r="Q103" s="229" t="n"/>
      <c r="R103" s="229" t="inlineStr">
        <is>
          <t>MDL</t>
        </is>
      </c>
      <c r="S103" s="229" t="n"/>
      <c r="T103" s="229" t="n"/>
      <c r="U103" s="229" t="n"/>
      <c r="V103" s="229" t="n"/>
      <c r="W103" s="229" t="n"/>
      <c r="X103" s="229" t="n"/>
      <c r="Y103" s="229" t="n"/>
      <c r="Z103" s="229" t="n"/>
      <c r="AA103" s="229" t="n"/>
      <c r="AB103" s="229" t="n"/>
      <c r="AC103" s="229" t="n"/>
      <c r="AD103" s="229" t="n"/>
      <c r="AE103" s="229" t="n"/>
      <c r="AF103" s="229" t="n"/>
      <c r="AG103" s="229" t="n"/>
      <c r="AH103" s="229" t="n"/>
      <c r="AI103" s="229" t="n"/>
      <c r="AJ103" s="229" t="n"/>
    </row>
    <row r="104" customFormat="1" s="13">
      <c r="A104" s="11" t="inlineStr">
        <is>
          <t>#</t>
        </is>
      </c>
      <c r="B104" s="230" t="n"/>
      <c r="C104" s="229" t="n"/>
      <c r="D104" s="229" t="n"/>
      <c r="E104" s="229" t="n"/>
      <c r="F104" s="229" t="n"/>
      <c r="G104" s="229" t="n"/>
      <c r="H104" s="229" t="n"/>
      <c r="I104" s="229" t="n"/>
      <c r="J104" s="229" t="inlineStr">
        <is>
          <t>GU</t>
        </is>
      </c>
      <c r="K104" s="229" t="n"/>
      <c r="L104" s="229" t="n"/>
      <c r="M104" s="229" t="n"/>
      <c r="N104" s="229" t="n"/>
      <c r="O104" s="229" t="n"/>
      <c r="P104" s="229" t="n"/>
      <c r="Q104" s="229" t="n"/>
      <c r="R104" s="229" t="inlineStr">
        <is>
          <t>MGA</t>
        </is>
      </c>
      <c r="S104" s="229" t="n"/>
      <c r="T104" s="229" t="n"/>
      <c r="U104" s="229" t="n"/>
      <c r="V104" s="229" t="n"/>
      <c r="W104" s="229" t="n"/>
      <c r="X104" s="229" t="n"/>
      <c r="Y104" s="229" t="n"/>
      <c r="Z104" s="229" t="n"/>
      <c r="AA104" s="229" t="n"/>
      <c r="AB104" s="229" t="n"/>
      <c r="AC104" s="229" t="n"/>
      <c r="AD104" s="229" t="n"/>
      <c r="AE104" s="229" t="n"/>
      <c r="AF104" s="229" t="n"/>
      <c r="AG104" s="229" t="n"/>
      <c r="AH104" s="229" t="n"/>
      <c r="AI104" s="229" t="n"/>
      <c r="AJ104" s="229" t="n"/>
    </row>
    <row r="105" customFormat="1" s="13">
      <c r="A105" s="11" t="inlineStr">
        <is>
          <t>#</t>
        </is>
      </c>
      <c r="B105" s="230" t="n"/>
      <c r="C105" s="229" t="n"/>
      <c r="D105" s="229" t="n"/>
      <c r="E105" s="229" t="n"/>
      <c r="F105" s="229" t="n"/>
      <c r="G105" s="229" t="n"/>
      <c r="H105" s="229" t="n"/>
      <c r="I105" s="229" t="n"/>
      <c r="J105" s="229" t="inlineStr">
        <is>
          <t>GW</t>
        </is>
      </c>
      <c r="K105" s="229" t="n"/>
      <c r="L105" s="229" t="n"/>
      <c r="M105" s="229" t="n"/>
      <c r="N105" s="229" t="n"/>
      <c r="O105" s="229" t="n"/>
      <c r="P105" s="229" t="n"/>
      <c r="Q105" s="229" t="n"/>
      <c r="R105" s="229" t="inlineStr">
        <is>
          <t>MKD</t>
        </is>
      </c>
      <c r="S105" s="229" t="n"/>
      <c r="T105" s="229" t="n"/>
      <c r="U105" s="229" t="n"/>
      <c r="V105" s="229" t="n"/>
      <c r="W105" s="229" t="n"/>
      <c r="X105" s="229" t="n"/>
      <c r="Y105" s="229" t="n"/>
      <c r="Z105" s="229" t="n"/>
      <c r="AA105" s="229" t="n"/>
      <c r="AB105" s="229" t="n"/>
      <c r="AC105" s="229" t="n"/>
      <c r="AD105" s="229" t="n"/>
      <c r="AE105" s="229" t="n"/>
      <c r="AF105" s="229" t="n"/>
      <c r="AG105" s="229" t="n"/>
      <c r="AH105" s="229" t="n"/>
      <c r="AI105" s="229" t="n"/>
      <c r="AJ105" s="229" t="n"/>
    </row>
    <row r="106" customFormat="1" s="13">
      <c r="A106" s="11" t="inlineStr">
        <is>
          <t>#</t>
        </is>
      </c>
      <c r="B106" s="230" t="n"/>
      <c r="C106" s="229" t="n"/>
      <c r="D106" s="229" t="n"/>
      <c r="E106" s="229" t="n"/>
      <c r="F106" s="229" t="n"/>
      <c r="G106" s="229" t="n"/>
      <c r="H106" s="229" t="n"/>
      <c r="I106" s="229" t="n"/>
      <c r="J106" s="229" t="inlineStr">
        <is>
          <t>GY</t>
        </is>
      </c>
      <c r="K106" s="229" t="n"/>
      <c r="L106" s="229" t="n"/>
      <c r="M106" s="229" t="n"/>
      <c r="N106" s="229" t="n"/>
      <c r="O106" s="229" t="n"/>
      <c r="P106" s="229" t="n"/>
      <c r="Q106" s="229" t="n"/>
      <c r="R106" s="229" t="inlineStr">
        <is>
          <t>MMK</t>
        </is>
      </c>
      <c r="S106" s="229" t="n"/>
      <c r="T106" s="229" t="n"/>
      <c r="U106" s="229" t="n"/>
      <c r="V106" s="229" t="n"/>
      <c r="W106" s="229" t="n"/>
      <c r="X106" s="229" t="n"/>
      <c r="Y106" s="229" t="n"/>
      <c r="Z106" s="229" t="n"/>
      <c r="AA106" s="229" t="n"/>
      <c r="AB106" s="229" t="n"/>
      <c r="AC106" s="229" t="n"/>
      <c r="AD106" s="229" t="n"/>
      <c r="AE106" s="229" t="n"/>
      <c r="AF106" s="229" t="n"/>
      <c r="AG106" s="229" t="n"/>
      <c r="AH106" s="229" t="n"/>
      <c r="AI106" s="229" t="n"/>
      <c r="AJ106" s="229" t="n"/>
    </row>
    <row r="107" customFormat="1" s="13">
      <c r="A107" s="11" t="inlineStr">
        <is>
          <t>#</t>
        </is>
      </c>
      <c r="B107" s="230" t="n"/>
      <c r="C107" s="229" t="n"/>
      <c r="D107" s="229" t="n"/>
      <c r="E107" s="229" t="n"/>
      <c r="F107" s="229" t="n"/>
      <c r="G107" s="229" t="n"/>
      <c r="H107" s="229" t="n"/>
      <c r="I107" s="229" t="n"/>
      <c r="J107" s="229" t="inlineStr">
        <is>
          <t>HK</t>
        </is>
      </c>
      <c r="K107" s="229" t="n"/>
      <c r="L107" s="229" t="n"/>
      <c r="M107" s="229" t="n"/>
      <c r="N107" s="229" t="n"/>
      <c r="O107" s="229" t="n"/>
      <c r="P107" s="229" t="n"/>
      <c r="Q107" s="229" t="n"/>
      <c r="R107" s="229" t="inlineStr">
        <is>
          <t>MNT</t>
        </is>
      </c>
      <c r="S107" s="229" t="n"/>
      <c r="T107" s="229" t="n"/>
      <c r="U107" s="229" t="n"/>
      <c r="V107" s="229" t="n"/>
      <c r="W107" s="229" t="n"/>
      <c r="X107" s="229" t="n"/>
      <c r="Y107" s="229" t="n"/>
      <c r="Z107" s="229" t="n"/>
      <c r="AA107" s="229" t="n"/>
      <c r="AB107" s="229" t="n"/>
      <c r="AC107" s="229" t="n"/>
      <c r="AD107" s="229" t="n"/>
      <c r="AE107" s="229" t="n"/>
      <c r="AF107" s="229" t="n"/>
      <c r="AG107" s="229" t="n"/>
      <c r="AH107" s="229" t="n"/>
      <c r="AI107" s="229" t="n"/>
      <c r="AJ107" s="229" t="n"/>
    </row>
    <row r="108" customFormat="1" s="13">
      <c r="A108" s="11" t="inlineStr">
        <is>
          <t>#</t>
        </is>
      </c>
      <c r="B108" s="230" t="n"/>
      <c r="C108" s="229" t="n"/>
      <c r="D108" s="229" t="n"/>
      <c r="E108" s="229" t="n"/>
      <c r="F108" s="229" t="n"/>
      <c r="G108" s="229" t="n"/>
      <c r="H108" s="229" t="n"/>
      <c r="I108" s="229" t="n"/>
      <c r="J108" s="229" t="inlineStr">
        <is>
          <t>HM</t>
        </is>
      </c>
      <c r="K108" s="229" t="n"/>
      <c r="L108" s="229" t="n"/>
      <c r="M108" s="229" t="n"/>
      <c r="N108" s="229" t="n"/>
      <c r="O108" s="229" t="n"/>
      <c r="P108" s="229" t="n"/>
      <c r="Q108" s="229" t="n"/>
      <c r="R108" s="229" t="inlineStr">
        <is>
          <t>MOP</t>
        </is>
      </c>
      <c r="S108" s="229" t="n"/>
      <c r="T108" s="229" t="n"/>
      <c r="U108" s="229" t="n"/>
      <c r="V108" s="229" t="n"/>
      <c r="W108" s="229" t="n"/>
      <c r="X108" s="229" t="n"/>
      <c r="Y108" s="229" t="n"/>
      <c r="Z108" s="229" t="n"/>
      <c r="AA108" s="229" t="n"/>
      <c r="AB108" s="229" t="n"/>
      <c r="AC108" s="229" t="n"/>
      <c r="AD108" s="229" t="n"/>
      <c r="AE108" s="229" t="n"/>
      <c r="AF108" s="229" t="n"/>
      <c r="AG108" s="229" t="n"/>
      <c r="AH108" s="229" t="n"/>
      <c r="AI108" s="229" t="n"/>
      <c r="AJ108" s="229" t="n"/>
    </row>
    <row r="109" customFormat="1" s="13">
      <c r="A109" s="11" t="inlineStr">
        <is>
          <t>#</t>
        </is>
      </c>
      <c r="B109" s="230" t="n"/>
      <c r="C109" s="229" t="n"/>
      <c r="D109" s="229" t="n"/>
      <c r="E109" s="229" t="n"/>
      <c r="F109" s="229" t="n"/>
      <c r="G109" s="229" t="n"/>
      <c r="H109" s="229" t="n"/>
      <c r="I109" s="229" t="n"/>
      <c r="J109" s="229" t="inlineStr">
        <is>
          <t>HN</t>
        </is>
      </c>
      <c r="K109" s="229" t="n"/>
      <c r="L109" s="229" t="n"/>
      <c r="M109" s="229" t="n"/>
      <c r="N109" s="229" t="n"/>
      <c r="O109" s="229" t="n"/>
      <c r="P109" s="229" t="n"/>
      <c r="Q109" s="229" t="n"/>
      <c r="R109" s="229" t="inlineStr">
        <is>
          <t>MRU</t>
        </is>
      </c>
      <c r="S109" s="229" t="n"/>
      <c r="T109" s="229" t="n"/>
      <c r="U109" s="229" t="n"/>
      <c r="V109" s="229" t="n"/>
      <c r="W109" s="229" t="n"/>
      <c r="X109" s="229" t="n"/>
      <c r="Y109" s="229" t="n"/>
      <c r="Z109" s="229" t="n"/>
      <c r="AA109" s="229" t="n"/>
      <c r="AB109" s="229" t="n"/>
      <c r="AC109" s="229" t="n"/>
      <c r="AD109" s="229" t="n"/>
      <c r="AE109" s="229" t="n"/>
      <c r="AF109" s="229" t="n"/>
      <c r="AG109" s="229" t="n"/>
      <c r="AH109" s="229" t="n"/>
      <c r="AI109" s="229" t="n"/>
      <c r="AJ109" s="229" t="n"/>
    </row>
    <row r="110" customFormat="1" s="13">
      <c r="A110" s="11" t="inlineStr">
        <is>
          <t>#</t>
        </is>
      </c>
      <c r="B110" s="230" t="n"/>
      <c r="C110" s="229" t="n"/>
      <c r="D110" s="229" t="n"/>
      <c r="E110" s="229" t="n"/>
      <c r="F110" s="229" t="n"/>
      <c r="G110" s="229" t="n"/>
      <c r="H110" s="229" t="n"/>
      <c r="I110" s="229" t="n"/>
      <c r="J110" s="229" t="inlineStr">
        <is>
          <t>HR</t>
        </is>
      </c>
      <c r="K110" s="229" t="n"/>
      <c r="L110" s="229" t="n"/>
      <c r="M110" s="229" t="n"/>
      <c r="N110" s="229" t="n"/>
      <c r="O110" s="229" t="n"/>
      <c r="P110" s="229" t="n"/>
      <c r="Q110" s="229" t="n"/>
      <c r="R110" s="229" t="inlineStr">
        <is>
          <t>MUR</t>
        </is>
      </c>
      <c r="S110" s="229" t="n"/>
      <c r="T110" s="229" t="n"/>
      <c r="U110" s="229" t="n"/>
      <c r="V110" s="229" t="n"/>
      <c r="W110" s="229" t="n"/>
      <c r="X110" s="229" t="n"/>
      <c r="Y110" s="229" t="n"/>
      <c r="Z110" s="229" t="n"/>
      <c r="AA110" s="229" t="n"/>
      <c r="AB110" s="229" t="n"/>
      <c r="AC110" s="229" t="n"/>
      <c r="AD110" s="229" t="n"/>
      <c r="AE110" s="229" t="n"/>
      <c r="AF110" s="229" t="n"/>
      <c r="AG110" s="229" t="n"/>
      <c r="AH110" s="229" t="n"/>
      <c r="AI110" s="229" t="n"/>
      <c r="AJ110" s="229" t="n"/>
    </row>
    <row r="111" customFormat="1" s="13">
      <c r="A111" s="11" t="inlineStr">
        <is>
          <t>#</t>
        </is>
      </c>
      <c r="B111" s="230" t="n"/>
      <c r="C111" s="229" t="n"/>
      <c r="D111" s="229" t="n"/>
      <c r="E111" s="229" t="n"/>
      <c r="F111" s="229" t="n"/>
      <c r="G111" s="229" t="n"/>
      <c r="H111" s="229" t="n"/>
      <c r="I111" s="229" t="n"/>
      <c r="J111" s="229" t="inlineStr">
        <is>
          <t>HT</t>
        </is>
      </c>
      <c r="K111" s="229" t="n"/>
      <c r="L111" s="229" t="n"/>
      <c r="M111" s="229" t="n"/>
      <c r="N111" s="229" t="n"/>
      <c r="O111" s="229" t="n"/>
      <c r="P111" s="229" t="n"/>
      <c r="Q111" s="229" t="n"/>
      <c r="R111" s="229" t="inlineStr">
        <is>
          <t>MVR</t>
        </is>
      </c>
      <c r="S111" s="229" t="n"/>
      <c r="T111" s="229" t="n"/>
      <c r="U111" s="229" t="n"/>
      <c r="V111" s="229" t="n"/>
      <c r="W111" s="229" t="n"/>
      <c r="X111" s="229" t="n"/>
      <c r="Y111" s="229" t="n"/>
      <c r="Z111" s="229" t="n"/>
      <c r="AA111" s="229" t="n"/>
      <c r="AB111" s="229" t="n"/>
      <c r="AC111" s="229" t="n"/>
      <c r="AD111" s="229" t="n"/>
      <c r="AE111" s="229" t="n"/>
      <c r="AF111" s="229" t="n"/>
      <c r="AG111" s="229" t="n"/>
      <c r="AH111" s="229" t="n"/>
      <c r="AI111" s="229" t="n"/>
      <c r="AJ111" s="229" t="n"/>
    </row>
    <row r="112" customFormat="1" s="13">
      <c r="A112" s="11" t="inlineStr">
        <is>
          <t>#</t>
        </is>
      </c>
      <c r="B112" s="230" t="n"/>
      <c r="C112" s="229" t="n"/>
      <c r="D112" s="229" t="n"/>
      <c r="E112" s="229" t="n"/>
      <c r="F112" s="229" t="n"/>
      <c r="G112" s="229" t="n"/>
      <c r="H112" s="229" t="n"/>
      <c r="I112" s="229" t="n"/>
      <c r="J112" s="229" t="inlineStr">
        <is>
          <t>HU</t>
        </is>
      </c>
      <c r="K112" s="229" t="n"/>
      <c r="L112" s="229" t="n"/>
      <c r="M112" s="229" t="n"/>
      <c r="N112" s="229" t="n"/>
      <c r="O112" s="229" t="n"/>
      <c r="P112" s="229" t="n"/>
      <c r="Q112" s="229" t="n"/>
      <c r="R112" s="229" t="inlineStr">
        <is>
          <t>MWK</t>
        </is>
      </c>
      <c r="S112" s="229" t="n"/>
      <c r="T112" s="229" t="n"/>
      <c r="U112" s="229" t="n"/>
      <c r="V112" s="229" t="n"/>
      <c r="W112" s="229" t="n"/>
      <c r="X112" s="229" t="n"/>
      <c r="Y112" s="229" t="n"/>
      <c r="Z112" s="229" t="n"/>
      <c r="AA112" s="229" t="n"/>
      <c r="AB112" s="229" t="n"/>
      <c r="AC112" s="229" t="n"/>
      <c r="AD112" s="229" t="n"/>
      <c r="AE112" s="229" t="n"/>
      <c r="AF112" s="229" t="n"/>
      <c r="AG112" s="229" t="n"/>
      <c r="AH112" s="229" t="n"/>
      <c r="AI112" s="229" t="n"/>
      <c r="AJ112" s="229" t="n"/>
    </row>
    <row r="113" customFormat="1" s="13">
      <c r="A113" s="11" t="inlineStr">
        <is>
          <t>#</t>
        </is>
      </c>
      <c r="B113" s="230" t="n"/>
      <c r="C113" s="229" t="n"/>
      <c r="D113" s="229" t="n"/>
      <c r="E113" s="229" t="n"/>
      <c r="F113" s="229" t="n"/>
      <c r="G113" s="229" t="n"/>
      <c r="H113" s="229" t="n"/>
      <c r="I113" s="229" t="n"/>
      <c r="J113" s="229" t="inlineStr">
        <is>
          <t>ID</t>
        </is>
      </c>
      <c r="K113" s="229" t="n"/>
      <c r="L113" s="229" t="n"/>
      <c r="M113" s="229" t="n"/>
      <c r="N113" s="229" t="n"/>
      <c r="O113" s="229" t="n"/>
      <c r="P113" s="229" t="n"/>
      <c r="Q113" s="229" t="n"/>
      <c r="R113" s="229" t="inlineStr">
        <is>
          <t>MXN</t>
        </is>
      </c>
      <c r="S113" s="229" t="n"/>
      <c r="T113" s="229" t="n"/>
      <c r="U113" s="229" t="n"/>
      <c r="V113" s="229" t="n"/>
      <c r="W113" s="229" t="n"/>
      <c r="X113" s="229" t="n"/>
      <c r="Y113" s="229" t="n"/>
      <c r="Z113" s="229" t="n"/>
      <c r="AA113" s="229" t="n"/>
      <c r="AB113" s="229" t="n"/>
      <c r="AC113" s="229" t="n"/>
      <c r="AD113" s="229" t="n"/>
      <c r="AE113" s="229" t="n"/>
      <c r="AF113" s="229" t="n"/>
      <c r="AG113" s="229" t="n"/>
      <c r="AH113" s="229" t="n"/>
      <c r="AI113" s="229" t="n"/>
      <c r="AJ113" s="229" t="n"/>
    </row>
    <row r="114" customFormat="1" s="13">
      <c r="A114" s="11" t="inlineStr">
        <is>
          <t>#</t>
        </is>
      </c>
      <c r="B114" s="230" t="n"/>
      <c r="C114" s="229" t="n"/>
      <c r="D114" s="229" t="n"/>
      <c r="E114" s="229" t="n"/>
      <c r="F114" s="229" t="n"/>
      <c r="G114" s="229" t="n"/>
      <c r="H114" s="229" t="n"/>
      <c r="I114" s="229" t="n"/>
      <c r="J114" s="229" t="inlineStr">
        <is>
          <t>IE</t>
        </is>
      </c>
      <c r="K114" s="229" t="n"/>
      <c r="L114" s="229" t="n"/>
      <c r="M114" s="229" t="n"/>
      <c r="N114" s="229" t="n"/>
      <c r="O114" s="229" t="n"/>
      <c r="P114" s="229" t="n"/>
      <c r="Q114" s="229" t="n"/>
      <c r="R114" s="229" t="inlineStr">
        <is>
          <t>MXV</t>
        </is>
      </c>
      <c r="S114" s="229" t="n"/>
      <c r="T114" s="229" t="n"/>
      <c r="U114" s="229" t="n"/>
      <c r="V114" s="229" t="n"/>
      <c r="W114" s="229" t="n"/>
      <c r="X114" s="229" t="n"/>
      <c r="Y114" s="229" t="n"/>
      <c r="Z114" s="229" t="n"/>
      <c r="AA114" s="229" t="n"/>
      <c r="AB114" s="229" t="n"/>
      <c r="AC114" s="229" t="n"/>
      <c r="AD114" s="229" t="n"/>
      <c r="AE114" s="229" t="n"/>
      <c r="AF114" s="229" t="n"/>
      <c r="AG114" s="229" t="n"/>
      <c r="AH114" s="229" t="n"/>
      <c r="AI114" s="229" t="n"/>
      <c r="AJ114" s="229" t="n"/>
    </row>
    <row r="115" customFormat="1" s="13">
      <c r="A115" s="11" t="inlineStr">
        <is>
          <t>#</t>
        </is>
      </c>
      <c r="B115" s="230" t="n"/>
      <c r="C115" s="229" t="n"/>
      <c r="D115" s="229" t="n"/>
      <c r="E115" s="229" t="n"/>
      <c r="F115" s="229" t="n"/>
      <c r="G115" s="229" t="n"/>
      <c r="H115" s="229" t="n"/>
      <c r="I115" s="229" t="n"/>
      <c r="J115" s="229" t="inlineStr">
        <is>
          <t>IL</t>
        </is>
      </c>
      <c r="K115" s="229" t="n"/>
      <c r="L115" s="229" t="n"/>
      <c r="M115" s="229" t="n"/>
      <c r="N115" s="229" t="n"/>
      <c r="O115" s="229" t="n"/>
      <c r="P115" s="229" t="n"/>
      <c r="Q115" s="229" t="n"/>
      <c r="R115" s="229" t="inlineStr">
        <is>
          <t>MYR</t>
        </is>
      </c>
      <c r="S115" s="229" t="n"/>
      <c r="T115" s="229" t="n"/>
      <c r="U115" s="229" t="n"/>
      <c r="V115" s="229" t="n"/>
      <c r="W115" s="229" t="n"/>
      <c r="X115" s="229" t="n"/>
      <c r="Y115" s="229" t="n"/>
      <c r="Z115" s="229" t="n"/>
      <c r="AA115" s="229" t="n"/>
      <c r="AB115" s="229" t="n"/>
      <c r="AC115" s="229" t="n"/>
      <c r="AD115" s="229" t="n"/>
      <c r="AE115" s="229" t="n"/>
      <c r="AF115" s="229" t="n"/>
      <c r="AG115" s="229" t="n"/>
      <c r="AH115" s="229" t="n"/>
      <c r="AI115" s="229" t="n"/>
      <c r="AJ115" s="229" t="n"/>
    </row>
    <row r="116" customFormat="1" s="13">
      <c r="A116" s="11" t="inlineStr">
        <is>
          <t>#</t>
        </is>
      </c>
      <c r="B116" s="230" t="n"/>
      <c r="C116" s="229" t="n"/>
      <c r="D116" s="229" t="n"/>
      <c r="E116" s="229" t="n"/>
      <c r="F116" s="229" t="n"/>
      <c r="G116" s="229" t="n"/>
      <c r="H116" s="229" t="n"/>
      <c r="I116" s="229" t="n"/>
      <c r="J116" s="229" t="inlineStr">
        <is>
          <t>IM</t>
        </is>
      </c>
      <c r="K116" s="229" t="n"/>
      <c r="L116" s="229" t="n"/>
      <c r="M116" s="229" t="n"/>
      <c r="N116" s="229" t="n"/>
      <c r="O116" s="229" t="n"/>
      <c r="P116" s="229" t="n"/>
      <c r="Q116" s="229" t="n"/>
      <c r="R116" s="229" t="inlineStr">
        <is>
          <t>MZN</t>
        </is>
      </c>
      <c r="S116" s="229" t="n"/>
      <c r="T116" s="229" t="n"/>
      <c r="U116" s="229" t="n"/>
      <c r="V116" s="229" t="n"/>
      <c r="W116" s="229" t="n"/>
      <c r="X116" s="229" t="n"/>
      <c r="Y116" s="229" t="n"/>
      <c r="Z116" s="229" t="n"/>
      <c r="AA116" s="229" t="n"/>
      <c r="AB116" s="229" t="n"/>
      <c r="AC116" s="229" t="n"/>
      <c r="AD116" s="229" t="n"/>
      <c r="AE116" s="229" t="n"/>
      <c r="AF116" s="229" t="n"/>
      <c r="AG116" s="229" t="n"/>
      <c r="AH116" s="229" t="n"/>
      <c r="AI116" s="229" t="n"/>
      <c r="AJ116" s="229" t="n"/>
    </row>
    <row r="117" customFormat="1" s="13">
      <c r="A117" s="11" t="inlineStr">
        <is>
          <t>#</t>
        </is>
      </c>
      <c r="B117" s="230" t="n"/>
      <c r="C117" s="229" t="n"/>
      <c r="D117" s="229" t="n"/>
      <c r="E117" s="229" t="n"/>
      <c r="F117" s="229" t="n"/>
      <c r="G117" s="229" t="n"/>
      <c r="H117" s="229" t="n"/>
      <c r="I117" s="229" t="n"/>
      <c r="J117" s="229" t="inlineStr">
        <is>
          <t>IN</t>
        </is>
      </c>
      <c r="K117" s="229" t="n"/>
      <c r="L117" s="229" t="n"/>
      <c r="M117" s="229" t="n"/>
      <c r="N117" s="229" t="n"/>
      <c r="O117" s="229" t="n"/>
      <c r="P117" s="229" t="n"/>
      <c r="Q117" s="229" t="n"/>
      <c r="R117" s="229" t="inlineStr">
        <is>
          <t>NAD</t>
        </is>
      </c>
      <c r="S117" s="229" t="n"/>
      <c r="T117" s="229" t="n"/>
      <c r="U117" s="229" t="n"/>
      <c r="V117" s="229" t="n"/>
      <c r="W117" s="229" t="n"/>
      <c r="X117" s="229" t="n"/>
      <c r="Y117" s="229" t="n"/>
      <c r="Z117" s="229" t="n"/>
      <c r="AA117" s="229" t="n"/>
      <c r="AB117" s="229" t="n"/>
      <c r="AC117" s="229" t="n"/>
      <c r="AD117" s="229" t="n"/>
      <c r="AE117" s="229" t="n"/>
      <c r="AF117" s="229" t="n"/>
      <c r="AG117" s="229" t="n"/>
      <c r="AH117" s="229" t="n"/>
      <c r="AI117" s="229" t="n"/>
      <c r="AJ117" s="229" t="n"/>
    </row>
    <row r="118" customFormat="1" s="13">
      <c r="A118" s="11" t="inlineStr">
        <is>
          <t>#</t>
        </is>
      </c>
      <c r="B118" s="230" t="n"/>
      <c r="C118" s="229" t="n"/>
      <c r="D118" s="229" t="n"/>
      <c r="E118" s="229" t="n"/>
      <c r="F118" s="229" t="n"/>
      <c r="G118" s="229" t="n"/>
      <c r="H118" s="229" t="n"/>
      <c r="I118" s="229" t="n"/>
      <c r="J118" s="229" t="inlineStr">
        <is>
          <t>IO</t>
        </is>
      </c>
      <c r="K118" s="229" t="n"/>
      <c r="L118" s="229" t="n"/>
      <c r="M118" s="229" t="n"/>
      <c r="N118" s="229" t="n"/>
      <c r="O118" s="229" t="n"/>
      <c r="P118" s="229" t="n"/>
      <c r="Q118" s="229" t="n"/>
      <c r="R118" s="229" t="inlineStr">
        <is>
          <t>NGN</t>
        </is>
      </c>
      <c r="S118" s="229" t="n"/>
      <c r="T118" s="229" t="n"/>
      <c r="U118" s="229" t="n"/>
      <c r="V118" s="229" t="n"/>
      <c r="W118" s="229" t="n"/>
      <c r="X118" s="229" t="n"/>
      <c r="Y118" s="229" t="n"/>
      <c r="Z118" s="229" t="n"/>
      <c r="AA118" s="229" t="n"/>
      <c r="AB118" s="229" t="n"/>
      <c r="AC118" s="229" t="n"/>
      <c r="AD118" s="229" t="n"/>
      <c r="AE118" s="229" t="n"/>
      <c r="AF118" s="229" t="n"/>
      <c r="AG118" s="229" t="n"/>
      <c r="AH118" s="229" t="n"/>
      <c r="AI118" s="229" t="n"/>
      <c r="AJ118" s="229" t="n"/>
    </row>
    <row r="119" customFormat="1" s="13">
      <c r="A119" s="11" t="inlineStr">
        <is>
          <t>#</t>
        </is>
      </c>
      <c r="B119" s="230" t="n"/>
      <c r="C119" s="229" t="n"/>
      <c r="D119" s="229" t="n"/>
      <c r="E119" s="229" t="n"/>
      <c r="F119" s="229" t="n"/>
      <c r="G119" s="229" t="n"/>
      <c r="H119" s="229" t="n"/>
      <c r="I119" s="229" t="n"/>
      <c r="J119" s="229" t="inlineStr">
        <is>
          <t>IQ</t>
        </is>
      </c>
      <c r="K119" s="229" t="n"/>
      <c r="L119" s="229" t="n"/>
      <c r="M119" s="229" t="n"/>
      <c r="N119" s="229" t="n"/>
      <c r="O119" s="229" t="n"/>
      <c r="P119" s="229" t="n"/>
      <c r="Q119" s="229" t="n"/>
      <c r="R119" s="229" t="inlineStr">
        <is>
          <t>NIO</t>
        </is>
      </c>
      <c r="S119" s="229" t="n"/>
      <c r="T119" s="229" t="n"/>
      <c r="U119" s="229" t="n"/>
      <c r="V119" s="229" t="n"/>
      <c r="W119" s="229" t="n"/>
      <c r="X119" s="229" t="n"/>
      <c r="Y119" s="229" t="n"/>
      <c r="Z119" s="229" t="n"/>
      <c r="AA119" s="229" t="n"/>
      <c r="AB119" s="229" t="n"/>
      <c r="AC119" s="229" t="n"/>
      <c r="AD119" s="229" t="n"/>
      <c r="AE119" s="229" t="n"/>
      <c r="AF119" s="229" t="n"/>
      <c r="AG119" s="229" t="n"/>
      <c r="AH119" s="229" t="n"/>
      <c r="AI119" s="229" t="n"/>
      <c r="AJ119" s="229" t="n"/>
    </row>
    <row r="120" customFormat="1" s="13">
      <c r="A120" s="11" t="inlineStr">
        <is>
          <t>#</t>
        </is>
      </c>
      <c r="B120" s="230" t="n"/>
      <c r="C120" s="229" t="n"/>
      <c r="D120" s="229" t="n"/>
      <c r="E120" s="229" t="n"/>
      <c r="F120" s="229" t="n"/>
      <c r="G120" s="229" t="n"/>
      <c r="H120" s="229" t="n"/>
      <c r="I120" s="229" t="n"/>
      <c r="J120" s="229" t="inlineStr">
        <is>
          <t>IR</t>
        </is>
      </c>
      <c r="K120" s="229" t="n"/>
      <c r="L120" s="229" t="n"/>
      <c r="M120" s="229" t="n"/>
      <c r="N120" s="229" t="n"/>
      <c r="O120" s="229" t="n"/>
      <c r="P120" s="229" t="n"/>
      <c r="Q120" s="229" t="n"/>
      <c r="R120" s="229" t="inlineStr">
        <is>
          <t>NOK</t>
        </is>
      </c>
      <c r="S120" s="229" t="n"/>
      <c r="T120" s="229" t="n"/>
      <c r="U120" s="229" t="n"/>
      <c r="V120" s="229" t="n"/>
      <c r="W120" s="229" t="n"/>
      <c r="X120" s="229" t="n"/>
      <c r="Y120" s="229" t="n"/>
      <c r="Z120" s="229" t="n"/>
      <c r="AA120" s="229" t="n"/>
      <c r="AB120" s="229" t="n"/>
      <c r="AC120" s="229" t="n"/>
      <c r="AD120" s="229" t="n"/>
      <c r="AE120" s="229" t="n"/>
      <c r="AF120" s="229" t="n"/>
      <c r="AG120" s="229" t="n"/>
      <c r="AH120" s="229" t="n"/>
      <c r="AI120" s="229" t="n"/>
      <c r="AJ120" s="229" t="n"/>
    </row>
    <row r="121" customFormat="1" s="13">
      <c r="A121" s="11" t="inlineStr">
        <is>
          <t>#</t>
        </is>
      </c>
      <c r="B121" s="230" t="n"/>
      <c r="C121" s="229" t="n"/>
      <c r="D121" s="229" t="n"/>
      <c r="E121" s="229" t="n"/>
      <c r="F121" s="229" t="n"/>
      <c r="G121" s="229" t="n"/>
      <c r="H121" s="229" t="n"/>
      <c r="I121" s="229" t="n"/>
      <c r="J121" s="229" t="inlineStr">
        <is>
          <t>IS</t>
        </is>
      </c>
      <c r="K121" s="229" t="n"/>
      <c r="L121" s="229" t="n"/>
      <c r="M121" s="229" t="n"/>
      <c r="N121" s="229" t="n"/>
      <c r="O121" s="229" t="n"/>
      <c r="P121" s="229" t="n"/>
      <c r="Q121" s="229" t="n"/>
      <c r="R121" s="229" t="inlineStr">
        <is>
          <t>NPR</t>
        </is>
      </c>
      <c r="S121" s="229" t="n"/>
      <c r="T121" s="229" t="n"/>
      <c r="U121" s="229" t="n"/>
      <c r="V121" s="229" t="n"/>
      <c r="W121" s="229" t="n"/>
      <c r="X121" s="229" t="n"/>
      <c r="Y121" s="229" t="n"/>
      <c r="Z121" s="229" t="n"/>
      <c r="AA121" s="229" t="n"/>
      <c r="AB121" s="229" t="n"/>
      <c r="AC121" s="229" t="n"/>
      <c r="AD121" s="229" t="n"/>
      <c r="AE121" s="229" t="n"/>
      <c r="AF121" s="229" t="n"/>
      <c r="AG121" s="229" t="n"/>
      <c r="AH121" s="229" t="n"/>
      <c r="AI121" s="229" t="n"/>
      <c r="AJ121" s="229" t="n"/>
    </row>
    <row r="122" customFormat="1" s="13">
      <c r="A122" s="11" t="inlineStr">
        <is>
          <t>#</t>
        </is>
      </c>
      <c r="B122" s="230" t="n"/>
      <c r="C122" s="229" t="n"/>
      <c r="D122" s="229" t="n"/>
      <c r="E122" s="229" t="n"/>
      <c r="F122" s="229" t="n"/>
      <c r="G122" s="229" t="n"/>
      <c r="H122" s="229" t="n"/>
      <c r="I122" s="229" t="n"/>
      <c r="J122" s="229" t="inlineStr">
        <is>
          <t>IT</t>
        </is>
      </c>
      <c r="K122" s="229" t="n"/>
      <c r="L122" s="229" t="n"/>
      <c r="M122" s="229" t="n"/>
      <c r="N122" s="229" t="n"/>
      <c r="O122" s="229" t="n"/>
      <c r="P122" s="229" t="n"/>
      <c r="Q122" s="229" t="n"/>
      <c r="R122" s="229" t="inlineStr">
        <is>
          <t>NZD</t>
        </is>
      </c>
      <c r="S122" s="229" t="n"/>
      <c r="T122" s="229" t="n"/>
      <c r="U122" s="229" t="n"/>
      <c r="V122" s="229" t="n"/>
      <c r="W122" s="229" t="n"/>
      <c r="X122" s="229" t="n"/>
      <c r="Y122" s="229" t="n"/>
      <c r="Z122" s="229" t="n"/>
      <c r="AA122" s="229" t="n"/>
      <c r="AB122" s="229" t="n"/>
      <c r="AC122" s="229" t="n"/>
      <c r="AD122" s="229" t="n"/>
      <c r="AE122" s="229" t="n"/>
      <c r="AF122" s="229" t="n"/>
      <c r="AG122" s="229" t="n"/>
      <c r="AH122" s="229" t="n"/>
      <c r="AI122" s="229" t="n"/>
      <c r="AJ122" s="229" t="n"/>
    </row>
    <row r="123" customFormat="1" s="13">
      <c r="A123" s="11" t="inlineStr">
        <is>
          <t>#</t>
        </is>
      </c>
      <c r="B123" s="230" t="n"/>
      <c r="C123" s="229" t="n"/>
      <c r="D123" s="229" t="n"/>
      <c r="E123" s="229" t="n"/>
      <c r="F123" s="229" t="n"/>
      <c r="G123" s="229" t="n"/>
      <c r="H123" s="229" t="n"/>
      <c r="I123" s="229" t="n"/>
      <c r="J123" s="229" t="inlineStr">
        <is>
          <t>JE</t>
        </is>
      </c>
      <c r="K123" s="229" t="n"/>
      <c r="L123" s="229" t="n"/>
      <c r="M123" s="229" t="n"/>
      <c r="N123" s="229" t="n"/>
      <c r="O123" s="229" t="n"/>
      <c r="P123" s="229" t="n"/>
      <c r="Q123" s="229" t="n"/>
      <c r="R123" s="229" t="inlineStr">
        <is>
          <t>OMR</t>
        </is>
      </c>
      <c r="S123" s="229" t="n"/>
      <c r="T123" s="229" t="n"/>
      <c r="U123" s="229" t="n"/>
      <c r="V123" s="229" t="n"/>
      <c r="W123" s="229" t="n"/>
      <c r="X123" s="229" t="n"/>
      <c r="Y123" s="229" t="n"/>
      <c r="Z123" s="229" t="n"/>
      <c r="AA123" s="229" t="n"/>
      <c r="AB123" s="229" t="n"/>
      <c r="AC123" s="229" t="n"/>
      <c r="AD123" s="229" t="n"/>
      <c r="AE123" s="229" t="n"/>
      <c r="AF123" s="229" t="n"/>
      <c r="AG123" s="229" t="n"/>
      <c r="AH123" s="229" t="n"/>
      <c r="AI123" s="229" t="n"/>
      <c r="AJ123" s="229" t="n"/>
    </row>
    <row r="124" customFormat="1" s="13">
      <c r="A124" s="11" t="inlineStr">
        <is>
          <t>#</t>
        </is>
      </c>
      <c r="B124" s="230" t="n"/>
      <c r="C124" s="229" t="n"/>
      <c r="D124" s="229" t="n"/>
      <c r="E124" s="229" t="n"/>
      <c r="F124" s="229" t="n"/>
      <c r="G124" s="229" t="n"/>
      <c r="H124" s="229" t="n"/>
      <c r="I124" s="229" t="n"/>
      <c r="J124" s="229" t="inlineStr">
        <is>
          <t>JM</t>
        </is>
      </c>
      <c r="K124" s="229" t="n"/>
      <c r="L124" s="229" t="n"/>
      <c r="M124" s="229" t="n"/>
      <c r="N124" s="229" t="n"/>
      <c r="O124" s="229" t="n"/>
      <c r="P124" s="229" t="n"/>
      <c r="Q124" s="229" t="n"/>
      <c r="R124" s="229" t="inlineStr">
        <is>
          <t>PAB</t>
        </is>
      </c>
      <c r="S124" s="229" t="n"/>
      <c r="T124" s="229" t="n"/>
      <c r="U124" s="229" t="n"/>
      <c r="V124" s="229" t="n"/>
      <c r="W124" s="229" t="n"/>
      <c r="X124" s="229" t="n"/>
      <c r="Y124" s="229" t="n"/>
      <c r="Z124" s="229" t="n"/>
      <c r="AA124" s="229" t="n"/>
      <c r="AB124" s="229" t="n"/>
      <c r="AC124" s="229" t="n"/>
      <c r="AD124" s="229" t="n"/>
      <c r="AE124" s="229" t="n"/>
      <c r="AF124" s="229" t="n"/>
      <c r="AG124" s="229" t="n"/>
      <c r="AH124" s="229" t="n"/>
      <c r="AI124" s="229" t="n"/>
      <c r="AJ124" s="229" t="n"/>
    </row>
    <row r="125" customFormat="1" s="13">
      <c r="A125" s="11" t="inlineStr">
        <is>
          <t>#</t>
        </is>
      </c>
      <c r="B125" s="230" t="n"/>
      <c r="C125" s="229" t="n"/>
      <c r="D125" s="229" t="n"/>
      <c r="E125" s="229" t="n"/>
      <c r="F125" s="229" t="n"/>
      <c r="G125" s="229" t="n"/>
      <c r="H125" s="229" t="n"/>
      <c r="I125" s="229" t="n"/>
      <c r="J125" s="229" t="inlineStr">
        <is>
          <t>JO</t>
        </is>
      </c>
      <c r="K125" s="229" t="n"/>
      <c r="L125" s="229" t="n"/>
      <c r="M125" s="229" t="n"/>
      <c r="N125" s="229" t="n"/>
      <c r="O125" s="229" t="n"/>
      <c r="P125" s="229" t="n"/>
      <c r="Q125" s="229" t="n"/>
      <c r="R125" s="229" t="inlineStr">
        <is>
          <t>PEN</t>
        </is>
      </c>
      <c r="S125" s="229" t="n"/>
      <c r="T125" s="229" t="n"/>
      <c r="U125" s="229" t="n"/>
      <c r="V125" s="229" t="n"/>
      <c r="W125" s="229" t="n"/>
      <c r="X125" s="229" t="n"/>
      <c r="Y125" s="229" t="n"/>
      <c r="Z125" s="229" t="n"/>
      <c r="AA125" s="229" t="n"/>
      <c r="AB125" s="229" t="n"/>
      <c r="AC125" s="229" t="n"/>
      <c r="AD125" s="229" t="n"/>
      <c r="AE125" s="229" t="n"/>
      <c r="AF125" s="229" t="n"/>
      <c r="AG125" s="229" t="n"/>
      <c r="AH125" s="229" t="n"/>
      <c r="AI125" s="229" t="n"/>
      <c r="AJ125" s="229" t="n"/>
    </row>
    <row r="126" customFormat="1" s="13">
      <c r="A126" s="11" t="inlineStr">
        <is>
          <t>#</t>
        </is>
      </c>
      <c r="B126" s="230" t="n"/>
      <c r="C126" s="229" t="n"/>
      <c r="D126" s="229" t="n"/>
      <c r="E126" s="229" t="n"/>
      <c r="F126" s="229" t="n"/>
      <c r="G126" s="229" t="n"/>
      <c r="H126" s="229" t="n"/>
      <c r="I126" s="229" t="n"/>
      <c r="J126" s="229" t="inlineStr">
        <is>
          <t>JP</t>
        </is>
      </c>
      <c r="K126" s="229" t="n"/>
      <c r="L126" s="229" t="n"/>
      <c r="M126" s="229" t="n"/>
      <c r="N126" s="229" t="n"/>
      <c r="O126" s="229" t="n"/>
      <c r="P126" s="229" t="n"/>
      <c r="Q126" s="229" t="n"/>
      <c r="R126" s="229" t="inlineStr">
        <is>
          <t>PGK</t>
        </is>
      </c>
      <c r="S126" s="229" t="n"/>
      <c r="T126" s="229" t="n"/>
      <c r="U126" s="229" t="n"/>
      <c r="V126" s="229" t="n"/>
      <c r="W126" s="229" t="n"/>
      <c r="X126" s="229" t="n"/>
      <c r="Y126" s="229" t="n"/>
      <c r="Z126" s="229" t="n"/>
      <c r="AA126" s="229" t="n"/>
      <c r="AB126" s="229" t="n"/>
      <c r="AC126" s="229" t="n"/>
      <c r="AD126" s="229" t="n"/>
      <c r="AE126" s="229" t="n"/>
      <c r="AF126" s="229" t="n"/>
      <c r="AG126" s="229" t="n"/>
      <c r="AH126" s="229" t="n"/>
      <c r="AI126" s="229" t="n"/>
      <c r="AJ126" s="229" t="n"/>
    </row>
    <row r="127" customFormat="1" s="13">
      <c r="A127" s="11" t="inlineStr">
        <is>
          <t>#</t>
        </is>
      </c>
      <c r="B127" s="230" t="n"/>
      <c r="C127" s="229" t="n"/>
      <c r="D127" s="229" t="n"/>
      <c r="E127" s="229" t="n"/>
      <c r="F127" s="229" t="n"/>
      <c r="G127" s="229" t="n"/>
      <c r="H127" s="229" t="n"/>
      <c r="I127" s="229" t="n"/>
      <c r="J127" s="229" t="inlineStr">
        <is>
          <t>KE</t>
        </is>
      </c>
      <c r="K127" s="229" t="n"/>
      <c r="L127" s="229" t="n"/>
      <c r="M127" s="229" t="n"/>
      <c r="N127" s="229" t="n"/>
      <c r="O127" s="229" t="n"/>
      <c r="P127" s="229" t="n"/>
      <c r="Q127" s="229" t="n"/>
      <c r="R127" s="229" t="inlineStr">
        <is>
          <t>PHP</t>
        </is>
      </c>
      <c r="S127" s="229" t="n"/>
      <c r="T127" s="229" t="n"/>
      <c r="U127" s="229" t="n"/>
      <c r="V127" s="229" t="n"/>
      <c r="W127" s="229" t="n"/>
      <c r="X127" s="229" t="n"/>
      <c r="Y127" s="229" t="n"/>
      <c r="Z127" s="229" t="n"/>
      <c r="AA127" s="229" t="n"/>
      <c r="AB127" s="229" t="n"/>
      <c r="AC127" s="229" t="n"/>
      <c r="AD127" s="229" t="n"/>
      <c r="AE127" s="229" t="n"/>
      <c r="AF127" s="229" t="n"/>
      <c r="AG127" s="229" t="n"/>
      <c r="AH127" s="229" t="n"/>
      <c r="AI127" s="229" t="n"/>
      <c r="AJ127" s="229" t="n"/>
    </row>
    <row r="128" customFormat="1" s="13">
      <c r="A128" s="11" t="inlineStr">
        <is>
          <t>#</t>
        </is>
      </c>
      <c r="B128" s="230" t="n"/>
      <c r="C128" s="229" t="n"/>
      <c r="D128" s="229" t="n"/>
      <c r="E128" s="229" t="n"/>
      <c r="F128" s="229" t="n"/>
      <c r="G128" s="229" t="n"/>
      <c r="H128" s="229" t="n"/>
      <c r="I128" s="229" t="n"/>
      <c r="J128" s="229" t="inlineStr">
        <is>
          <t>KG</t>
        </is>
      </c>
      <c r="K128" s="229" t="n"/>
      <c r="L128" s="229" t="n"/>
      <c r="M128" s="229" t="n"/>
      <c r="N128" s="229" t="n"/>
      <c r="O128" s="229" t="n"/>
      <c r="P128" s="229" t="n"/>
      <c r="Q128" s="229" t="n"/>
      <c r="R128" s="229" t="inlineStr">
        <is>
          <t>PKR</t>
        </is>
      </c>
      <c r="S128" s="229" t="n"/>
      <c r="T128" s="229" t="n"/>
      <c r="U128" s="229" t="n"/>
      <c r="V128" s="229" t="n"/>
      <c r="W128" s="229" t="n"/>
      <c r="X128" s="229" t="n"/>
      <c r="Y128" s="229" t="n"/>
      <c r="Z128" s="229" t="n"/>
      <c r="AA128" s="229" t="n"/>
      <c r="AB128" s="229" t="n"/>
      <c r="AC128" s="229" t="n"/>
      <c r="AD128" s="229" t="n"/>
      <c r="AE128" s="229" t="n"/>
      <c r="AF128" s="229" t="n"/>
      <c r="AG128" s="229" t="n"/>
      <c r="AH128" s="229" t="n"/>
      <c r="AI128" s="229" t="n"/>
      <c r="AJ128" s="229" t="n"/>
    </row>
    <row r="129" customFormat="1" s="13">
      <c r="A129" s="11" t="inlineStr">
        <is>
          <t>#</t>
        </is>
      </c>
      <c r="B129" s="230" t="n"/>
      <c r="C129" s="229" t="n"/>
      <c r="D129" s="229" t="n"/>
      <c r="E129" s="229" t="n"/>
      <c r="F129" s="229" t="n"/>
      <c r="G129" s="229" t="n"/>
      <c r="H129" s="229" t="n"/>
      <c r="I129" s="229" t="n"/>
      <c r="J129" s="229" t="inlineStr">
        <is>
          <t>KH</t>
        </is>
      </c>
      <c r="K129" s="229" t="n"/>
      <c r="L129" s="229" t="n"/>
      <c r="M129" s="229" t="n"/>
      <c r="N129" s="229" t="n"/>
      <c r="O129" s="229" t="n"/>
      <c r="P129" s="229" t="n"/>
      <c r="Q129" s="229" t="n"/>
      <c r="R129" s="229" t="inlineStr">
        <is>
          <t>PLN</t>
        </is>
      </c>
      <c r="S129" s="229" t="n"/>
      <c r="T129" s="229" t="n"/>
      <c r="U129" s="229" t="n"/>
      <c r="V129" s="229" t="n"/>
      <c r="W129" s="229" t="n"/>
      <c r="X129" s="229" t="n"/>
      <c r="Y129" s="229" t="n"/>
      <c r="Z129" s="229" t="n"/>
      <c r="AA129" s="229" t="n"/>
      <c r="AB129" s="229" t="n"/>
      <c r="AC129" s="229" t="n"/>
      <c r="AD129" s="229" t="n"/>
      <c r="AE129" s="229" t="n"/>
      <c r="AF129" s="229" t="n"/>
      <c r="AG129" s="229" t="n"/>
      <c r="AH129" s="229" t="n"/>
      <c r="AI129" s="229" t="n"/>
      <c r="AJ129" s="229" t="n"/>
    </row>
    <row r="130" customFormat="1" s="13">
      <c r="A130" s="11" t="inlineStr">
        <is>
          <t>#</t>
        </is>
      </c>
      <c r="B130" s="230" t="n"/>
      <c r="C130" s="229" t="n"/>
      <c r="D130" s="229" t="n"/>
      <c r="E130" s="229" t="n"/>
      <c r="F130" s="229" t="n"/>
      <c r="G130" s="229" t="n"/>
      <c r="H130" s="229" t="n"/>
      <c r="I130" s="229" t="n"/>
      <c r="J130" s="229" t="inlineStr">
        <is>
          <t>KI</t>
        </is>
      </c>
      <c r="K130" s="229" t="n"/>
      <c r="L130" s="229" t="n"/>
      <c r="M130" s="229" t="n"/>
      <c r="N130" s="229" t="n"/>
      <c r="O130" s="229" t="n"/>
      <c r="P130" s="229" t="n"/>
      <c r="Q130" s="229" t="n"/>
      <c r="R130" s="229" t="inlineStr">
        <is>
          <t>PYG</t>
        </is>
      </c>
      <c r="S130" s="229" t="n"/>
      <c r="T130" s="229" t="n"/>
      <c r="U130" s="229" t="n"/>
      <c r="V130" s="229" t="n"/>
      <c r="W130" s="229" t="n"/>
      <c r="X130" s="229" t="n"/>
      <c r="Y130" s="229" t="n"/>
      <c r="Z130" s="229" t="n"/>
      <c r="AA130" s="229" t="n"/>
      <c r="AB130" s="229" t="n"/>
      <c r="AC130" s="229" t="n"/>
      <c r="AD130" s="229" t="n"/>
      <c r="AE130" s="229" t="n"/>
      <c r="AF130" s="229" t="n"/>
      <c r="AG130" s="229" t="n"/>
      <c r="AH130" s="229" t="n"/>
      <c r="AI130" s="229" t="n"/>
      <c r="AJ130" s="229" t="n"/>
    </row>
    <row r="131" customFormat="1" s="13">
      <c r="A131" s="11" t="inlineStr">
        <is>
          <t>#</t>
        </is>
      </c>
      <c r="B131" s="230" t="n"/>
      <c r="C131" s="229" t="n"/>
      <c r="D131" s="229" t="n"/>
      <c r="E131" s="229" t="n"/>
      <c r="F131" s="229" t="n"/>
      <c r="G131" s="229" t="n"/>
      <c r="H131" s="229" t="n"/>
      <c r="I131" s="229" t="n"/>
      <c r="J131" s="229" t="inlineStr">
        <is>
          <t>KM</t>
        </is>
      </c>
      <c r="K131" s="229" t="n"/>
      <c r="L131" s="229" t="n"/>
      <c r="M131" s="229" t="n"/>
      <c r="N131" s="229" t="n"/>
      <c r="O131" s="229" t="n"/>
      <c r="P131" s="229" t="n"/>
      <c r="Q131" s="229" t="n"/>
      <c r="R131" s="229" t="inlineStr">
        <is>
          <t>QAR</t>
        </is>
      </c>
      <c r="S131" s="229" t="n"/>
      <c r="T131" s="229" t="n"/>
      <c r="U131" s="229" t="n"/>
      <c r="V131" s="229" t="n"/>
      <c r="W131" s="229" t="n"/>
      <c r="X131" s="229" t="n"/>
      <c r="Y131" s="229" t="n"/>
      <c r="Z131" s="229" t="n"/>
      <c r="AA131" s="229" t="n"/>
      <c r="AB131" s="229" t="n"/>
      <c r="AC131" s="229" t="n"/>
      <c r="AD131" s="229" t="n"/>
      <c r="AE131" s="229" t="n"/>
      <c r="AF131" s="229" t="n"/>
      <c r="AG131" s="229" t="n"/>
      <c r="AH131" s="229" t="n"/>
      <c r="AI131" s="229" t="n"/>
      <c r="AJ131" s="229" t="n"/>
    </row>
    <row r="132" customFormat="1" s="13">
      <c r="A132" s="11" t="inlineStr">
        <is>
          <t>#</t>
        </is>
      </c>
      <c r="B132" s="230" t="n"/>
      <c r="C132" s="229" t="n"/>
      <c r="D132" s="229" t="n"/>
      <c r="E132" s="229" t="n"/>
      <c r="F132" s="229" t="n"/>
      <c r="G132" s="229" t="n"/>
      <c r="H132" s="229" t="n"/>
      <c r="I132" s="229" t="n"/>
      <c r="J132" s="229" t="inlineStr">
        <is>
          <t>KN</t>
        </is>
      </c>
      <c r="K132" s="229" t="n"/>
      <c r="L132" s="229" t="n"/>
      <c r="M132" s="229" t="n"/>
      <c r="N132" s="229" t="n"/>
      <c r="O132" s="229" t="n"/>
      <c r="P132" s="229" t="n"/>
      <c r="Q132" s="229" t="n"/>
      <c r="R132" s="229" t="inlineStr">
        <is>
          <t>RON</t>
        </is>
      </c>
      <c r="S132" s="229" t="n"/>
      <c r="T132" s="229" t="n"/>
      <c r="U132" s="229" t="n"/>
      <c r="V132" s="229" t="n"/>
      <c r="W132" s="229" t="n"/>
      <c r="X132" s="229" t="n"/>
      <c r="Y132" s="229" t="n"/>
      <c r="Z132" s="229" t="n"/>
      <c r="AA132" s="229" t="n"/>
      <c r="AB132" s="229" t="n"/>
      <c r="AC132" s="229" t="n"/>
      <c r="AD132" s="229" t="n"/>
      <c r="AE132" s="229" t="n"/>
      <c r="AF132" s="229" t="n"/>
      <c r="AG132" s="229" t="n"/>
      <c r="AH132" s="229" t="n"/>
      <c r="AI132" s="229" t="n"/>
      <c r="AJ132" s="229" t="n"/>
    </row>
    <row r="133" customFormat="1" s="13">
      <c r="A133" s="11" t="inlineStr">
        <is>
          <t>#</t>
        </is>
      </c>
      <c r="B133" s="230" t="n"/>
      <c r="C133" s="229" t="n"/>
      <c r="D133" s="229" t="n"/>
      <c r="E133" s="229" t="n"/>
      <c r="F133" s="229" t="n"/>
      <c r="G133" s="229" t="n"/>
      <c r="H133" s="229" t="n"/>
      <c r="I133" s="229" t="n"/>
      <c r="J133" s="229" t="inlineStr">
        <is>
          <t>KP</t>
        </is>
      </c>
      <c r="K133" s="229" t="n"/>
      <c r="L133" s="229" t="n"/>
      <c r="M133" s="229" t="n"/>
      <c r="N133" s="229" t="n"/>
      <c r="O133" s="229" t="n"/>
      <c r="P133" s="229" t="n"/>
      <c r="Q133" s="229" t="n"/>
      <c r="R133" s="229" t="inlineStr">
        <is>
          <t>RSD</t>
        </is>
      </c>
      <c r="S133" s="229" t="n"/>
      <c r="T133" s="229" t="n"/>
      <c r="U133" s="229" t="n"/>
      <c r="V133" s="229" t="n"/>
      <c r="W133" s="229" t="n"/>
      <c r="X133" s="229" t="n"/>
      <c r="Y133" s="229" t="n"/>
      <c r="Z133" s="229" t="n"/>
      <c r="AA133" s="229" t="n"/>
      <c r="AB133" s="229" t="n"/>
      <c r="AC133" s="229" t="n"/>
      <c r="AD133" s="229" t="n"/>
      <c r="AE133" s="229" t="n"/>
      <c r="AF133" s="229" t="n"/>
      <c r="AG133" s="229" t="n"/>
      <c r="AH133" s="229" t="n"/>
      <c r="AI133" s="229" t="n"/>
      <c r="AJ133" s="229" t="n"/>
    </row>
    <row r="134" customFormat="1" s="13">
      <c r="A134" s="11" t="inlineStr">
        <is>
          <t>#</t>
        </is>
      </c>
      <c r="B134" s="230" t="n"/>
      <c r="C134" s="229" t="n"/>
      <c r="D134" s="229" t="n"/>
      <c r="E134" s="229" t="n"/>
      <c r="F134" s="229" t="n"/>
      <c r="G134" s="229" t="n"/>
      <c r="H134" s="229" t="n"/>
      <c r="I134" s="229" t="n"/>
      <c r="J134" s="229" t="inlineStr">
        <is>
          <t>KR</t>
        </is>
      </c>
      <c r="K134" s="229" t="n"/>
      <c r="L134" s="229" t="n"/>
      <c r="M134" s="229" t="n"/>
      <c r="N134" s="229" t="n"/>
      <c r="O134" s="229" t="n"/>
      <c r="P134" s="229" t="n"/>
      <c r="Q134" s="229" t="n"/>
      <c r="R134" s="229" t="inlineStr">
        <is>
          <t>RUB</t>
        </is>
      </c>
      <c r="S134" s="229" t="n"/>
      <c r="T134" s="229" t="n"/>
      <c r="U134" s="229" t="n"/>
      <c r="V134" s="229" t="n"/>
      <c r="W134" s="229" t="n"/>
      <c r="X134" s="229" t="n"/>
      <c r="Y134" s="229" t="n"/>
      <c r="Z134" s="229" t="n"/>
      <c r="AA134" s="229" t="n"/>
      <c r="AB134" s="229" t="n"/>
      <c r="AC134" s="229" t="n"/>
      <c r="AD134" s="229" t="n"/>
      <c r="AE134" s="229" t="n"/>
      <c r="AF134" s="229" t="n"/>
      <c r="AG134" s="229" t="n"/>
      <c r="AH134" s="229" t="n"/>
      <c r="AI134" s="229" t="n"/>
      <c r="AJ134" s="229" t="n"/>
    </row>
    <row r="135" customFormat="1" s="13">
      <c r="A135" s="11" t="inlineStr">
        <is>
          <t>#</t>
        </is>
      </c>
      <c r="B135" s="230" t="n"/>
      <c r="C135" s="229" t="n"/>
      <c r="D135" s="229" t="n"/>
      <c r="E135" s="229" t="n"/>
      <c r="F135" s="229" t="n"/>
      <c r="G135" s="229" t="n"/>
      <c r="H135" s="229" t="n"/>
      <c r="I135" s="229" t="n"/>
      <c r="J135" s="229" t="inlineStr">
        <is>
          <t>KW</t>
        </is>
      </c>
      <c r="K135" s="229" t="n"/>
      <c r="L135" s="229" t="n"/>
      <c r="M135" s="229" t="n"/>
      <c r="N135" s="229" t="n"/>
      <c r="O135" s="229" t="n"/>
      <c r="P135" s="229" t="n"/>
      <c r="Q135" s="229" t="n"/>
      <c r="R135" s="229" t="inlineStr">
        <is>
          <t>RWF</t>
        </is>
      </c>
      <c r="S135" s="229" t="n"/>
      <c r="T135" s="229" t="n"/>
      <c r="U135" s="229" t="n"/>
      <c r="V135" s="229" t="n"/>
      <c r="W135" s="229" t="n"/>
      <c r="X135" s="229" t="n"/>
      <c r="Y135" s="229" t="n"/>
      <c r="Z135" s="229" t="n"/>
      <c r="AA135" s="229" t="n"/>
      <c r="AB135" s="229" t="n"/>
      <c r="AC135" s="229" t="n"/>
      <c r="AD135" s="229" t="n"/>
      <c r="AE135" s="229" t="n"/>
      <c r="AF135" s="229" t="n"/>
      <c r="AG135" s="229" t="n"/>
      <c r="AH135" s="229" t="n"/>
      <c r="AI135" s="229" t="n"/>
      <c r="AJ135" s="229" t="n"/>
    </row>
    <row r="136" customFormat="1" s="13">
      <c r="A136" s="11" t="inlineStr">
        <is>
          <t>#</t>
        </is>
      </c>
      <c r="B136" s="230" t="n"/>
      <c r="C136" s="229" t="n"/>
      <c r="D136" s="229" t="n"/>
      <c r="E136" s="229" t="n"/>
      <c r="F136" s="229" t="n"/>
      <c r="G136" s="229" t="n"/>
      <c r="H136" s="229" t="n"/>
      <c r="I136" s="229" t="n"/>
      <c r="J136" s="229" t="inlineStr">
        <is>
          <t>KY</t>
        </is>
      </c>
      <c r="K136" s="229" t="n"/>
      <c r="L136" s="229" t="n"/>
      <c r="M136" s="229" t="n"/>
      <c r="N136" s="229" t="n"/>
      <c r="O136" s="229" t="n"/>
      <c r="P136" s="229" t="n"/>
      <c r="Q136" s="229" t="n"/>
      <c r="R136" s="229" t="inlineStr">
        <is>
          <t>SAR</t>
        </is>
      </c>
      <c r="S136" s="229" t="n"/>
      <c r="T136" s="229" t="n"/>
      <c r="U136" s="229" t="n"/>
      <c r="V136" s="229" t="n"/>
      <c r="W136" s="229" t="n"/>
      <c r="X136" s="229" t="n"/>
      <c r="Y136" s="229" t="n"/>
      <c r="Z136" s="229" t="n"/>
      <c r="AA136" s="229" t="n"/>
      <c r="AB136" s="229" t="n"/>
      <c r="AC136" s="229" t="n"/>
      <c r="AD136" s="229" t="n"/>
      <c r="AE136" s="229" t="n"/>
      <c r="AF136" s="229" t="n"/>
      <c r="AG136" s="229" t="n"/>
      <c r="AH136" s="229" t="n"/>
      <c r="AI136" s="229" t="n"/>
      <c r="AJ136" s="229" t="n"/>
    </row>
    <row r="137" customFormat="1" s="13">
      <c r="A137" s="11" t="inlineStr">
        <is>
          <t>#</t>
        </is>
      </c>
      <c r="B137" s="230" t="n"/>
      <c r="C137" s="229" t="n"/>
      <c r="D137" s="229" t="n"/>
      <c r="E137" s="229" t="n"/>
      <c r="F137" s="229" t="n"/>
      <c r="G137" s="229" t="n"/>
      <c r="H137" s="229" t="n"/>
      <c r="I137" s="229" t="n"/>
      <c r="J137" s="229" t="inlineStr">
        <is>
          <t>KZ</t>
        </is>
      </c>
      <c r="K137" s="229" t="n"/>
      <c r="L137" s="229" t="n"/>
      <c r="M137" s="229" t="n"/>
      <c r="N137" s="229" t="n"/>
      <c r="O137" s="229" t="n"/>
      <c r="P137" s="229" t="n"/>
      <c r="Q137" s="229" t="n"/>
      <c r="R137" s="229" t="inlineStr">
        <is>
          <t>SBD</t>
        </is>
      </c>
      <c r="S137" s="229" t="n"/>
      <c r="T137" s="229" t="n"/>
      <c r="U137" s="229" t="n"/>
      <c r="V137" s="229" t="n"/>
      <c r="W137" s="229" t="n"/>
      <c r="X137" s="229" t="n"/>
      <c r="Y137" s="229" t="n"/>
      <c r="Z137" s="229" t="n"/>
      <c r="AA137" s="229" t="n"/>
      <c r="AB137" s="229" t="n"/>
      <c r="AC137" s="229" t="n"/>
      <c r="AD137" s="229" t="n"/>
      <c r="AE137" s="229" t="n"/>
      <c r="AF137" s="229" t="n"/>
      <c r="AG137" s="229" t="n"/>
      <c r="AH137" s="229" t="n"/>
      <c r="AI137" s="229" t="n"/>
      <c r="AJ137" s="229" t="n"/>
    </row>
    <row r="138" customFormat="1" s="13">
      <c r="A138" s="11" t="inlineStr">
        <is>
          <t>#</t>
        </is>
      </c>
      <c r="B138" s="230" t="n"/>
      <c r="C138" s="229" t="n"/>
      <c r="D138" s="229" t="n"/>
      <c r="E138" s="229" t="n"/>
      <c r="F138" s="229" t="n"/>
      <c r="G138" s="229" t="n"/>
      <c r="H138" s="229" t="n"/>
      <c r="I138" s="229" t="n"/>
      <c r="J138" s="229" t="inlineStr">
        <is>
          <t>LA</t>
        </is>
      </c>
      <c r="K138" s="229" t="n"/>
      <c r="L138" s="229" t="n"/>
      <c r="M138" s="229" t="n"/>
      <c r="N138" s="229" t="n"/>
      <c r="O138" s="229" t="n"/>
      <c r="P138" s="229" t="n"/>
      <c r="Q138" s="229" t="n"/>
      <c r="R138" s="229" t="inlineStr">
        <is>
          <t>SCR</t>
        </is>
      </c>
      <c r="S138" s="229" t="n"/>
      <c r="T138" s="229" t="n"/>
      <c r="U138" s="229" t="n"/>
      <c r="V138" s="229" t="n"/>
      <c r="W138" s="229" t="n"/>
      <c r="X138" s="229" t="n"/>
      <c r="Y138" s="229" t="n"/>
      <c r="Z138" s="229" t="n"/>
      <c r="AA138" s="229" t="n"/>
      <c r="AB138" s="229" t="n"/>
      <c r="AC138" s="229" t="n"/>
      <c r="AD138" s="229" t="n"/>
      <c r="AE138" s="229" t="n"/>
      <c r="AF138" s="229" t="n"/>
      <c r="AG138" s="229" t="n"/>
      <c r="AH138" s="229" t="n"/>
      <c r="AI138" s="229" t="n"/>
      <c r="AJ138" s="229" t="n"/>
    </row>
    <row r="139" customFormat="1" s="13">
      <c r="A139" s="11" t="inlineStr">
        <is>
          <t>#</t>
        </is>
      </c>
      <c r="B139" s="230" t="n"/>
      <c r="C139" s="229" t="n"/>
      <c r="D139" s="229" t="n"/>
      <c r="E139" s="229" t="n"/>
      <c r="F139" s="229" t="n"/>
      <c r="G139" s="229" t="n"/>
      <c r="H139" s="229" t="n"/>
      <c r="I139" s="229" t="n"/>
      <c r="J139" s="229" t="inlineStr">
        <is>
          <t>LB</t>
        </is>
      </c>
      <c r="K139" s="229" t="n"/>
      <c r="L139" s="229" t="n"/>
      <c r="M139" s="229" t="n"/>
      <c r="N139" s="229" t="n"/>
      <c r="O139" s="229" t="n"/>
      <c r="P139" s="229" t="n"/>
      <c r="Q139" s="229" t="n"/>
      <c r="R139" s="229" t="inlineStr">
        <is>
          <t>SDG</t>
        </is>
      </c>
      <c r="S139" s="229" t="n"/>
      <c r="T139" s="229" t="n"/>
      <c r="U139" s="229" t="n"/>
      <c r="V139" s="229" t="n"/>
      <c r="W139" s="229" t="n"/>
      <c r="X139" s="229" t="n"/>
      <c r="Y139" s="229" t="n"/>
      <c r="Z139" s="229" t="n"/>
      <c r="AA139" s="229" t="n"/>
      <c r="AB139" s="229" t="n"/>
      <c r="AC139" s="229" t="n"/>
      <c r="AD139" s="229" t="n"/>
      <c r="AE139" s="229" t="n"/>
      <c r="AF139" s="229" t="n"/>
      <c r="AG139" s="229" t="n"/>
      <c r="AH139" s="229" t="n"/>
      <c r="AI139" s="229" t="n"/>
      <c r="AJ139" s="229" t="n"/>
    </row>
    <row r="140" customFormat="1" s="13">
      <c r="A140" s="11" t="inlineStr">
        <is>
          <t>#</t>
        </is>
      </c>
      <c r="B140" s="230" t="n"/>
      <c r="C140" s="229" t="n"/>
      <c r="D140" s="229" t="n"/>
      <c r="E140" s="229" t="n"/>
      <c r="F140" s="229" t="n"/>
      <c r="G140" s="229" t="n"/>
      <c r="H140" s="229" t="n"/>
      <c r="I140" s="229" t="n"/>
      <c r="J140" s="229" t="inlineStr">
        <is>
          <t>LC</t>
        </is>
      </c>
      <c r="K140" s="229" t="n"/>
      <c r="L140" s="229" t="n"/>
      <c r="M140" s="229" t="n"/>
      <c r="N140" s="229" t="n"/>
      <c r="O140" s="229" t="n"/>
      <c r="P140" s="229" t="n"/>
      <c r="Q140" s="229" t="n"/>
      <c r="R140" s="229" t="inlineStr">
        <is>
          <t>SEK</t>
        </is>
      </c>
      <c r="S140" s="229" t="n"/>
      <c r="T140" s="229" t="n"/>
      <c r="U140" s="229" t="n"/>
      <c r="V140" s="229" t="n"/>
      <c r="W140" s="229" t="n"/>
      <c r="X140" s="229" t="n"/>
      <c r="Y140" s="229" t="n"/>
      <c r="Z140" s="229" t="n"/>
      <c r="AA140" s="229" t="n"/>
      <c r="AB140" s="229" t="n"/>
      <c r="AC140" s="229" t="n"/>
      <c r="AD140" s="229" t="n"/>
      <c r="AE140" s="229" t="n"/>
      <c r="AF140" s="229" t="n"/>
      <c r="AG140" s="229" t="n"/>
      <c r="AH140" s="229" t="n"/>
      <c r="AI140" s="229" t="n"/>
      <c r="AJ140" s="229" t="n"/>
    </row>
    <row r="141" customFormat="1" s="13">
      <c r="A141" s="11" t="inlineStr">
        <is>
          <t>#</t>
        </is>
      </c>
      <c r="B141" s="230" t="n"/>
      <c r="C141" s="229" t="n"/>
      <c r="D141" s="229" t="n"/>
      <c r="E141" s="229" t="n"/>
      <c r="F141" s="229" t="n"/>
      <c r="G141" s="229" t="n"/>
      <c r="H141" s="229" t="n"/>
      <c r="I141" s="229" t="n"/>
      <c r="J141" s="229" t="inlineStr">
        <is>
          <t>LI</t>
        </is>
      </c>
      <c r="K141" s="229" t="n"/>
      <c r="L141" s="229" t="n"/>
      <c r="M141" s="229" t="n"/>
      <c r="N141" s="229" t="n"/>
      <c r="O141" s="229" t="n"/>
      <c r="P141" s="229" t="n"/>
      <c r="Q141" s="229" t="n"/>
      <c r="R141" s="229" t="inlineStr">
        <is>
          <t>SGD</t>
        </is>
      </c>
      <c r="S141" s="229" t="n"/>
      <c r="T141" s="229" t="n"/>
      <c r="U141" s="229" t="n"/>
      <c r="V141" s="229" t="n"/>
      <c r="W141" s="229" t="n"/>
      <c r="X141" s="229" t="n"/>
      <c r="Y141" s="229" t="n"/>
      <c r="Z141" s="229" t="n"/>
      <c r="AA141" s="229" t="n"/>
      <c r="AB141" s="229" t="n"/>
      <c r="AC141" s="229" t="n"/>
      <c r="AD141" s="229" t="n"/>
      <c r="AE141" s="229" t="n"/>
      <c r="AF141" s="229" t="n"/>
      <c r="AG141" s="229" t="n"/>
      <c r="AH141" s="229" t="n"/>
      <c r="AI141" s="229" t="n"/>
      <c r="AJ141" s="229" t="n"/>
    </row>
    <row r="142" customFormat="1" s="13">
      <c r="A142" s="11" t="inlineStr">
        <is>
          <t>#</t>
        </is>
      </c>
      <c r="B142" s="230" t="n"/>
      <c r="C142" s="229" t="n"/>
      <c r="D142" s="229" t="n"/>
      <c r="E142" s="229" t="n"/>
      <c r="F142" s="229" t="n"/>
      <c r="G142" s="229" t="n"/>
      <c r="H142" s="229" t="n"/>
      <c r="I142" s="229" t="n"/>
      <c r="J142" s="229" t="inlineStr">
        <is>
          <t>LK</t>
        </is>
      </c>
      <c r="K142" s="229" t="n"/>
      <c r="L142" s="229" t="n"/>
      <c r="M142" s="229" t="n"/>
      <c r="N142" s="229" t="n"/>
      <c r="O142" s="229" t="n"/>
      <c r="P142" s="229" t="n"/>
      <c r="Q142" s="229" t="n"/>
      <c r="R142" s="229" t="inlineStr">
        <is>
          <t>SHP</t>
        </is>
      </c>
      <c r="S142" s="229" t="n"/>
      <c r="T142" s="229" t="n"/>
      <c r="U142" s="229" t="n"/>
      <c r="V142" s="229" t="n"/>
      <c r="W142" s="229" t="n"/>
      <c r="X142" s="229" t="n"/>
      <c r="Y142" s="229" t="n"/>
      <c r="Z142" s="229" t="n"/>
      <c r="AA142" s="229" t="n"/>
      <c r="AB142" s="229" t="n"/>
      <c r="AC142" s="229" t="n"/>
      <c r="AD142" s="229" t="n"/>
      <c r="AE142" s="229" t="n"/>
      <c r="AF142" s="229" t="n"/>
      <c r="AG142" s="229" t="n"/>
      <c r="AH142" s="229" t="n"/>
      <c r="AI142" s="229" t="n"/>
      <c r="AJ142" s="229" t="n"/>
    </row>
    <row r="143" customFormat="1" s="13">
      <c r="A143" s="11" t="inlineStr">
        <is>
          <t>#</t>
        </is>
      </c>
      <c r="B143" s="230" t="n"/>
      <c r="C143" s="229" t="n"/>
      <c r="D143" s="229" t="n"/>
      <c r="E143" s="229" t="n"/>
      <c r="F143" s="229" t="n"/>
      <c r="G143" s="229" t="n"/>
      <c r="H143" s="229" t="n"/>
      <c r="I143" s="229" t="n"/>
      <c r="J143" s="229" t="inlineStr">
        <is>
          <t>LR</t>
        </is>
      </c>
      <c r="K143" s="229" t="n"/>
      <c r="L143" s="229" t="n"/>
      <c r="M143" s="229" t="n"/>
      <c r="N143" s="229" t="n"/>
      <c r="O143" s="229" t="n"/>
      <c r="P143" s="229" t="n"/>
      <c r="Q143" s="229" t="n"/>
      <c r="R143" s="229" t="inlineStr">
        <is>
          <t>SLL</t>
        </is>
      </c>
      <c r="S143" s="229" t="n"/>
      <c r="T143" s="229" t="n"/>
      <c r="U143" s="229" t="n"/>
      <c r="V143" s="229" t="n"/>
      <c r="W143" s="229" t="n"/>
      <c r="X143" s="229" t="n"/>
      <c r="Y143" s="229" t="n"/>
      <c r="Z143" s="229" t="n"/>
      <c r="AA143" s="229" t="n"/>
      <c r="AB143" s="229" t="n"/>
      <c r="AC143" s="229" t="n"/>
      <c r="AD143" s="229" t="n"/>
      <c r="AE143" s="229" t="n"/>
      <c r="AF143" s="229" t="n"/>
      <c r="AG143" s="229" t="n"/>
      <c r="AH143" s="229" t="n"/>
      <c r="AI143" s="229" t="n"/>
      <c r="AJ143" s="229" t="n"/>
    </row>
    <row r="144" customFormat="1" s="13">
      <c r="A144" s="11" t="inlineStr">
        <is>
          <t>#</t>
        </is>
      </c>
      <c r="B144" s="230" t="n"/>
      <c r="C144" s="229" t="n"/>
      <c r="D144" s="229" t="n"/>
      <c r="E144" s="229" t="n"/>
      <c r="F144" s="229" t="n"/>
      <c r="G144" s="229" t="n"/>
      <c r="H144" s="229" t="n"/>
      <c r="I144" s="229" t="n"/>
      <c r="J144" s="229" t="inlineStr">
        <is>
          <t>LS</t>
        </is>
      </c>
      <c r="K144" s="229" t="n"/>
      <c r="L144" s="229" t="n"/>
      <c r="M144" s="229" t="n"/>
      <c r="N144" s="229" t="n"/>
      <c r="O144" s="229" t="n"/>
      <c r="P144" s="229" t="n"/>
      <c r="Q144" s="229" t="n"/>
      <c r="R144" s="229" t="inlineStr">
        <is>
          <t>SOS</t>
        </is>
      </c>
      <c r="S144" s="229" t="n"/>
      <c r="T144" s="229" t="n"/>
      <c r="U144" s="229" t="n"/>
      <c r="V144" s="229" t="n"/>
      <c r="W144" s="229" t="n"/>
      <c r="X144" s="229" t="n"/>
      <c r="Y144" s="229" t="n"/>
      <c r="Z144" s="229" t="n"/>
      <c r="AA144" s="229" t="n"/>
      <c r="AB144" s="229" t="n"/>
      <c r="AC144" s="229" t="n"/>
      <c r="AD144" s="229" t="n"/>
      <c r="AE144" s="229" t="n"/>
      <c r="AF144" s="229" t="n"/>
      <c r="AG144" s="229" t="n"/>
      <c r="AH144" s="229" t="n"/>
      <c r="AI144" s="229" t="n"/>
      <c r="AJ144" s="229" t="n"/>
    </row>
    <row r="145" customFormat="1" s="13">
      <c r="A145" s="11" t="inlineStr">
        <is>
          <t>#</t>
        </is>
      </c>
      <c r="B145" s="230" t="n"/>
      <c r="C145" s="229" t="n"/>
      <c r="D145" s="229" t="n"/>
      <c r="E145" s="229" t="n"/>
      <c r="F145" s="229" t="n"/>
      <c r="G145" s="229" t="n"/>
      <c r="H145" s="229" t="n"/>
      <c r="I145" s="229" t="n"/>
      <c r="J145" s="229" t="inlineStr">
        <is>
          <t>LT</t>
        </is>
      </c>
      <c r="K145" s="229" t="n"/>
      <c r="L145" s="229" t="n"/>
      <c r="M145" s="229" t="n"/>
      <c r="N145" s="229" t="n"/>
      <c r="O145" s="229" t="n"/>
      <c r="P145" s="229" t="n"/>
      <c r="Q145" s="229" t="n"/>
      <c r="R145" s="229" t="inlineStr">
        <is>
          <t>SRD</t>
        </is>
      </c>
      <c r="S145" s="229" t="n"/>
      <c r="T145" s="229" t="n"/>
      <c r="U145" s="229" t="n"/>
      <c r="V145" s="229" t="n"/>
      <c r="W145" s="229" t="n"/>
      <c r="X145" s="229" t="n"/>
      <c r="Y145" s="229" t="n"/>
      <c r="Z145" s="229" t="n"/>
      <c r="AA145" s="229" t="n"/>
      <c r="AB145" s="229" t="n"/>
      <c r="AC145" s="229" t="n"/>
      <c r="AD145" s="229" t="n"/>
      <c r="AE145" s="229" t="n"/>
      <c r="AF145" s="229" t="n"/>
      <c r="AG145" s="229" t="n"/>
      <c r="AH145" s="229" t="n"/>
      <c r="AI145" s="229" t="n"/>
      <c r="AJ145" s="229" t="n"/>
    </row>
    <row r="146" customFormat="1" s="13">
      <c r="A146" s="11" t="inlineStr">
        <is>
          <t>#</t>
        </is>
      </c>
      <c r="B146" s="230" t="n"/>
      <c r="C146" s="229" t="n"/>
      <c r="D146" s="229" t="n"/>
      <c r="E146" s="229" t="n"/>
      <c r="F146" s="229" t="n"/>
      <c r="G146" s="229" t="n"/>
      <c r="H146" s="229" t="n"/>
      <c r="I146" s="229" t="n"/>
      <c r="J146" s="229" t="inlineStr">
        <is>
          <t>LU</t>
        </is>
      </c>
      <c r="K146" s="229" t="n"/>
      <c r="L146" s="229" t="n"/>
      <c r="M146" s="229" t="n"/>
      <c r="N146" s="229" t="n"/>
      <c r="O146" s="229" t="n"/>
      <c r="P146" s="229" t="n"/>
      <c r="Q146" s="229" t="n"/>
      <c r="R146" s="229" t="inlineStr">
        <is>
          <t>SSP</t>
        </is>
      </c>
      <c r="S146" s="229" t="n"/>
      <c r="T146" s="229" t="n"/>
      <c r="U146" s="229" t="n"/>
      <c r="V146" s="229" t="n"/>
      <c r="W146" s="229" t="n"/>
      <c r="X146" s="229" t="n"/>
      <c r="Y146" s="229" t="n"/>
      <c r="Z146" s="229" t="n"/>
      <c r="AA146" s="229" t="n"/>
      <c r="AB146" s="229" t="n"/>
      <c r="AC146" s="229" t="n"/>
      <c r="AD146" s="229" t="n"/>
      <c r="AE146" s="229" t="n"/>
      <c r="AF146" s="229" t="n"/>
      <c r="AG146" s="229" t="n"/>
      <c r="AH146" s="229" t="n"/>
      <c r="AI146" s="229" t="n"/>
      <c r="AJ146" s="229" t="n"/>
    </row>
    <row r="147" customFormat="1" s="13">
      <c r="A147" s="11" t="inlineStr">
        <is>
          <t>#</t>
        </is>
      </c>
      <c r="B147" s="230" t="n"/>
      <c r="C147" s="229" t="n"/>
      <c r="D147" s="229" t="n"/>
      <c r="E147" s="229" t="n"/>
      <c r="F147" s="229" t="n"/>
      <c r="G147" s="229" t="n"/>
      <c r="H147" s="229" t="n"/>
      <c r="I147" s="229" t="n"/>
      <c r="J147" s="229" t="inlineStr">
        <is>
          <t>LV</t>
        </is>
      </c>
      <c r="K147" s="229" t="n"/>
      <c r="L147" s="229" t="n"/>
      <c r="M147" s="229" t="n"/>
      <c r="N147" s="229" t="n"/>
      <c r="O147" s="229" t="n"/>
      <c r="P147" s="229" t="n"/>
      <c r="Q147" s="229" t="n"/>
      <c r="R147" s="229" t="inlineStr">
        <is>
          <t>STN</t>
        </is>
      </c>
      <c r="S147" s="229" t="n"/>
      <c r="T147" s="229" t="n"/>
      <c r="U147" s="229" t="n"/>
      <c r="V147" s="229" t="n"/>
      <c r="W147" s="229" t="n"/>
      <c r="X147" s="229" t="n"/>
      <c r="Y147" s="229" t="n"/>
      <c r="Z147" s="229" t="n"/>
      <c r="AA147" s="229" t="n"/>
      <c r="AB147" s="229" t="n"/>
      <c r="AC147" s="229" t="n"/>
      <c r="AD147" s="229" t="n"/>
      <c r="AE147" s="229" t="n"/>
      <c r="AF147" s="229" t="n"/>
      <c r="AG147" s="229" t="n"/>
      <c r="AH147" s="229" t="n"/>
      <c r="AI147" s="229" t="n"/>
      <c r="AJ147" s="229" t="n"/>
    </row>
    <row r="148" customFormat="1" s="13">
      <c r="A148" s="11" t="inlineStr">
        <is>
          <t>#</t>
        </is>
      </c>
      <c r="B148" s="230" t="n"/>
      <c r="C148" s="229" t="n"/>
      <c r="D148" s="229" t="n"/>
      <c r="E148" s="229" t="n"/>
      <c r="F148" s="229" t="n"/>
      <c r="G148" s="229" t="n"/>
      <c r="H148" s="229" t="n"/>
      <c r="I148" s="229" t="n"/>
      <c r="J148" s="229" t="inlineStr">
        <is>
          <t>LY</t>
        </is>
      </c>
      <c r="K148" s="229" t="n"/>
      <c r="L148" s="229" t="n"/>
      <c r="M148" s="229" t="n"/>
      <c r="N148" s="229" t="n"/>
      <c r="O148" s="229" t="n"/>
      <c r="P148" s="229" t="n"/>
      <c r="Q148" s="229" t="n"/>
      <c r="R148" s="229" t="inlineStr">
        <is>
          <t>SVC</t>
        </is>
      </c>
      <c r="S148" s="229" t="n"/>
      <c r="T148" s="229" t="n"/>
      <c r="U148" s="229" t="n"/>
      <c r="V148" s="229" t="n"/>
      <c r="W148" s="229" t="n"/>
      <c r="X148" s="229" t="n"/>
      <c r="Y148" s="229" t="n"/>
      <c r="Z148" s="229" t="n"/>
      <c r="AA148" s="229" t="n"/>
      <c r="AB148" s="229" t="n"/>
      <c r="AC148" s="229" t="n"/>
      <c r="AD148" s="229" t="n"/>
      <c r="AE148" s="229" t="n"/>
      <c r="AF148" s="229" t="n"/>
      <c r="AG148" s="229" t="n"/>
      <c r="AH148" s="229" t="n"/>
      <c r="AI148" s="229" t="n"/>
      <c r="AJ148" s="229" t="n"/>
    </row>
    <row r="149" customFormat="1" s="13">
      <c r="A149" s="11" t="inlineStr">
        <is>
          <t>#</t>
        </is>
      </c>
      <c r="B149" s="230" t="n"/>
      <c r="C149" s="229" t="n"/>
      <c r="D149" s="229" t="n"/>
      <c r="E149" s="229" t="n"/>
      <c r="F149" s="229" t="n"/>
      <c r="G149" s="229" t="n"/>
      <c r="H149" s="229" t="n"/>
      <c r="I149" s="229" t="n"/>
      <c r="J149" s="229" t="inlineStr">
        <is>
          <t>MA</t>
        </is>
      </c>
      <c r="K149" s="229" t="n"/>
      <c r="L149" s="229" t="n"/>
      <c r="M149" s="229" t="n"/>
      <c r="N149" s="229" t="n"/>
      <c r="O149" s="229" t="n"/>
      <c r="P149" s="229" t="n"/>
      <c r="Q149" s="229" t="n"/>
      <c r="R149" s="229" t="inlineStr">
        <is>
          <t>SYP</t>
        </is>
      </c>
      <c r="S149" s="229" t="n"/>
      <c r="T149" s="229" t="n"/>
      <c r="U149" s="229" t="n"/>
      <c r="V149" s="229" t="n"/>
      <c r="W149" s="229" t="n"/>
      <c r="X149" s="229" t="n"/>
      <c r="Y149" s="229" t="n"/>
      <c r="Z149" s="229" t="n"/>
      <c r="AA149" s="229" t="n"/>
      <c r="AB149" s="229" t="n"/>
      <c r="AC149" s="229" t="n"/>
      <c r="AD149" s="229" t="n"/>
      <c r="AE149" s="229" t="n"/>
      <c r="AF149" s="229" t="n"/>
      <c r="AG149" s="229" t="n"/>
      <c r="AH149" s="229" t="n"/>
      <c r="AI149" s="229" t="n"/>
      <c r="AJ149" s="229" t="n"/>
    </row>
    <row r="150" customFormat="1" s="13">
      <c r="A150" s="11" t="inlineStr">
        <is>
          <t>#</t>
        </is>
      </c>
      <c r="B150" s="230" t="n"/>
      <c r="C150" s="229" t="n"/>
      <c r="D150" s="229" t="n"/>
      <c r="E150" s="229" t="n"/>
      <c r="F150" s="229" t="n"/>
      <c r="G150" s="229" t="n"/>
      <c r="H150" s="229" t="n"/>
      <c r="I150" s="229" t="n"/>
      <c r="J150" s="229" t="inlineStr">
        <is>
          <t>MC</t>
        </is>
      </c>
      <c r="K150" s="229" t="n"/>
      <c r="L150" s="229" t="n"/>
      <c r="M150" s="229" t="n"/>
      <c r="N150" s="229" t="n"/>
      <c r="O150" s="229" t="n"/>
      <c r="P150" s="229" t="n"/>
      <c r="Q150" s="229" t="n"/>
      <c r="R150" s="229" t="inlineStr">
        <is>
          <t>SZL</t>
        </is>
      </c>
      <c r="S150" s="229" t="n"/>
      <c r="T150" s="229" t="n"/>
      <c r="U150" s="229" t="n"/>
      <c r="V150" s="229" t="n"/>
      <c r="W150" s="229" t="n"/>
      <c r="X150" s="229" t="n"/>
      <c r="Y150" s="229" t="n"/>
      <c r="Z150" s="229" t="n"/>
      <c r="AA150" s="229" t="n"/>
      <c r="AB150" s="229" t="n"/>
      <c r="AC150" s="229" t="n"/>
      <c r="AD150" s="229" t="n"/>
      <c r="AE150" s="229" t="n"/>
      <c r="AF150" s="229" t="n"/>
      <c r="AG150" s="229" t="n"/>
      <c r="AH150" s="229" t="n"/>
      <c r="AI150" s="229" t="n"/>
      <c r="AJ150" s="229" t="n"/>
    </row>
    <row r="151" customFormat="1" s="13">
      <c r="A151" s="11" t="inlineStr">
        <is>
          <t>#</t>
        </is>
      </c>
      <c r="B151" s="230" t="n"/>
      <c r="C151" s="229" t="n"/>
      <c r="D151" s="229" t="n"/>
      <c r="E151" s="229" t="n"/>
      <c r="F151" s="229" t="n"/>
      <c r="G151" s="229" t="n"/>
      <c r="H151" s="229" t="n"/>
      <c r="I151" s="229" t="n"/>
      <c r="J151" s="229" t="inlineStr">
        <is>
          <t>MD</t>
        </is>
      </c>
      <c r="K151" s="229" t="n"/>
      <c r="L151" s="229" t="n"/>
      <c r="M151" s="229" t="n"/>
      <c r="N151" s="229" t="n"/>
      <c r="O151" s="229" t="n"/>
      <c r="P151" s="229" t="n"/>
      <c r="Q151" s="229" t="n"/>
      <c r="R151" s="229" t="inlineStr">
        <is>
          <t>THB</t>
        </is>
      </c>
      <c r="S151" s="229" t="n"/>
      <c r="T151" s="229" t="n"/>
      <c r="U151" s="229" t="n"/>
      <c r="V151" s="229" t="n"/>
      <c r="W151" s="229" t="n"/>
      <c r="X151" s="229" t="n"/>
      <c r="Y151" s="229" t="n"/>
      <c r="Z151" s="229" t="n"/>
      <c r="AA151" s="229" t="n"/>
      <c r="AB151" s="229" t="n"/>
      <c r="AC151" s="229" t="n"/>
      <c r="AD151" s="229" t="n"/>
      <c r="AE151" s="229" t="n"/>
      <c r="AF151" s="229" t="n"/>
      <c r="AG151" s="229" t="n"/>
      <c r="AH151" s="229" t="n"/>
      <c r="AI151" s="229" t="n"/>
      <c r="AJ151" s="229" t="n"/>
    </row>
    <row r="152" customFormat="1" s="13">
      <c r="A152" s="11" t="inlineStr">
        <is>
          <t>#</t>
        </is>
      </c>
      <c r="B152" s="230" t="n"/>
      <c r="C152" s="229" t="n"/>
      <c r="D152" s="229" t="n"/>
      <c r="E152" s="229" t="n"/>
      <c r="F152" s="229" t="n"/>
      <c r="G152" s="229" t="n"/>
      <c r="H152" s="229" t="n"/>
      <c r="I152" s="229" t="n"/>
      <c r="J152" s="229" t="inlineStr">
        <is>
          <t>ME</t>
        </is>
      </c>
      <c r="K152" s="229" t="n"/>
      <c r="L152" s="229" t="n"/>
      <c r="M152" s="229" t="n"/>
      <c r="N152" s="229" t="n"/>
      <c r="O152" s="229" t="n"/>
      <c r="P152" s="229" t="n"/>
      <c r="Q152" s="229" t="n"/>
      <c r="R152" s="229" t="inlineStr">
        <is>
          <t>TJS</t>
        </is>
      </c>
      <c r="S152" s="229" t="n"/>
      <c r="T152" s="229" t="n"/>
      <c r="U152" s="229" t="n"/>
      <c r="V152" s="229" t="n"/>
      <c r="W152" s="229" t="n"/>
      <c r="X152" s="229" t="n"/>
      <c r="Y152" s="229" t="n"/>
      <c r="Z152" s="229" t="n"/>
      <c r="AA152" s="229" t="n"/>
      <c r="AB152" s="229" t="n"/>
      <c r="AC152" s="229" t="n"/>
      <c r="AD152" s="229" t="n"/>
      <c r="AE152" s="229" t="n"/>
      <c r="AF152" s="229" t="n"/>
      <c r="AG152" s="229" t="n"/>
      <c r="AH152" s="229" t="n"/>
      <c r="AI152" s="229" t="n"/>
      <c r="AJ152" s="229" t="n"/>
    </row>
    <row r="153" customFormat="1" s="13">
      <c r="A153" s="11" t="inlineStr">
        <is>
          <t>#</t>
        </is>
      </c>
      <c r="B153" s="230" t="n"/>
      <c r="C153" s="229" t="n"/>
      <c r="D153" s="229" t="n"/>
      <c r="E153" s="229" t="n"/>
      <c r="F153" s="229" t="n"/>
      <c r="G153" s="229" t="n"/>
      <c r="H153" s="229" t="n"/>
      <c r="I153" s="229" t="n"/>
      <c r="J153" s="229" t="inlineStr">
        <is>
          <t>MF</t>
        </is>
      </c>
      <c r="K153" s="229" t="n"/>
      <c r="L153" s="229" t="n"/>
      <c r="M153" s="229" t="n"/>
      <c r="N153" s="229" t="n"/>
      <c r="O153" s="229" t="n"/>
      <c r="P153" s="229" t="n"/>
      <c r="Q153" s="229" t="n"/>
      <c r="R153" s="229" t="inlineStr">
        <is>
          <t>TMT</t>
        </is>
      </c>
      <c r="S153" s="229" t="n"/>
      <c r="T153" s="229" t="n"/>
      <c r="U153" s="229" t="n"/>
      <c r="V153" s="229" t="n"/>
      <c r="W153" s="229" t="n"/>
      <c r="X153" s="229" t="n"/>
      <c r="Y153" s="229" t="n"/>
      <c r="Z153" s="229" t="n"/>
      <c r="AA153" s="229" t="n"/>
      <c r="AB153" s="229" t="n"/>
      <c r="AC153" s="229" t="n"/>
      <c r="AD153" s="229" t="n"/>
      <c r="AE153" s="229" t="n"/>
      <c r="AF153" s="229" t="n"/>
      <c r="AG153" s="229" t="n"/>
      <c r="AH153" s="229" t="n"/>
      <c r="AI153" s="229" t="n"/>
      <c r="AJ153" s="229" t="n"/>
    </row>
    <row r="154" customFormat="1" s="13">
      <c r="A154" s="11" t="inlineStr">
        <is>
          <t>#</t>
        </is>
      </c>
      <c r="B154" s="230" t="n"/>
      <c r="C154" s="229" t="n"/>
      <c r="D154" s="229" t="n"/>
      <c r="E154" s="229" t="n"/>
      <c r="F154" s="229" t="n"/>
      <c r="G154" s="229" t="n"/>
      <c r="H154" s="229" t="n"/>
      <c r="I154" s="229" t="n"/>
      <c r="J154" s="229" t="inlineStr">
        <is>
          <t>MG</t>
        </is>
      </c>
      <c r="K154" s="229" t="n"/>
      <c r="L154" s="229" t="n"/>
      <c r="M154" s="229" t="n"/>
      <c r="N154" s="229" t="n"/>
      <c r="O154" s="229" t="n"/>
      <c r="P154" s="229" t="n"/>
      <c r="Q154" s="229" t="n"/>
      <c r="R154" s="229" t="inlineStr">
        <is>
          <t>TND</t>
        </is>
      </c>
      <c r="S154" s="229" t="n"/>
      <c r="T154" s="229" t="n"/>
      <c r="U154" s="229" t="n"/>
      <c r="V154" s="229" t="n"/>
      <c r="W154" s="229" t="n"/>
      <c r="X154" s="229" t="n"/>
      <c r="Y154" s="229" t="n"/>
      <c r="Z154" s="229" t="n"/>
      <c r="AA154" s="229" t="n"/>
      <c r="AB154" s="229" t="n"/>
      <c r="AC154" s="229" t="n"/>
      <c r="AD154" s="229" t="n"/>
      <c r="AE154" s="229" t="n"/>
      <c r="AF154" s="229" t="n"/>
      <c r="AG154" s="229" t="n"/>
      <c r="AH154" s="229" t="n"/>
      <c r="AI154" s="229" t="n"/>
      <c r="AJ154" s="229" t="n"/>
    </row>
    <row r="155" customFormat="1" s="13">
      <c r="A155" s="11" t="inlineStr">
        <is>
          <t>#</t>
        </is>
      </c>
      <c r="B155" s="230" t="n"/>
      <c r="C155" s="229" t="n"/>
      <c r="D155" s="229" t="n"/>
      <c r="E155" s="229" t="n"/>
      <c r="F155" s="229" t="n"/>
      <c r="G155" s="229" t="n"/>
      <c r="H155" s="229" t="n"/>
      <c r="I155" s="229" t="n"/>
      <c r="J155" s="229" t="inlineStr">
        <is>
          <t>MH</t>
        </is>
      </c>
      <c r="K155" s="229" t="n"/>
      <c r="L155" s="229" t="n"/>
      <c r="M155" s="229" t="n"/>
      <c r="N155" s="229" t="n"/>
      <c r="O155" s="229" t="n"/>
      <c r="P155" s="229" t="n"/>
      <c r="Q155" s="229" t="n"/>
      <c r="R155" s="229" t="inlineStr">
        <is>
          <t>TOP</t>
        </is>
      </c>
      <c r="S155" s="229" t="n"/>
      <c r="T155" s="229" t="n"/>
      <c r="U155" s="229" t="n"/>
      <c r="V155" s="229" t="n"/>
      <c r="W155" s="229" t="n"/>
      <c r="X155" s="229" t="n"/>
      <c r="Y155" s="229" t="n"/>
      <c r="Z155" s="229" t="n"/>
      <c r="AA155" s="229" t="n"/>
      <c r="AB155" s="229" t="n"/>
      <c r="AC155" s="229" t="n"/>
      <c r="AD155" s="229" t="n"/>
      <c r="AE155" s="229" t="n"/>
      <c r="AF155" s="229" t="n"/>
      <c r="AG155" s="229" t="n"/>
      <c r="AH155" s="229" t="n"/>
      <c r="AI155" s="229" t="n"/>
      <c r="AJ155" s="229" t="n"/>
    </row>
    <row r="156" customFormat="1" s="13">
      <c r="A156" s="11" t="inlineStr">
        <is>
          <t>#</t>
        </is>
      </c>
      <c r="B156" s="230" t="n"/>
      <c r="C156" s="229" t="n"/>
      <c r="D156" s="229" t="n"/>
      <c r="E156" s="229" t="n"/>
      <c r="F156" s="229" t="n"/>
      <c r="G156" s="229" t="n"/>
      <c r="H156" s="229" t="n"/>
      <c r="I156" s="229" t="n"/>
      <c r="J156" s="229" t="inlineStr">
        <is>
          <t>MK</t>
        </is>
      </c>
      <c r="K156" s="229" t="n"/>
      <c r="L156" s="229" t="n"/>
      <c r="M156" s="229" t="n"/>
      <c r="N156" s="229" t="n"/>
      <c r="O156" s="229" t="n"/>
      <c r="P156" s="229" t="n"/>
      <c r="Q156" s="229" t="n"/>
      <c r="R156" s="229" t="inlineStr">
        <is>
          <t>TRY</t>
        </is>
      </c>
      <c r="S156" s="229" t="n"/>
      <c r="T156" s="229" t="n"/>
      <c r="U156" s="229" t="n"/>
      <c r="V156" s="229" t="n"/>
      <c r="W156" s="229" t="n"/>
      <c r="X156" s="229" t="n"/>
      <c r="Y156" s="229" t="n"/>
      <c r="Z156" s="229" t="n"/>
      <c r="AA156" s="229" t="n"/>
      <c r="AB156" s="229" t="n"/>
      <c r="AC156" s="229" t="n"/>
      <c r="AD156" s="229" t="n"/>
      <c r="AE156" s="229" t="n"/>
      <c r="AF156" s="229" t="n"/>
      <c r="AG156" s="229" t="n"/>
      <c r="AH156" s="229" t="n"/>
      <c r="AI156" s="229" t="n"/>
      <c r="AJ156" s="229" t="n"/>
    </row>
    <row r="157" customFormat="1" s="13">
      <c r="A157" s="11" t="inlineStr">
        <is>
          <t>#</t>
        </is>
      </c>
      <c r="B157" s="230" t="n"/>
      <c r="C157" s="229" t="n"/>
      <c r="D157" s="229" t="n"/>
      <c r="E157" s="229" t="n"/>
      <c r="F157" s="229" t="n"/>
      <c r="G157" s="229" t="n"/>
      <c r="H157" s="229" t="n"/>
      <c r="I157" s="229" t="n"/>
      <c r="J157" s="229" t="inlineStr">
        <is>
          <t>ML</t>
        </is>
      </c>
      <c r="K157" s="229" t="n"/>
      <c r="L157" s="229" t="n"/>
      <c r="M157" s="229" t="n"/>
      <c r="N157" s="229" t="n"/>
      <c r="O157" s="229" t="n"/>
      <c r="P157" s="229" t="n"/>
      <c r="Q157" s="229" t="n"/>
      <c r="R157" s="229" t="inlineStr">
        <is>
          <t>TTD</t>
        </is>
      </c>
      <c r="S157" s="229" t="n"/>
      <c r="T157" s="229" t="n"/>
      <c r="U157" s="229" t="n"/>
      <c r="V157" s="229" t="n"/>
      <c r="W157" s="229" t="n"/>
      <c r="X157" s="229" t="n"/>
      <c r="Y157" s="229" t="n"/>
      <c r="Z157" s="229" t="n"/>
      <c r="AA157" s="229" t="n"/>
      <c r="AB157" s="229" t="n"/>
      <c r="AC157" s="229" t="n"/>
      <c r="AD157" s="229" t="n"/>
      <c r="AE157" s="229" t="n"/>
      <c r="AF157" s="229" t="n"/>
      <c r="AG157" s="229" t="n"/>
      <c r="AH157" s="229" t="n"/>
      <c r="AI157" s="229" t="n"/>
      <c r="AJ157" s="229" t="n"/>
    </row>
    <row r="158" customFormat="1" s="13">
      <c r="A158" s="11" t="inlineStr">
        <is>
          <t>#</t>
        </is>
      </c>
      <c r="B158" s="230" t="n"/>
      <c r="C158" s="229" t="n"/>
      <c r="D158" s="229" t="n"/>
      <c r="E158" s="229" t="n"/>
      <c r="F158" s="229" t="n"/>
      <c r="G158" s="229" t="n"/>
      <c r="H158" s="229" t="n"/>
      <c r="I158" s="229" t="n"/>
      <c r="J158" s="229" t="inlineStr">
        <is>
          <t>MM</t>
        </is>
      </c>
      <c r="K158" s="229" t="n"/>
      <c r="L158" s="229" t="n"/>
      <c r="M158" s="229" t="n"/>
      <c r="N158" s="229" t="n"/>
      <c r="O158" s="229" t="n"/>
      <c r="P158" s="229" t="n"/>
      <c r="Q158" s="229" t="n"/>
      <c r="R158" s="229" t="inlineStr">
        <is>
          <t>TWD</t>
        </is>
      </c>
      <c r="S158" s="229" t="n"/>
      <c r="T158" s="229" t="n"/>
      <c r="U158" s="229" t="n"/>
      <c r="V158" s="229" t="n"/>
      <c r="W158" s="229" t="n"/>
      <c r="X158" s="229" t="n"/>
      <c r="Y158" s="229" t="n"/>
      <c r="Z158" s="229" t="n"/>
      <c r="AA158" s="229" t="n"/>
      <c r="AB158" s="229" t="n"/>
      <c r="AC158" s="229" t="n"/>
      <c r="AD158" s="229" t="n"/>
      <c r="AE158" s="229" t="n"/>
      <c r="AF158" s="229" t="n"/>
      <c r="AG158" s="229" t="n"/>
      <c r="AH158" s="229" t="n"/>
      <c r="AI158" s="229" t="n"/>
      <c r="AJ158" s="229" t="n"/>
    </row>
    <row r="159" customFormat="1" s="13">
      <c r="A159" s="11" t="inlineStr">
        <is>
          <t>#</t>
        </is>
      </c>
      <c r="B159" s="230" t="n"/>
      <c r="C159" s="229" t="n"/>
      <c r="D159" s="229" t="n"/>
      <c r="E159" s="229" t="n"/>
      <c r="F159" s="229" t="n"/>
      <c r="G159" s="229" t="n"/>
      <c r="H159" s="229" t="n"/>
      <c r="I159" s="229" t="n"/>
      <c r="J159" s="229" t="inlineStr">
        <is>
          <t>MN</t>
        </is>
      </c>
      <c r="K159" s="229" t="n"/>
      <c r="L159" s="229" t="n"/>
      <c r="M159" s="229" t="n"/>
      <c r="N159" s="229" t="n"/>
      <c r="O159" s="229" t="n"/>
      <c r="P159" s="229" t="n"/>
      <c r="Q159" s="229" t="n"/>
      <c r="R159" s="229" t="inlineStr">
        <is>
          <t>TZS</t>
        </is>
      </c>
      <c r="S159" s="229" t="n"/>
      <c r="T159" s="229" t="n"/>
      <c r="U159" s="229" t="n"/>
      <c r="V159" s="229" t="n"/>
      <c r="W159" s="229" t="n"/>
      <c r="X159" s="229" t="n"/>
      <c r="Y159" s="229" t="n"/>
      <c r="Z159" s="229" t="n"/>
      <c r="AA159" s="229" t="n"/>
      <c r="AB159" s="229" t="n"/>
      <c r="AC159" s="229" t="n"/>
      <c r="AD159" s="229" t="n"/>
      <c r="AE159" s="229" t="n"/>
      <c r="AF159" s="229" t="n"/>
      <c r="AG159" s="229" t="n"/>
      <c r="AH159" s="229" t="n"/>
      <c r="AI159" s="229" t="n"/>
      <c r="AJ159" s="229" t="n"/>
    </row>
    <row r="160" customFormat="1" s="13">
      <c r="A160" s="11" t="inlineStr">
        <is>
          <t>#</t>
        </is>
      </c>
      <c r="B160" s="230" t="n"/>
      <c r="C160" s="229" t="n"/>
      <c r="D160" s="229" t="n"/>
      <c r="E160" s="229" t="n"/>
      <c r="F160" s="229" t="n"/>
      <c r="G160" s="229" t="n"/>
      <c r="H160" s="229" t="n"/>
      <c r="I160" s="229" t="n"/>
      <c r="J160" s="229" t="inlineStr">
        <is>
          <t>MO</t>
        </is>
      </c>
      <c r="K160" s="229" t="n"/>
      <c r="L160" s="229" t="n"/>
      <c r="M160" s="229" t="n"/>
      <c r="N160" s="229" t="n"/>
      <c r="O160" s="229" t="n"/>
      <c r="P160" s="229" t="n"/>
      <c r="Q160" s="229" t="n"/>
      <c r="R160" s="229" t="inlineStr">
        <is>
          <t>UAH</t>
        </is>
      </c>
      <c r="S160" s="229" t="n"/>
      <c r="T160" s="229" t="n"/>
      <c r="U160" s="229" t="n"/>
      <c r="V160" s="229" t="n"/>
      <c r="W160" s="229" t="n"/>
      <c r="X160" s="229" t="n"/>
      <c r="Y160" s="229" t="n"/>
      <c r="Z160" s="229" t="n"/>
      <c r="AA160" s="229" t="n"/>
      <c r="AB160" s="229" t="n"/>
      <c r="AC160" s="229" t="n"/>
      <c r="AD160" s="229" t="n"/>
      <c r="AE160" s="229" t="n"/>
      <c r="AF160" s="229" t="n"/>
      <c r="AG160" s="229" t="n"/>
      <c r="AH160" s="229" t="n"/>
      <c r="AI160" s="229" t="n"/>
      <c r="AJ160" s="229" t="n"/>
    </row>
    <row r="161" customFormat="1" s="13">
      <c r="A161" s="11" t="inlineStr">
        <is>
          <t>#</t>
        </is>
      </c>
      <c r="B161" s="230" t="n"/>
      <c r="C161" s="229" t="n"/>
      <c r="D161" s="229" t="n"/>
      <c r="E161" s="229" t="n"/>
      <c r="F161" s="229" t="n"/>
      <c r="G161" s="229" t="n"/>
      <c r="H161" s="229" t="n"/>
      <c r="I161" s="229" t="n"/>
      <c r="J161" s="229" t="inlineStr">
        <is>
          <t>MP</t>
        </is>
      </c>
      <c r="K161" s="229" t="n"/>
      <c r="L161" s="229" t="n"/>
      <c r="M161" s="229" t="n"/>
      <c r="N161" s="229" t="n"/>
      <c r="O161" s="229" t="n"/>
      <c r="P161" s="229" t="n"/>
      <c r="Q161" s="229" t="n"/>
      <c r="R161" s="229" t="inlineStr">
        <is>
          <t>UGX</t>
        </is>
      </c>
      <c r="S161" s="229" t="n"/>
      <c r="T161" s="229" t="n"/>
      <c r="U161" s="229" t="n"/>
      <c r="V161" s="229" t="n"/>
      <c r="W161" s="229" t="n"/>
      <c r="X161" s="229" t="n"/>
      <c r="Y161" s="229" t="n"/>
      <c r="Z161" s="229" t="n"/>
      <c r="AA161" s="229" t="n"/>
      <c r="AB161" s="229" t="n"/>
      <c r="AC161" s="229" t="n"/>
      <c r="AD161" s="229" t="n"/>
      <c r="AE161" s="229" t="n"/>
      <c r="AF161" s="229" t="n"/>
      <c r="AG161" s="229" t="n"/>
      <c r="AH161" s="229" t="n"/>
      <c r="AI161" s="229" t="n"/>
      <c r="AJ161" s="229" t="n"/>
    </row>
    <row r="162" customFormat="1" s="13">
      <c r="A162" s="11" t="inlineStr">
        <is>
          <t>#</t>
        </is>
      </c>
      <c r="B162" s="230" t="n"/>
      <c r="C162" s="229" t="n"/>
      <c r="D162" s="229" t="n"/>
      <c r="E162" s="229" t="n"/>
      <c r="F162" s="229" t="n"/>
      <c r="G162" s="229" t="n"/>
      <c r="H162" s="229" t="n"/>
      <c r="I162" s="229" t="n"/>
      <c r="J162" s="229" t="inlineStr">
        <is>
          <t>MQ</t>
        </is>
      </c>
      <c r="K162" s="229" t="n"/>
      <c r="L162" s="229" t="n"/>
      <c r="M162" s="229" t="n"/>
      <c r="N162" s="229" t="n"/>
      <c r="O162" s="229" t="n"/>
      <c r="P162" s="229" t="n"/>
      <c r="Q162" s="229" t="n"/>
      <c r="R162" s="229" t="inlineStr">
        <is>
          <t>USD</t>
        </is>
      </c>
      <c r="S162" s="229" t="n"/>
      <c r="T162" s="229" t="n"/>
      <c r="U162" s="229" t="n"/>
      <c r="V162" s="229" t="n"/>
      <c r="W162" s="229" t="n"/>
      <c r="X162" s="229" t="n"/>
      <c r="Y162" s="229" t="n"/>
      <c r="Z162" s="229" t="n"/>
      <c r="AA162" s="229" t="n"/>
      <c r="AB162" s="229" t="n"/>
      <c r="AC162" s="229" t="n"/>
      <c r="AD162" s="229" t="n"/>
      <c r="AE162" s="229" t="n"/>
      <c r="AF162" s="229" t="n"/>
      <c r="AG162" s="229" t="n"/>
      <c r="AH162" s="229" t="n"/>
      <c r="AI162" s="229" t="n"/>
      <c r="AJ162" s="229" t="n"/>
    </row>
    <row r="163" customFormat="1" s="13">
      <c r="A163" s="11" t="inlineStr">
        <is>
          <t>#</t>
        </is>
      </c>
      <c r="B163" s="230" t="n"/>
      <c r="C163" s="229" t="n"/>
      <c r="D163" s="229" t="n"/>
      <c r="E163" s="229" t="n"/>
      <c r="F163" s="229" t="n"/>
      <c r="G163" s="229" t="n"/>
      <c r="H163" s="229" t="n"/>
      <c r="I163" s="229" t="n"/>
      <c r="J163" s="229" t="inlineStr">
        <is>
          <t>MR</t>
        </is>
      </c>
      <c r="K163" s="229" t="n"/>
      <c r="L163" s="229" t="n"/>
      <c r="M163" s="229" t="n"/>
      <c r="N163" s="229" t="n"/>
      <c r="O163" s="229" t="n"/>
      <c r="P163" s="229" t="n"/>
      <c r="Q163" s="229" t="n"/>
      <c r="R163" s="229" t="inlineStr">
        <is>
          <t>USN</t>
        </is>
      </c>
      <c r="S163" s="229" t="n"/>
      <c r="T163" s="229" t="n"/>
      <c r="U163" s="229" t="n"/>
      <c r="V163" s="229" t="n"/>
      <c r="W163" s="229" t="n"/>
      <c r="X163" s="229" t="n"/>
      <c r="Y163" s="229" t="n"/>
      <c r="Z163" s="229" t="n"/>
      <c r="AA163" s="229" t="n"/>
      <c r="AB163" s="229" t="n"/>
      <c r="AC163" s="229" t="n"/>
      <c r="AD163" s="229" t="n"/>
      <c r="AE163" s="229" t="n"/>
      <c r="AF163" s="229" t="n"/>
      <c r="AG163" s="229" t="n"/>
      <c r="AH163" s="229" t="n"/>
      <c r="AI163" s="229" t="n"/>
      <c r="AJ163" s="229" t="n"/>
    </row>
    <row r="164" customFormat="1" s="13">
      <c r="A164" s="11" t="inlineStr">
        <is>
          <t>#</t>
        </is>
      </c>
      <c r="B164" s="230" t="n"/>
      <c r="C164" s="229" t="n"/>
      <c r="D164" s="229" t="n"/>
      <c r="E164" s="229" t="n"/>
      <c r="F164" s="229" t="n"/>
      <c r="G164" s="229" t="n"/>
      <c r="H164" s="229" t="n"/>
      <c r="I164" s="229" t="n"/>
      <c r="J164" s="229" t="inlineStr">
        <is>
          <t>MS</t>
        </is>
      </c>
      <c r="K164" s="229" t="n"/>
      <c r="L164" s="229" t="n"/>
      <c r="M164" s="229" t="n"/>
      <c r="N164" s="229" t="n"/>
      <c r="O164" s="229" t="n"/>
      <c r="P164" s="229" t="n"/>
      <c r="Q164" s="229" t="n"/>
      <c r="R164" s="229" t="inlineStr">
        <is>
          <t>UYI</t>
        </is>
      </c>
      <c r="S164" s="229" t="n"/>
      <c r="T164" s="229" t="n"/>
      <c r="U164" s="229" t="n"/>
      <c r="V164" s="229" t="n"/>
      <c r="W164" s="229" t="n"/>
      <c r="X164" s="229" t="n"/>
      <c r="Y164" s="229" t="n"/>
      <c r="Z164" s="229" t="n"/>
      <c r="AA164" s="229" t="n"/>
      <c r="AB164" s="229" t="n"/>
      <c r="AC164" s="229" t="n"/>
      <c r="AD164" s="229" t="n"/>
      <c r="AE164" s="229" t="n"/>
      <c r="AF164" s="229" t="n"/>
      <c r="AG164" s="229" t="n"/>
      <c r="AH164" s="229" t="n"/>
      <c r="AI164" s="229" t="n"/>
      <c r="AJ164" s="229" t="n"/>
    </row>
    <row r="165" customFormat="1" s="13">
      <c r="A165" s="11" t="inlineStr">
        <is>
          <t>#</t>
        </is>
      </c>
      <c r="B165" s="230" t="n"/>
      <c r="C165" s="229" t="n"/>
      <c r="D165" s="229" t="n"/>
      <c r="E165" s="229" t="n"/>
      <c r="F165" s="229" t="n"/>
      <c r="G165" s="229" t="n"/>
      <c r="H165" s="229" t="n"/>
      <c r="I165" s="229" t="n"/>
      <c r="J165" s="229" t="inlineStr">
        <is>
          <t>MT</t>
        </is>
      </c>
      <c r="K165" s="229" t="n"/>
      <c r="L165" s="229" t="n"/>
      <c r="M165" s="229" t="n"/>
      <c r="N165" s="229" t="n"/>
      <c r="O165" s="229" t="n"/>
      <c r="P165" s="229" t="n"/>
      <c r="Q165" s="229" t="n"/>
      <c r="R165" s="229" t="inlineStr">
        <is>
          <t>UYU</t>
        </is>
      </c>
      <c r="S165" s="229" t="n"/>
      <c r="T165" s="229" t="n"/>
      <c r="U165" s="229" t="n"/>
      <c r="V165" s="229" t="n"/>
      <c r="W165" s="229" t="n"/>
      <c r="X165" s="229" t="n"/>
      <c r="Y165" s="229" t="n"/>
      <c r="Z165" s="229" t="n"/>
      <c r="AA165" s="229" t="n"/>
      <c r="AB165" s="229" t="n"/>
      <c r="AC165" s="229" t="n"/>
      <c r="AD165" s="229" t="n"/>
      <c r="AE165" s="229" t="n"/>
      <c r="AF165" s="229" t="n"/>
      <c r="AG165" s="229" t="n"/>
      <c r="AH165" s="229" t="n"/>
      <c r="AI165" s="229" t="n"/>
      <c r="AJ165" s="229" t="n"/>
    </row>
    <row r="166" customFormat="1" s="13">
      <c r="A166" s="11" t="inlineStr">
        <is>
          <t>#</t>
        </is>
      </c>
      <c r="B166" s="230" t="n"/>
      <c r="C166" s="229" t="n"/>
      <c r="D166" s="229" t="n"/>
      <c r="E166" s="229" t="n"/>
      <c r="F166" s="229" t="n"/>
      <c r="G166" s="229" t="n"/>
      <c r="H166" s="229" t="n"/>
      <c r="I166" s="229" t="n"/>
      <c r="J166" s="229" t="inlineStr">
        <is>
          <t>MU</t>
        </is>
      </c>
      <c r="K166" s="229" t="n"/>
      <c r="L166" s="229" t="n"/>
      <c r="M166" s="229" t="n"/>
      <c r="N166" s="229" t="n"/>
      <c r="O166" s="229" t="n"/>
      <c r="P166" s="229" t="n"/>
      <c r="Q166" s="229" t="n"/>
      <c r="R166" s="229" t="inlineStr">
        <is>
          <t>UYW</t>
        </is>
      </c>
      <c r="S166" s="229" t="n"/>
      <c r="T166" s="229" t="n"/>
      <c r="U166" s="229" t="n"/>
      <c r="V166" s="229" t="n"/>
      <c r="W166" s="229" t="n"/>
      <c r="X166" s="229" t="n"/>
      <c r="Y166" s="229" t="n"/>
      <c r="Z166" s="229" t="n"/>
      <c r="AA166" s="229" t="n"/>
      <c r="AB166" s="229" t="n"/>
      <c r="AC166" s="229" t="n"/>
      <c r="AD166" s="229" t="n"/>
      <c r="AE166" s="229" t="n"/>
      <c r="AF166" s="229" t="n"/>
      <c r="AG166" s="229" t="n"/>
      <c r="AH166" s="229" t="n"/>
      <c r="AI166" s="229" t="n"/>
      <c r="AJ166" s="229" t="n"/>
    </row>
    <row r="167" customFormat="1" s="13">
      <c r="A167" s="11" t="inlineStr">
        <is>
          <t>#</t>
        </is>
      </c>
      <c r="B167" s="230" t="n"/>
      <c r="C167" s="229" t="n"/>
      <c r="D167" s="229" t="n"/>
      <c r="E167" s="229" t="n"/>
      <c r="F167" s="229" t="n"/>
      <c r="G167" s="229" t="n"/>
      <c r="H167" s="229" t="n"/>
      <c r="I167" s="229" t="n"/>
      <c r="J167" s="229" t="inlineStr">
        <is>
          <t>MV</t>
        </is>
      </c>
      <c r="K167" s="229" t="n"/>
      <c r="L167" s="229" t="n"/>
      <c r="M167" s="229" t="n"/>
      <c r="N167" s="229" t="n"/>
      <c r="O167" s="229" t="n"/>
      <c r="P167" s="229" t="n"/>
      <c r="Q167" s="229" t="n"/>
      <c r="R167" s="229" t="inlineStr">
        <is>
          <t>UZS</t>
        </is>
      </c>
      <c r="S167" s="229" t="n"/>
      <c r="T167" s="229" t="n"/>
      <c r="U167" s="229" t="n"/>
      <c r="V167" s="229" t="n"/>
      <c r="W167" s="229" t="n"/>
      <c r="X167" s="229" t="n"/>
      <c r="Y167" s="229" t="n"/>
      <c r="Z167" s="229" t="n"/>
      <c r="AA167" s="229" t="n"/>
      <c r="AB167" s="229" t="n"/>
      <c r="AC167" s="229" t="n"/>
      <c r="AD167" s="229" t="n"/>
      <c r="AE167" s="229" t="n"/>
      <c r="AF167" s="229" t="n"/>
      <c r="AG167" s="229" t="n"/>
      <c r="AH167" s="229" t="n"/>
      <c r="AI167" s="229" t="n"/>
      <c r="AJ167" s="229" t="n"/>
    </row>
    <row r="168" customFormat="1" s="13">
      <c r="A168" s="11" t="inlineStr">
        <is>
          <t>#</t>
        </is>
      </c>
      <c r="B168" s="230" t="n"/>
      <c r="C168" s="229" t="n"/>
      <c r="D168" s="229" t="n"/>
      <c r="E168" s="229" t="n"/>
      <c r="F168" s="229" t="n"/>
      <c r="G168" s="229" t="n"/>
      <c r="H168" s="229" t="n"/>
      <c r="I168" s="229" t="n"/>
      <c r="J168" s="229" t="inlineStr">
        <is>
          <t>MW</t>
        </is>
      </c>
      <c r="K168" s="229" t="n"/>
      <c r="L168" s="229" t="n"/>
      <c r="M168" s="229" t="n"/>
      <c r="N168" s="229" t="n"/>
      <c r="O168" s="229" t="n"/>
      <c r="P168" s="229" t="n"/>
      <c r="Q168" s="229" t="n"/>
      <c r="R168" s="229" t="inlineStr">
        <is>
          <t>VES</t>
        </is>
      </c>
      <c r="S168" s="229" t="n"/>
      <c r="T168" s="229" t="n"/>
      <c r="U168" s="229" t="n"/>
      <c r="V168" s="229" t="n"/>
      <c r="W168" s="229" t="n"/>
      <c r="X168" s="229" t="n"/>
      <c r="Y168" s="229" t="n"/>
      <c r="Z168" s="229" t="n"/>
      <c r="AA168" s="229" t="n"/>
      <c r="AB168" s="229" t="n"/>
      <c r="AC168" s="229" t="n"/>
      <c r="AD168" s="229" t="n"/>
      <c r="AE168" s="229" t="n"/>
      <c r="AF168" s="229" t="n"/>
      <c r="AG168" s="229" t="n"/>
      <c r="AH168" s="229" t="n"/>
      <c r="AI168" s="229" t="n"/>
      <c r="AJ168" s="229" t="n"/>
    </row>
    <row r="169" customFormat="1" s="13">
      <c r="A169" s="11" t="inlineStr">
        <is>
          <t>#</t>
        </is>
      </c>
      <c r="B169" s="230" t="n"/>
      <c r="C169" s="229" t="n"/>
      <c r="D169" s="229" t="n"/>
      <c r="E169" s="229" t="n"/>
      <c r="F169" s="229" t="n"/>
      <c r="G169" s="229" t="n"/>
      <c r="H169" s="229" t="n"/>
      <c r="I169" s="229" t="n"/>
      <c r="J169" s="229" t="inlineStr">
        <is>
          <t>MX</t>
        </is>
      </c>
      <c r="K169" s="229" t="n"/>
      <c r="L169" s="229" t="n"/>
      <c r="M169" s="229" t="n"/>
      <c r="N169" s="229" t="n"/>
      <c r="O169" s="229" t="n"/>
      <c r="P169" s="229" t="n"/>
      <c r="Q169" s="229" t="n"/>
      <c r="R169" s="229" t="inlineStr">
        <is>
          <t>VND</t>
        </is>
      </c>
      <c r="S169" s="229" t="n"/>
      <c r="T169" s="229" t="n"/>
      <c r="U169" s="229" t="n"/>
      <c r="V169" s="229" t="n"/>
      <c r="W169" s="229" t="n"/>
      <c r="X169" s="229" t="n"/>
      <c r="Y169" s="229" t="n"/>
      <c r="Z169" s="229" t="n"/>
      <c r="AA169" s="229" t="n"/>
      <c r="AB169" s="229" t="n"/>
      <c r="AC169" s="229" t="n"/>
      <c r="AD169" s="229" t="n"/>
      <c r="AE169" s="229" t="n"/>
      <c r="AF169" s="229" t="n"/>
      <c r="AG169" s="229" t="n"/>
      <c r="AH169" s="229" t="n"/>
      <c r="AI169" s="229" t="n"/>
      <c r="AJ169" s="229" t="n"/>
    </row>
    <row r="170" customFormat="1" s="13">
      <c r="A170" s="11" t="inlineStr">
        <is>
          <t>#</t>
        </is>
      </c>
      <c r="B170" s="230" t="n"/>
      <c r="C170" s="229" t="n"/>
      <c r="D170" s="229" t="n"/>
      <c r="E170" s="229" t="n"/>
      <c r="F170" s="229" t="n"/>
      <c r="G170" s="229" t="n"/>
      <c r="H170" s="229" t="n"/>
      <c r="I170" s="229" t="n"/>
      <c r="J170" s="229" t="inlineStr">
        <is>
          <t>MY</t>
        </is>
      </c>
      <c r="K170" s="229" t="n"/>
      <c r="L170" s="229" t="n"/>
      <c r="M170" s="229" t="n"/>
      <c r="N170" s="229" t="n"/>
      <c r="O170" s="229" t="n"/>
      <c r="P170" s="229" t="n"/>
      <c r="Q170" s="229" t="n"/>
      <c r="R170" s="229" t="inlineStr">
        <is>
          <t>VUV</t>
        </is>
      </c>
      <c r="S170" s="229" t="n"/>
      <c r="T170" s="229" t="n"/>
      <c r="U170" s="229" t="n"/>
      <c r="V170" s="229" t="n"/>
      <c r="W170" s="229" t="n"/>
      <c r="X170" s="229" t="n"/>
      <c r="Y170" s="229" t="n"/>
      <c r="Z170" s="229" t="n"/>
      <c r="AA170" s="229" t="n"/>
      <c r="AB170" s="229" t="n"/>
      <c r="AC170" s="229" t="n"/>
      <c r="AD170" s="229" t="n"/>
      <c r="AE170" s="229" t="n"/>
      <c r="AF170" s="229" t="n"/>
      <c r="AG170" s="229" t="n"/>
      <c r="AH170" s="229" t="n"/>
      <c r="AI170" s="229" t="n"/>
      <c r="AJ170" s="229" t="n"/>
    </row>
    <row r="171" customFormat="1" s="13">
      <c r="A171" s="11" t="inlineStr">
        <is>
          <t>#</t>
        </is>
      </c>
      <c r="B171" s="230" t="n"/>
      <c r="C171" s="229" t="n"/>
      <c r="D171" s="229" t="n"/>
      <c r="E171" s="229" t="n"/>
      <c r="F171" s="229" t="n"/>
      <c r="G171" s="229" t="n"/>
      <c r="H171" s="229" t="n"/>
      <c r="I171" s="229" t="n"/>
      <c r="J171" s="229" t="inlineStr">
        <is>
          <t>MZ</t>
        </is>
      </c>
      <c r="K171" s="229" t="n"/>
      <c r="L171" s="229" t="n"/>
      <c r="M171" s="229" t="n"/>
      <c r="N171" s="229" t="n"/>
      <c r="O171" s="229" t="n"/>
      <c r="P171" s="229" t="n"/>
      <c r="Q171" s="229" t="n"/>
      <c r="R171" s="229" t="inlineStr">
        <is>
          <t>WST</t>
        </is>
      </c>
      <c r="S171" s="229" t="n"/>
      <c r="T171" s="229" t="n"/>
      <c r="U171" s="229" t="n"/>
      <c r="V171" s="229" t="n"/>
      <c r="W171" s="229" t="n"/>
      <c r="X171" s="229" t="n"/>
      <c r="Y171" s="229" t="n"/>
      <c r="Z171" s="229" t="n"/>
      <c r="AA171" s="229" t="n"/>
      <c r="AB171" s="229" t="n"/>
      <c r="AC171" s="229" t="n"/>
      <c r="AD171" s="229" t="n"/>
      <c r="AE171" s="229" t="n"/>
      <c r="AF171" s="229" t="n"/>
      <c r="AG171" s="229" t="n"/>
      <c r="AH171" s="229" t="n"/>
      <c r="AI171" s="229" t="n"/>
      <c r="AJ171" s="229" t="n"/>
    </row>
    <row r="172" customFormat="1" s="13">
      <c r="A172" s="11" t="inlineStr">
        <is>
          <t>#</t>
        </is>
      </c>
      <c r="B172" s="230" t="n"/>
      <c r="C172" s="229" t="n"/>
      <c r="D172" s="229" t="n"/>
      <c r="E172" s="229" t="n"/>
      <c r="F172" s="229" t="n"/>
      <c r="G172" s="229" t="n"/>
      <c r="H172" s="229" t="n"/>
      <c r="I172" s="229" t="n"/>
      <c r="J172" s="229" t="inlineStr">
        <is>
          <t>NA</t>
        </is>
      </c>
      <c r="K172" s="229" t="n"/>
      <c r="L172" s="229" t="n"/>
      <c r="M172" s="229" t="n"/>
      <c r="N172" s="229" t="n"/>
      <c r="O172" s="229" t="n"/>
      <c r="P172" s="229" t="n"/>
      <c r="Q172" s="229" t="n"/>
      <c r="R172" s="229" t="inlineStr">
        <is>
          <t>XAF</t>
        </is>
      </c>
      <c r="S172" s="229" t="n"/>
      <c r="T172" s="229" t="n"/>
      <c r="U172" s="229" t="n"/>
      <c r="V172" s="229" t="n"/>
      <c r="W172" s="229" t="n"/>
      <c r="X172" s="229" t="n"/>
      <c r="Y172" s="229" t="n"/>
      <c r="Z172" s="229" t="n"/>
      <c r="AA172" s="229" t="n"/>
      <c r="AB172" s="229" t="n"/>
      <c r="AC172" s="229" t="n"/>
      <c r="AD172" s="229" t="n"/>
      <c r="AE172" s="229" t="n"/>
      <c r="AF172" s="229" t="n"/>
      <c r="AG172" s="229" t="n"/>
      <c r="AH172" s="229" t="n"/>
      <c r="AI172" s="229" t="n"/>
      <c r="AJ172" s="229" t="n"/>
    </row>
    <row r="173" customFormat="1" s="13">
      <c r="A173" s="11" t="inlineStr">
        <is>
          <t>#</t>
        </is>
      </c>
      <c r="B173" s="230" t="n"/>
      <c r="C173" s="229" t="n"/>
      <c r="D173" s="229" t="n"/>
      <c r="E173" s="229" t="n"/>
      <c r="F173" s="229" t="n"/>
      <c r="G173" s="229" t="n"/>
      <c r="H173" s="229" t="n"/>
      <c r="I173" s="229" t="n"/>
      <c r="J173" s="229" t="inlineStr">
        <is>
          <t>NC</t>
        </is>
      </c>
      <c r="K173" s="229" t="n"/>
      <c r="L173" s="229" t="n"/>
      <c r="M173" s="229" t="n"/>
      <c r="N173" s="229" t="n"/>
      <c r="O173" s="229" t="n"/>
      <c r="P173" s="229" t="n"/>
      <c r="Q173" s="229" t="n"/>
      <c r="R173" s="229" t="inlineStr">
        <is>
          <t>XAG</t>
        </is>
      </c>
      <c r="S173" s="229" t="n"/>
      <c r="T173" s="229" t="n"/>
      <c r="U173" s="229" t="n"/>
      <c r="V173" s="229" t="n"/>
      <c r="W173" s="229" t="n"/>
      <c r="X173" s="229" t="n"/>
      <c r="Y173" s="229" t="n"/>
      <c r="Z173" s="229" t="n"/>
      <c r="AA173" s="229" t="n"/>
      <c r="AB173" s="229" t="n"/>
      <c r="AC173" s="229" t="n"/>
      <c r="AD173" s="229" t="n"/>
      <c r="AE173" s="229" t="n"/>
      <c r="AF173" s="229" t="n"/>
      <c r="AG173" s="229" t="n"/>
      <c r="AH173" s="229" t="n"/>
      <c r="AI173" s="229" t="n"/>
      <c r="AJ173" s="229" t="n"/>
    </row>
    <row r="174" customFormat="1" s="13">
      <c r="A174" s="11" t="inlineStr">
        <is>
          <t>#</t>
        </is>
      </c>
      <c r="B174" s="230" t="n"/>
      <c r="C174" s="229" t="n"/>
      <c r="D174" s="229" t="n"/>
      <c r="E174" s="229" t="n"/>
      <c r="F174" s="229" t="n"/>
      <c r="G174" s="229" t="n"/>
      <c r="H174" s="229" t="n"/>
      <c r="I174" s="229" t="n"/>
      <c r="J174" s="229" t="inlineStr">
        <is>
          <t>NE</t>
        </is>
      </c>
      <c r="K174" s="229" t="n"/>
      <c r="L174" s="229" t="n"/>
      <c r="M174" s="229" t="n"/>
      <c r="N174" s="229" t="n"/>
      <c r="O174" s="229" t="n"/>
      <c r="P174" s="229" t="n"/>
      <c r="Q174" s="229" t="n"/>
      <c r="R174" s="229" t="inlineStr">
        <is>
          <t>XAU</t>
        </is>
      </c>
      <c r="S174" s="229" t="n"/>
      <c r="T174" s="229" t="n"/>
      <c r="U174" s="229" t="n"/>
      <c r="V174" s="229" t="n"/>
      <c r="W174" s="229" t="n"/>
      <c r="X174" s="229" t="n"/>
      <c r="Y174" s="229" t="n"/>
      <c r="Z174" s="229" t="n"/>
      <c r="AA174" s="229" t="n"/>
      <c r="AB174" s="229" t="n"/>
      <c r="AC174" s="229" t="n"/>
      <c r="AD174" s="229" t="n"/>
      <c r="AE174" s="229" t="n"/>
      <c r="AF174" s="229" t="n"/>
      <c r="AG174" s="229" t="n"/>
      <c r="AH174" s="229" t="n"/>
      <c r="AI174" s="229" t="n"/>
      <c r="AJ174" s="229" t="n"/>
    </row>
    <row r="175" customFormat="1" s="13">
      <c r="A175" s="11" t="inlineStr">
        <is>
          <t>#</t>
        </is>
      </c>
      <c r="B175" s="230" t="n"/>
      <c r="C175" s="229" t="n"/>
      <c r="D175" s="229" t="n"/>
      <c r="E175" s="229" t="n"/>
      <c r="F175" s="229" t="n"/>
      <c r="G175" s="229" t="n"/>
      <c r="H175" s="229" t="n"/>
      <c r="I175" s="229" t="n"/>
      <c r="J175" s="229" t="inlineStr">
        <is>
          <t>NF</t>
        </is>
      </c>
      <c r="K175" s="229" t="n"/>
      <c r="L175" s="229" t="n"/>
      <c r="M175" s="229" t="n"/>
      <c r="N175" s="229" t="n"/>
      <c r="O175" s="229" t="n"/>
      <c r="P175" s="229" t="n"/>
      <c r="Q175" s="229" t="n"/>
      <c r="R175" s="229" t="inlineStr">
        <is>
          <t>XBA</t>
        </is>
      </c>
      <c r="S175" s="229" t="n"/>
      <c r="T175" s="229" t="n"/>
      <c r="U175" s="229" t="n"/>
      <c r="V175" s="229" t="n"/>
      <c r="W175" s="229" t="n"/>
      <c r="X175" s="229" t="n"/>
      <c r="Y175" s="229" t="n"/>
      <c r="Z175" s="229" t="n"/>
      <c r="AA175" s="229" t="n"/>
      <c r="AB175" s="229" t="n"/>
      <c r="AC175" s="229" t="n"/>
      <c r="AD175" s="229" t="n"/>
      <c r="AE175" s="229" t="n"/>
      <c r="AF175" s="229" t="n"/>
      <c r="AG175" s="229" t="n"/>
      <c r="AH175" s="229" t="n"/>
      <c r="AI175" s="229" t="n"/>
      <c r="AJ175" s="229" t="n"/>
    </row>
    <row r="176" customFormat="1" s="13">
      <c r="A176" s="11" t="inlineStr">
        <is>
          <t>#</t>
        </is>
      </c>
      <c r="B176" s="230" t="n"/>
      <c r="C176" s="229" t="n"/>
      <c r="D176" s="229" t="n"/>
      <c r="E176" s="229" t="n"/>
      <c r="F176" s="229" t="n"/>
      <c r="G176" s="229" t="n"/>
      <c r="H176" s="229" t="n"/>
      <c r="I176" s="229" t="n"/>
      <c r="J176" s="229" t="inlineStr">
        <is>
          <t>NG</t>
        </is>
      </c>
      <c r="K176" s="229" t="n"/>
      <c r="L176" s="229" t="n"/>
      <c r="M176" s="229" t="n"/>
      <c r="N176" s="229" t="n"/>
      <c r="O176" s="229" t="n"/>
      <c r="P176" s="229" t="n"/>
      <c r="Q176" s="229" t="n"/>
      <c r="R176" s="229" t="inlineStr">
        <is>
          <t>XBB</t>
        </is>
      </c>
      <c r="S176" s="229" t="n"/>
      <c r="T176" s="229" t="n"/>
      <c r="U176" s="229" t="n"/>
      <c r="V176" s="229" t="n"/>
      <c r="W176" s="229" t="n"/>
      <c r="X176" s="229" t="n"/>
      <c r="Y176" s="229" t="n"/>
      <c r="Z176" s="229" t="n"/>
      <c r="AA176" s="229" t="n"/>
      <c r="AB176" s="229" t="n"/>
      <c r="AC176" s="229" t="n"/>
      <c r="AD176" s="229" t="n"/>
      <c r="AE176" s="229" t="n"/>
      <c r="AF176" s="229" t="n"/>
      <c r="AG176" s="229" t="n"/>
      <c r="AH176" s="229" t="n"/>
      <c r="AI176" s="229" t="n"/>
      <c r="AJ176" s="229" t="n"/>
    </row>
    <row r="177" customFormat="1" s="13">
      <c r="A177" s="11" t="inlineStr">
        <is>
          <t>#</t>
        </is>
      </c>
      <c r="B177" s="230" t="n"/>
      <c r="C177" s="229" t="n"/>
      <c r="D177" s="229" t="n"/>
      <c r="E177" s="229" t="n"/>
      <c r="F177" s="229" t="n"/>
      <c r="G177" s="229" t="n"/>
      <c r="H177" s="229" t="n"/>
      <c r="I177" s="229" t="n"/>
      <c r="J177" s="229" t="inlineStr">
        <is>
          <t>NI</t>
        </is>
      </c>
      <c r="K177" s="229" t="n"/>
      <c r="L177" s="229" t="n"/>
      <c r="M177" s="229" t="n"/>
      <c r="N177" s="229" t="n"/>
      <c r="O177" s="229" t="n"/>
      <c r="P177" s="229" t="n"/>
      <c r="Q177" s="229" t="n"/>
      <c r="R177" s="229" t="inlineStr">
        <is>
          <t>XBC</t>
        </is>
      </c>
      <c r="S177" s="229" t="n"/>
      <c r="T177" s="229" t="n"/>
      <c r="U177" s="229" t="n"/>
      <c r="V177" s="229" t="n"/>
      <c r="W177" s="229" t="n"/>
      <c r="X177" s="229" t="n"/>
      <c r="Y177" s="229" t="n"/>
      <c r="Z177" s="229" t="n"/>
      <c r="AA177" s="229" t="n"/>
      <c r="AB177" s="229" t="n"/>
      <c r="AC177" s="229" t="n"/>
      <c r="AD177" s="229" t="n"/>
      <c r="AE177" s="229" t="n"/>
      <c r="AF177" s="229" t="n"/>
      <c r="AG177" s="229" t="n"/>
      <c r="AH177" s="229" t="n"/>
      <c r="AI177" s="229" t="n"/>
      <c r="AJ177" s="229" t="n"/>
    </row>
    <row r="178" customFormat="1" s="13">
      <c r="A178" s="11" t="inlineStr">
        <is>
          <t>#</t>
        </is>
      </c>
      <c r="B178" s="230" t="n"/>
      <c r="C178" s="229" t="n"/>
      <c r="D178" s="229" t="n"/>
      <c r="E178" s="229" t="n"/>
      <c r="F178" s="229" t="n"/>
      <c r="G178" s="229" t="n"/>
      <c r="H178" s="229" t="n"/>
      <c r="I178" s="229" t="n"/>
      <c r="J178" s="229" t="inlineStr">
        <is>
          <t>NL</t>
        </is>
      </c>
      <c r="K178" s="229" t="n"/>
      <c r="L178" s="229" t="n"/>
      <c r="M178" s="229" t="n"/>
      <c r="N178" s="229" t="n"/>
      <c r="O178" s="229" t="n"/>
      <c r="P178" s="229" t="n"/>
      <c r="Q178" s="229" t="n"/>
      <c r="R178" s="229" t="inlineStr">
        <is>
          <t>XBD</t>
        </is>
      </c>
      <c r="S178" s="229" t="n"/>
      <c r="T178" s="229" t="n"/>
      <c r="U178" s="229" t="n"/>
      <c r="V178" s="229" t="n"/>
      <c r="W178" s="229" t="n"/>
      <c r="X178" s="229" t="n"/>
      <c r="Y178" s="229" t="n"/>
      <c r="Z178" s="229" t="n"/>
      <c r="AA178" s="229" t="n"/>
      <c r="AB178" s="229" t="n"/>
      <c r="AC178" s="229" t="n"/>
      <c r="AD178" s="229" t="n"/>
      <c r="AE178" s="229" t="n"/>
      <c r="AF178" s="229" t="n"/>
      <c r="AG178" s="229" t="n"/>
      <c r="AH178" s="229" t="n"/>
      <c r="AI178" s="229" t="n"/>
      <c r="AJ178" s="229" t="n"/>
    </row>
    <row r="179" customFormat="1" s="13">
      <c r="A179" s="11" t="inlineStr">
        <is>
          <t>#</t>
        </is>
      </c>
      <c r="B179" s="230" t="n"/>
      <c r="C179" s="229" t="n"/>
      <c r="D179" s="229" t="n"/>
      <c r="E179" s="229" t="n"/>
      <c r="F179" s="229" t="n"/>
      <c r="G179" s="229" t="n"/>
      <c r="H179" s="229" t="n"/>
      <c r="I179" s="229" t="n"/>
      <c r="J179" s="229" t="inlineStr">
        <is>
          <t>NO</t>
        </is>
      </c>
      <c r="K179" s="229" t="n"/>
      <c r="L179" s="229" t="n"/>
      <c r="M179" s="229" t="n"/>
      <c r="N179" s="229" t="n"/>
      <c r="O179" s="229" t="n"/>
      <c r="P179" s="229" t="n"/>
      <c r="Q179" s="229" t="n"/>
      <c r="R179" s="229" t="inlineStr">
        <is>
          <t>XCD</t>
        </is>
      </c>
      <c r="S179" s="229" t="n"/>
      <c r="T179" s="229" t="n"/>
      <c r="U179" s="229" t="n"/>
      <c r="V179" s="229" t="n"/>
      <c r="W179" s="229" t="n"/>
      <c r="X179" s="229" t="n"/>
      <c r="Y179" s="229" t="n"/>
      <c r="Z179" s="229" t="n"/>
      <c r="AA179" s="229" t="n"/>
      <c r="AB179" s="229" t="n"/>
      <c r="AC179" s="229" t="n"/>
      <c r="AD179" s="229" t="n"/>
      <c r="AE179" s="229" t="n"/>
      <c r="AF179" s="229" t="n"/>
      <c r="AG179" s="229" t="n"/>
      <c r="AH179" s="229" t="n"/>
      <c r="AI179" s="229" t="n"/>
      <c r="AJ179" s="229" t="n"/>
    </row>
    <row r="180" customFormat="1" s="13">
      <c r="A180" s="11" t="inlineStr">
        <is>
          <t>#</t>
        </is>
      </c>
      <c r="B180" s="230" t="n"/>
      <c r="C180" s="229" t="n"/>
      <c r="D180" s="229" t="n"/>
      <c r="E180" s="229" t="n"/>
      <c r="F180" s="229" t="n"/>
      <c r="G180" s="229" t="n"/>
      <c r="H180" s="229" t="n"/>
      <c r="I180" s="229" t="n"/>
      <c r="J180" s="229" t="inlineStr">
        <is>
          <t>NP</t>
        </is>
      </c>
      <c r="K180" s="229" t="n"/>
      <c r="L180" s="229" t="n"/>
      <c r="M180" s="229" t="n"/>
      <c r="N180" s="229" t="n"/>
      <c r="O180" s="229" t="n"/>
      <c r="P180" s="229" t="n"/>
      <c r="Q180" s="229" t="n"/>
      <c r="R180" s="229" t="inlineStr">
        <is>
          <t>XDR</t>
        </is>
      </c>
      <c r="S180" s="229" t="n"/>
      <c r="T180" s="229" t="n"/>
      <c r="U180" s="229" t="n"/>
      <c r="V180" s="229" t="n"/>
      <c r="W180" s="229" t="n"/>
      <c r="X180" s="229" t="n"/>
      <c r="Y180" s="229" t="n"/>
      <c r="Z180" s="229" t="n"/>
      <c r="AA180" s="229" t="n"/>
      <c r="AB180" s="229" t="n"/>
      <c r="AC180" s="229" t="n"/>
      <c r="AD180" s="229" t="n"/>
      <c r="AE180" s="229" t="n"/>
      <c r="AF180" s="229" t="n"/>
      <c r="AG180" s="229" t="n"/>
      <c r="AH180" s="229" t="n"/>
      <c r="AI180" s="229" t="n"/>
      <c r="AJ180" s="229" t="n"/>
    </row>
    <row r="181" customFormat="1" s="13">
      <c r="A181" s="11" t="inlineStr">
        <is>
          <t>#</t>
        </is>
      </c>
      <c r="B181" s="230" t="n"/>
      <c r="C181" s="229" t="n"/>
      <c r="D181" s="229" t="n"/>
      <c r="E181" s="229" t="n"/>
      <c r="F181" s="229" t="n"/>
      <c r="G181" s="229" t="n"/>
      <c r="H181" s="229" t="n"/>
      <c r="I181" s="229" t="n"/>
      <c r="J181" s="229" t="inlineStr">
        <is>
          <t>NR</t>
        </is>
      </c>
      <c r="K181" s="229" t="n"/>
      <c r="L181" s="229" t="n"/>
      <c r="M181" s="229" t="n"/>
      <c r="N181" s="229" t="n"/>
      <c r="O181" s="229" t="n"/>
      <c r="P181" s="229" t="n"/>
      <c r="Q181" s="229" t="n"/>
      <c r="R181" s="229" t="inlineStr">
        <is>
          <t>XOF</t>
        </is>
      </c>
      <c r="S181" s="229" t="n"/>
      <c r="T181" s="229" t="n"/>
      <c r="U181" s="229" t="n"/>
      <c r="V181" s="229" t="n"/>
      <c r="W181" s="229" t="n"/>
      <c r="X181" s="229" t="n"/>
      <c r="Y181" s="229" t="n"/>
      <c r="Z181" s="229" t="n"/>
      <c r="AA181" s="229" t="n"/>
      <c r="AB181" s="229" t="n"/>
      <c r="AC181" s="229" t="n"/>
      <c r="AD181" s="229" t="n"/>
      <c r="AE181" s="229" t="n"/>
      <c r="AF181" s="229" t="n"/>
      <c r="AG181" s="229" t="n"/>
      <c r="AH181" s="229" t="n"/>
      <c r="AI181" s="229" t="n"/>
      <c r="AJ181" s="229" t="n"/>
    </row>
    <row r="182" customFormat="1" s="13">
      <c r="A182" s="11" t="inlineStr">
        <is>
          <t>#</t>
        </is>
      </c>
      <c r="B182" s="230" t="n"/>
      <c r="C182" s="229" t="n"/>
      <c r="D182" s="229" t="n"/>
      <c r="E182" s="229" t="n"/>
      <c r="F182" s="229" t="n"/>
      <c r="G182" s="229" t="n"/>
      <c r="H182" s="229" t="n"/>
      <c r="I182" s="229" t="n"/>
      <c r="J182" s="229" t="inlineStr">
        <is>
          <t>NU</t>
        </is>
      </c>
      <c r="K182" s="229" t="n"/>
      <c r="L182" s="229" t="n"/>
      <c r="M182" s="229" t="n"/>
      <c r="N182" s="229" t="n"/>
      <c r="O182" s="229" t="n"/>
      <c r="P182" s="229" t="n"/>
      <c r="Q182" s="229" t="n"/>
      <c r="R182" s="229" t="inlineStr">
        <is>
          <t>XPD</t>
        </is>
      </c>
      <c r="S182" s="229" t="n"/>
      <c r="T182" s="229" t="n"/>
      <c r="U182" s="229" t="n"/>
      <c r="V182" s="229" t="n"/>
      <c r="W182" s="229" t="n"/>
      <c r="X182" s="229" t="n"/>
      <c r="Y182" s="229" t="n"/>
      <c r="Z182" s="229" t="n"/>
      <c r="AA182" s="229" t="n"/>
      <c r="AB182" s="229" t="n"/>
      <c r="AC182" s="229" t="n"/>
      <c r="AD182" s="229" t="n"/>
      <c r="AE182" s="229" t="n"/>
      <c r="AF182" s="229" t="n"/>
      <c r="AG182" s="229" t="n"/>
      <c r="AH182" s="229" t="n"/>
      <c r="AI182" s="229" t="n"/>
      <c r="AJ182" s="229" t="n"/>
    </row>
    <row r="183" customFormat="1" s="13">
      <c r="A183" s="11" t="inlineStr">
        <is>
          <t>#</t>
        </is>
      </c>
      <c r="B183" s="230" t="n"/>
      <c r="C183" s="229" t="n"/>
      <c r="D183" s="229" t="n"/>
      <c r="E183" s="229" t="n"/>
      <c r="F183" s="229" t="n"/>
      <c r="G183" s="229" t="n"/>
      <c r="H183" s="229" t="n"/>
      <c r="I183" s="229" t="n"/>
      <c r="J183" s="229" t="inlineStr">
        <is>
          <t>NZ</t>
        </is>
      </c>
      <c r="K183" s="229" t="n"/>
      <c r="L183" s="229" t="n"/>
      <c r="M183" s="229" t="n"/>
      <c r="N183" s="229" t="n"/>
      <c r="O183" s="229" t="n"/>
      <c r="P183" s="229" t="n"/>
      <c r="Q183" s="229" t="n"/>
      <c r="R183" s="229" t="inlineStr">
        <is>
          <t>XPF</t>
        </is>
      </c>
      <c r="S183" s="229" t="n"/>
      <c r="T183" s="229" t="n"/>
      <c r="U183" s="229" t="n"/>
      <c r="V183" s="229" t="n"/>
      <c r="W183" s="229" t="n"/>
      <c r="X183" s="229" t="n"/>
      <c r="Y183" s="229" t="n"/>
      <c r="Z183" s="229" t="n"/>
      <c r="AA183" s="229" t="n"/>
      <c r="AB183" s="229" t="n"/>
      <c r="AC183" s="229" t="n"/>
      <c r="AD183" s="229" t="n"/>
      <c r="AE183" s="229" t="n"/>
      <c r="AF183" s="229" t="n"/>
      <c r="AG183" s="229" t="n"/>
      <c r="AH183" s="229" t="n"/>
      <c r="AI183" s="229" t="n"/>
      <c r="AJ183" s="229" t="n"/>
    </row>
    <row r="184" customFormat="1" s="13">
      <c r="A184" s="11" t="inlineStr">
        <is>
          <t>#</t>
        </is>
      </c>
      <c r="B184" s="230" t="n"/>
      <c r="C184" s="229" t="n"/>
      <c r="D184" s="229" t="n"/>
      <c r="E184" s="229" t="n"/>
      <c r="F184" s="229" t="n"/>
      <c r="G184" s="229" t="n"/>
      <c r="H184" s="229" t="n"/>
      <c r="I184" s="229" t="n"/>
      <c r="J184" s="229" t="inlineStr">
        <is>
          <t>OM</t>
        </is>
      </c>
      <c r="K184" s="229" t="n"/>
      <c r="L184" s="229" t="n"/>
      <c r="M184" s="229" t="n"/>
      <c r="N184" s="229" t="n"/>
      <c r="O184" s="229" t="n"/>
      <c r="P184" s="229" t="n"/>
      <c r="Q184" s="229" t="n"/>
      <c r="R184" s="229" t="inlineStr">
        <is>
          <t>XPT</t>
        </is>
      </c>
      <c r="S184" s="229" t="n"/>
      <c r="T184" s="229" t="n"/>
      <c r="U184" s="229" t="n"/>
      <c r="V184" s="229" t="n"/>
      <c r="W184" s="229" t="n"/>
      <c r="X184" s="229" t="n"/>
      <c r="Y184" s="229" t="n"/>
      <c r="Z184" s="229" t="n"/>
      <c r="AA184" s="229" t="n"/>
      <c r="AB184" s="229" t="n"/>
      <c r="AC184" s="229" t="n"/>
      <c r="AD184" s="229" t="n"/>
      <c r="AE184" s="229" t="n"/>
      <c r="AF184" s="229" t="n"/>
      <c r="AG184" s="229" t="n"/>
      <c r="AH184" s="229" t="n"/>
      <c r="AI184" s="229" t="n"/>
      <c r="AJ184" s="229" t="n"/>
    </row>
    <row r="185" customFormat="1" s="13">
      <c r="A185" s="11" t="inlineStr">
        <is>
          <t>#</t>
        </is>
      </c>
      <c r="B185" s="230" t="n"/>
      <c r="C185" s="229" t="n"/>
      <c r="D185" s="229" t="n"/>
      <c r="E185" s="229" t="n"/>
      <c r="F185" s="229" t="n"/>
      <c r="G185" s="229" t="n"/>
      <c r="H185" s="229" t="n"/>
      <c r="I185" s="229" t="n"/>
      <c r="J185" s="229" t="inlineStr">
        <is>
          <t>PA</t>
        </is>
      </c>
      <c r="K185" s="229" t="n"/>
      <c r="L185" s="229" t="n"/>
      <c r="M185" s="229" t="n"/>
      <c r="N185" s="229" t="n"/>
      <c r="O185" s="229" t="n"/>
      <c r="P185" s="229" t="n"/>
      <c r="Q185" s="229" t="n"/>
      <c r="R185" s="229" t="inlineStr">
        <is>
          <t>XSU</t>
        </is>
      </c>
      <c r="S185" s="229" t="n"/>
      <c r="T185" s="229" t="n"/>
      <c r="U185" s="229" t="n"/>
      <c r="V185" s="229" t="n"/>
      <c r="W185" s="229" t="n"/>
      <c r="X185" s="229" t="n"/>
      <c r="Y185" s="229" t="n"/>
      <c r="Z185" s="229" t="n"/>
      <c r="AA185" s="229" t="n"/>
      <c r="AB185" s="229" t="n"/>
      <c r="AC185" s="229" t="n"/>
      <c r="AD185" s="229" t="n"/>
      <c r="AE185" s="229" t="n"/>
      <c r="AF185" s="229" t="n"/>
      <c r="AG185" s="229" t="n"/>
      <c r="AH185" s="229" t="n"/>
      <c r="AI185" s="229" t="n"/>
      <c r="AJ185" s="229" t="n"/>
    </row>
    <row r="186" customFormat="1" s="13">
      <c r="A186" s="11" t="inlineStr">
        <is>
          <t>#</t>
        </is>
      </c>
      <c r="B186" s="230" t="n"/>
      <c r="C186" s="229" t="n"/>
      <c r="D186" s="229" t="n"/>
      <c r="E186" s="229" t="n"/>
      <c r="F186" s="229" t="n"/>
      <c r="G186" s="229" t="n"/>
      <c r="H186" s="229" t="n"/>
      <c r="I186" s="229" t="n"/>
      <c r="J186" s="229" t="inlineStr">
        <is>
          <t>PE</t>
        </is>
      </c>
      <c r="K186" s="229" t="n"/>
      <c r="L186" s="229" t="n"/>
      <c r="M186" s="229" t="n"/>
      <c r="N186" s="229" t="n"/>
      <c r="O186" s="229" t="n"/>
      <c r="P186" s="229" t="n"/>
      <c r="Q186" s="229" t="n"/>
      <c r="R186" s="229" t="inlineStr">
        <is>
          <t>XTS</t>
        </is>
      </c>
      <c r="S186" s="229" t="n"/>
      <c r="T186" s="229" t="n"/>
      <c r="U186" s="229" t="n"/>
      <c r="V186" s="229" t="n"/>
      <c r="W186" s="229" t="n"/>
      <c r="X186" s="229" t="n"/>
      <c r="Y186" s="229" t="n"/>
      <c r="Z186" s="229" t="n"/>
      <c r="AA186" s="229" t="n"/>
      <c r="AB186" s="229" t="n"/>
      <c r="AC186" s="229" t="n"/>
      <c r="AD186" s="229" t="n"/>
      <c r="AE186" s="229" t="n"/>
      <c r="AF186" s="229" t="n"/>
      <c r="AG186" s="229" t="n"/>
      <c r="AH186" s="229" t="n"/>
      <c r="AI186" s="229" t="n"/>
      <c r="AJ186" s="229" t="n"/>
    </row>
    <row r="187" customFormat="1" s="13">
      <c r="A187" s="11" t="inlineStr">
        <is>
          <t>#</t>
        </is>
      </c>
      <c r="B187" s="230" t="n"/>
      <c r="C187" s="229" t="n"/>
      <c r="D187" s="229" t="n"/>
      <c r="E187" s="229" t="n"/>
      <c r="F187" s="229" t="n"/>
      <c r="G187" s="229" t="n"/>
      <c r="H187" s="229" t="n"/>
      <c r="I187" s="229" t="n"/>
      <c r="J187" s="229" t="inlineStr">
        <is>
          <t>PF</t>
        </is>
      </c>
      <c r="K187" s="229" t="n"/>
      <c r="L187" s="229" t="n"/>
      <c r="M187" s="229" t="n"/>
      <c r="N187" s="229" t="n"/>
      <c r="O187" s="229" t="n"/>
      <c r="P187" s="229" t="n"/>
      <c r="Q187" s="229" t="n"/>
      <c r="R187" s="229" t="inlineStr">
        <is>
          <t>XUA</t>
        </is>
      </c>
      <c r="S187" s="229" t="n"/>
      <c r="T187" s="229" t="n"/>
      <c r="U187" s="229" t="n"/>
      <c r="V187" s="229" t="n"/>
      <c r="W187" s="229" t="n"/>
      <c r="X187" s="229" t="n"/>
      <c r="Y187" s="229" t="n"/>
      <c r="Z187" s="229" t="n"/>
      <c r="AA187" s="229" t="n"/>
      <c r="AB187" s="229" t="n"/>
      <c r="AC187" s="229" t="n"/>
      <c r="AD187" s="229" t="n"/>
      <c r="AE187" s="229" t="n"/>
      <c r="AF187" s="229" t="n"/>
      <c r="AG187" s="229" t="n"/>
      <c r="AH187" s="229" t="n"/>
      <c r="AI187" s="229" t="n"/>
      <c r="AJ187" s="229" t="n"/>
    </row>
    <row r="188" customFormat="1" s="13">
      <c r="A188" s="11" t="inlineStr">
        <is>
          <t>#</t>
        </is>
      </c>
      <c r="B188" s="230" t="n"/>
      <c r="C188" s="229" t="n"/>
      <c r="D188" s="229" t="n"/>
      <c r="E188" s="229" t="n"/>
      <c r="F188" s="229" t="n"/>
      <c r="G188" s="229" t="n"/>
      <c r="H188" s="229" t="n"/>
      <c r="I188" s="229" t="n"/>
      <c r="J188" s="229" t="inlineStr">
        <is>
          <t>PG</t>
        </is>
      </c>
      <c r="K188" s="229" t="n"/>
      <c r="L188" s="229" t="n"/>
      <c r="M188" s="229" t="n"/>
      <c r="N188" s="229" t="n"/>
      <c r="O188" s="229" t="n"/>
      <c r="P188" s="229" t="n"/>
      <c r="Q188" s="229" t="n"/>
      <c r="R188" s="229" t="inlineStr">
        <is>
          <t>XXX</t>
        </is>
      </c>
      <c r="S188" s="229" t="n"/>
      <c r="T188" s="229" t="n"/>
      <c r="U188" s="229" t="n"/>
      <c r="V188" s="229" t="n"/>
      <c r="W188" s="229" t="n"/>
      <c r="X188" s="229" t="n"/>
      <c r="Y188" s="229" t="n"/>
      <c r="Z188" s="229" t="n"/>
      <c r="AA188" s="229" t="n"/>
      <c r="AB188" s="229" t="n"/>
      <c r="AC188" s="229" t="n"/>
      <c r="AD188" s="229" t="n"/>
      <c r="AE188" s="229" t="n"/>
      <c r="AF188" s="229" t="n"/>
      <c r="AG188" s="229" t="n"/>
      <c r="AH188" s="229" t="n"/>
      <c r="AI188" s="229" t="n"/>
      <c r="AJ188" s="229" t="n"/>
    </row>
    <row r="189" customFormat="1" s="13">
      <c r="A189" s="11" t="inlineStr">
        <is>
          <t>#</t>
        </is>
      </c>
      <c r="B189" s="230" t="n"/>
      <c r="C189" s="229" t="n"/>
      <c r="D189" s="229" t="n"/>
      <c r="E189" s="229" t="n"/>
      <c r="F189" s="229" t="n"/>
      <c r="G189" s="229" t="n"/>
      <c r="H189" s="229" t="n"/>
      <c r="I189" s="229" t="n"/>
      <c r="J189" s="229" t="inlineStr">
        <is>
          <t>PH</t>
        </is>
      </c>
      <c r="K189" s="229" t="n"/>
      <c r="L189" s="229" t="n"/>
      <c r="M189" s="229" t="n"/>
      <c r="N189" s="229" t="n"/>
      <c r="O189" s="229" t="n"/>
      <c r="P189" s="229" t="n"/>
      <c r="Q189" s="229" t="n"/>
      <c r="R189" s="229" t="inlineStr">
        <is>
          <t>YER</t>
        </is>
      </c>
      <c r="S189" s="229" t="n"/>
      <c r="T189" s="229" t="n"/>
      <c r="U189" s="229" t="n"/>
      <c r="V189" s="229" t="n"/>
      <c r="W189" s="229" t="n"/>
      <c r="X189" s="229" t="n"/>
      <c r="Y189" s="229" t="n"/>
      <c r="Z189" s="229" t="n"/>
      <c r="AA189" s="229" t="n"/>
      <c r="AB189" s="229" t="n"/>
      <c r="AC189" s="229" t="n"/>
      <c r="AD189" s="229" t="n"/>
      <c r="AE189" s="229" t="n"/>
      <c r="AF189" s="229" t="n"/>
      <c r="AG189" s="229" t="n"/>
      <c r="AH189" s="229" t="n"/>
      <c r="AI189" s="229" t="n"/>
      <c r="AJ189" s="229" t="n"/>
    </row>
    <row r="190" customFormat="1" s="13">
      <c r="A190" s="11" t="inlineStr">
        <is>
          <t>#</t>
        </is>
      </c>
      <c r="B190" s="230" t="n"/>
      <c r="C190" s="229" t="n"/>
      <c r="D190" s="229" t="n"/>
      <c r="E190" s="229" t="n"/>
      <c r="F190" s="229" t="n"/>
      <c r="G190" s="229" t="n"/>
      <c r="H190" s="229" t="n"/>
      <c r="I190" s="229" t="n"/>
      <c r="J190" s="229" t="inlineStr">
        <is>
          <t>PK</t>
        </is>
      </c>
      <c r="K190" s="229" t="n"/>
      <c r="L190" s="229" t="n"/>
      <c r="M190" s="229" t="n"/>
      <c r="N190" s="229" t="n"/>
      <c r="O190" s="229" t="n"/>
      <c r="P190" s="229" t="n"/>
      <c r="Q190" s="229" t="n"/>
      <c r="R190" s="229" t="inlineStr">
        <is>
          <t>ZAR</t>
        </is>
      </c>
      <c r="S190" s="229" t="n"/>
      <c r="T190" s="229" t="n"/>
      <c r="U190" s="229" t="n"/>
      <c r="V190" s="229" t="n"/>
      <c r="W190" s="229" t="n"/>
      <c r="X190" s="229" t="n"/>
      <c r="Y190" s="229" t="n"/>
      <c r="Z190" s="229" t="n"/>
      <c r="AA190" s="229" t="n"/>
      <c r="AB190" s="229" t="n"/>
      <c r="AC190" s="229" t="n"/>
      <c r="AD190" s="229" t="n"/>
      <c r="AE190" s="229" t="n"/>
      <c r="AF190" s="229" t="n"/>
      <c r="AG190" s="229" t="n"/>
      <c r="AH190" s="229" t="n"/>
      <c r="AI190" s="229" t="n"/>
      <c r="AJ190" s="229" t="n"/>
    </row>
    <row r="191" customFormat="1" s="13">
      <c r="A191" s="11" t="inlineStr">
        <is>
          <t>#</t>
        </is>
      </c>
      <c r="B191" s="230" t="n"/>
      <c r="C191" s="229" t="n"/>
      <c r="D191" s="229" t="n"/>
      <c r="E191" s="229" t="n"/>
      <c r="F191" s="229" t="n"/>
      <c r="G191" s="229" t="n"/>
      <c r="H191" s="229" t="n"/>
      <c r="I191" s="229" t="n"/>
      <c r="J191" s="229" t="inlineStr">
        <is>
          <t>PL</t>
        </is>
      </c>
      <c r="K191" s="229" t="n"/>
      <c r="L191" s="229" t="n"/>
      <c r="M191" s="229" t="n"/>
      <c r="N191" s="229" t="n"/>
      <c r="O191" s="229" t="n"/>
      <c r="P191" s="229" t="n"/>
      <c r="Q191" s="229" t="n"/>
      <c r="R191" s="229" t="inlineStr">
        <is>
          <t>ZMW</t>
        </is>
      </c>
      <c r="S191" s="229" t="n"/>
      <c r="T191" s="229" t="n"/>
      <c r="U191" s="229" t="n"/>
      <c r="V191" s="229" t="n"/>
      <c r="W191" s="229" t="n"/>
      <c r="X191" s="229" t="n"/>
      <c r="Y191" s="229" t="n"/>
      <c r="Z191" s="229" t="n"/>
      <c r="AA191" s="229" t="n"/>
      <c r="AB191" s="229" t="n"/>
      <c r="AC191" s="229" t="n"/>
      <c r="AD191" s="229" t="n"/>
      <c r="AE191" s="229" t="n"/>
      <c r="AF191" s="229" t="n"/>
      <c r="AG191" s="229" t="n"/>
      <c r="AH191" s="229" t="n"/>
      <c r="AI191" s="229" t="n"/>
      <c r="AJ191" s="229" t="n"/>
    </row>
    <row r="192" customFormat="1" s="13">
      <c r="A192" s="11" t="inlineStr">
        <is>
          <t>#</t>
        </is>
      </c>
      <c r="B192" s="230" t="n"/>
      <c r="C192" s="229" t="n"/>
      <c r="D192" s="229" t="n"/>
      <c r="E192" s="229" t="n"/>
      <c r="F192" s="229" t="n"/>
      <c r="G192" s="229" t="n"/>
      <c r="H192" s="229" t="n"/>
      <c r="I192" s="229" t="n"/>
      <c r="J192" s="229" t="inlineStr">
        <is>
          <t>PM</t>
        </is>
      </c>
      <c r="K192" s="229" t="n"/>
      <c r="L192" s="229" t="n"/>
      <c r="M192" s="229" t="n"/>
      <c r="N192" s="229" t="n"/>
      <c r="O192" s="229" t="n"/>
      <c r="P192" s="229" t="n"/>
      <c r="Q192" s="229" t="n"/>
      <c r="R192" s="229" t="inlineStr">
        <is>
          <t>ZWL</t>
        </is>
      </c>
      <c r="S192" s="229" t="n"/>
      <c r="T192" s="229" t="n"/>
      <c r="U192" s="229" t="n"/>
      <c r="V192" s="229" t="n"/>
      <c r="W192" s="229" t="n"/>
      <c r="X192" s="229" t="n"/>
      <c r="Y192" s="229" t="n"/>
      <c r="Z192" s="229" t="n"/>
      <c r="AA192" s="229" t="n"/>
      <c r="AB192" s="229" t="n"/>
      <c r="AC192" s="229" t="n"/>
      <c r="AD192" s="229" t="n"/>
      <c r="AE192" s="229" t="n"/>
      <c r="AF192" s="229" t="n"/>
      <c r="AG192" s="229" t="n"/>
      <c r="AH192" s="229" t="n"/>
      <c r="AI192" s="229" t="n"/>
      <c r="AJ192" s="229" t="n"/>
    </row>
    <row r="193" customFormat="1" s="13">
      <c r="A193" s="11" t="inlineStr">
        <is>
          <t>#</t>
        </is>
      </c>
      <c r="B193" s="230" t="n"/>
      <c r="C193" s="229" t="n"/>
      <c r="D193" s="229" t="n"/>
      <c r="E193" s="229" t="n"/>
      <c r="F193" s="229" t="n"/>
      <c r="G193" s="229" t="n"/>
      <c r="H193" s="229" t="n"/>
      <c r="I193" s="229" t="n"/>
      <c r="J193" s="229" t="inlineStr">
        <is>
          <t>PN</t>
        </is>
      </c>
      <c r="K193" s="229" t="n"/>
      <c r="L193" s="229" t="n"/>
      <c r="M193" s="229" t="n"/>
      <c r="N193" s="229" t="n"/>
      <c r="O193" s="229" t="n"/>
      <c r="P193" s="229" t="n"/>
      <c r="Q193" s="229" t="n"/>
      <c r="R193" s="229" t="n"/>
      <c r="S193" s="229" t="n"/>
      <c r="T193" s="229" t="n"/>
      <c r="U193" s="229" t="n"/>
      <c r="V193" s="229" t="n"/>
      <c r="W193" s="229" t="n"/>
      <c r="X193" s="229" t="n"/>
      <c r="Y193" s="229" t="n"/>
      <c r="Z193" s="229" t="n"/>
      <c r="AA193" s="229" t="n"/>
      <c r="AB193" s="229" t="n"/>
      <c r="AC193" s="229" t="n"/>
      <c r="AD193" s="229" t="n"/>
      <c r="AE193" s="229" t="n"/>
      <c r="AF193" s="229" t="n"/>
      <c r="AG193" s="229" t="n"/>
      <c r="AH193" s="229" t="n"/>
      <c r="AI193" s="229" t="n"/>
      <c r="AJ193" s="229" t="n"/>
    </row>
    <row r="194" customFormat="1" s="13">
      <c r="A194" s="11" t="inlineStr">
        <is>
          <t>#</t>
        </is>
      </c>
      <c r="B194" s="230" t="n"/>
      <c r="C194" s="229" t="n"/>
      <c r="D194" s="229" t="n"/>
      <c r="E194" s="229" t="n"/>
      <c r="F194" s="229" t="n"/>
      <c r="G194" s="229" t="n"/>
      <c r="H194" s="229" t="n"/>
      <c r="I194" s="229" t="n"/>
      <c r="J194" s="229" t="inlineStr">
        <is>
          <t>PR</t>
        </is>
      </c>
      <c r="K194" s="229" t="n"/>
      <c r="L194" s="229" t="n"/>
      <c r="M194" s="229" t="n"/>
      <c r="N194" s="229" t="n"/>
      <c r="O194" s="229" t="n"/>
      <c r="P194" s="229" t="n"/>
      <c r="Q194" s="229" t="n"/>
      <c r="R194" s="229" t="n"/>
      <c r="S194" s="229" t="n"/>
      <c r="T194" s="229" t="n"/>
      <c r="U194" s="229" t="n"/>
      <c r="V194" s="229" t="n"/>
      <c r="W194" s="229" t="n"/>
      <c r="X194" s="229" t="n"/>
      <c r="Y194" s="229" t="n"/>
      <c r="Z194" s="229" t="n"/>
      <c r="AA194" s="229" t="n"/>
      <c r="AB194" s="229" t="n"/>
      <c r="AC194" s="229" t="n"/>
      <c r="AD194" s="229" t="n"/>
      <c r="AE194" s="229" t="n"/>
      <c r="AF194" s="229" t="n"/>
      <c r="AG194" s="229" t="n"/>
      <c r="AH194" s="229" t="n"/>
      <c r="AI194" s="229" t="n"/>
      <c r="AJ194" s="229" t="n"/>
    </row>
    <row r="195" customFormat="1" s="13">
      <c r="A195" s="11" t="inlineStr">
        <is>
          <t>#</t>
        </is>
      </c>
      <c r="B195" s="230" t="n"/>
      <c r="C195" s="229" t="n"/>
      <c r="D195" s="229" t="n"/>
      <c r="E195" s="229" t="n"/>
      <c r="F195" s="229" t="n"/>
      <c r="G195" s="229" t="n"/>
      <c r="H195" s="229" t="n"/>
      <c r="I195" s="229" t="n"/>
      <c r="J195" s="229" t="inlineStr">
        <is>
          <t>PS</t>
        </is>
      </c>
      <c r="K195" s="229" t="n"/>
      <c r="L195" s="229" t="n"/>
      <c r="M195" s="229" t="n"/>
      <c r="N195" s="229" t="n"/>
      <c r="O195" s="229" t="n"/>
      <c r="P195" s="229" t="n"/>
      <c r="Q195" s="229" t="n"/>
      <c r="R195" s="229" t="n"/>
      <c r="S195" s="229" t="n"/>
      <c r="T195" s="229" t="n"/>
      <c r="U195" s="229" t="n"/>
      <c r="V195" s="229" t="n"/>
      <c r="W195" s="229" t="n"/>
      <c r="X195" s="229" t="n"/>
      <c r="Y195" s="229" t="n"/>
      <c r="Z195" s="229" t="n"/>
      <c r="AA195" s="229" t="n"/>
      <c r="AB195" s="229" t="n"/>
      <c r="AC195" s="229" t="n"/>
      <c r="AD195" s="229" t="n"/>
      <c r="AE195" s="229" t="n"/>
      <c r="AF195" s="229" t="n"/>
      <c r="AG195" s="229" t="n"/>
      <c r="AH195" s="229" t="n"/>
      <c r="AI195" s="229" t="n"/>
      <c r="AJ195" s="229" t="n"/>
    </row>
    <row r="196" customFormat="1" s="13">
      <c r="A196" s="11" t="inlineStr">
        <is>
          <t>#</t>
        </is>
      </c>
      <c r="B196" s="230" t="n"/>
      <c r="C196" s="229" t="n"/>
      <c r="D196" s="229" t="n"/>
      <c r="E196" s="229" t="n"/>
      <c r="F196" s="229" t="n"/>
      <c r="G196" s="229" t="n"/>
      <c r="H196" s="229" t="n"/>
      <c r="I196" s="229" t="n"/>
      <c r="J196" s="229" t="inlineStr">
        <is>
          <t>PT</t>
        </is>
      </c>
      <c r="K196" s="229" t="n"/>
      <c r="L196" s="229" t="n"/>
      <c r="M196" s="229" t="n"/>
      <c r="N196" s="229" t="n"/>
      <c r="O196" s="229" t="n"/>
      <c r="P196" s="229" t="n"/>
      <c r="Q196" s="229" t="n"/>
      <c r="R196" s="229" t="n"/>
      <c r="S196" s="229" t="n"/>
      <c r="T196" s="229" t="n"/>
      <c r="U196" s="229" t="n"/>
      <c r="V196" s="229" t="n"/>
      <c r="W196" s="229" t="n"/>
      <c r="X196" s="229" t="n"/>
      <c r="Y196" s="229" t="n"/>
      <c r="Z196" s="229" t="n"/>
      <c r="AA196" s="229" t="n"/>
      <c r="AB196" s="229" t="n"/>
      <c r="AC196" s="229" t="n"/>
      <c r="AD196" s="229" t="n"/>
      <c r="AE196" s="229" t="n"/>
      <c r="AF196" s="229" t="n"/>
      <c r="AG196" s="229" t="n"/>
      <c r="AH196" s="229" t="n"/>
      <c r="AI196" s="229" t="n"/>
      <c r="AJ196" s="229" t="n"/>
    </row>
    <row r="197" customFormat="1" s="13">
      <c r="A197" s="11" t="inlineStr">
        <is>
          <t>#</t>
        </is>
      </c>
      <c r="B197" s="230" t="n"/>
      <c r="C197" s="229" t="n"/>
      <c r="D197" s="229" t="n"/>
      <c r="E197" s="229" t="n"/>
      <c r="F197" s="229" t="n"/>
      <c r="G197" s="229" t="n"/>
      <c r="H197" s="229" t="n"/>
      <c r="I197" s="229" t="n"/>
      <c r="J197" s="229" t="inlineStr">
        <is>
          <t>PW</t>
        </is>
      </c>
      <c r="K197" s="229" t="n"/>
      <c r="L197" s="229" t="n"/>
      <c r="M197" s="229" t="n"/>
      <c r="N197" s="229" t="n"/>
      <c r="O197" s="229" t="n"/>
      <c r="P197" s="229" t="n"/>
      <c r="Q197" s="229" t="n"/>
      <c r="R197" s="229" t="n"/>
      <c r="S197" s="229" t="n"/>
      <c r="T197" s="229" t="n"/>
      <c r="U197" s="229" t="n"/>
      <c r="V197" s="229" t="n"/>
      <c r="W197" s="229" t="n"/>
      <c r="X197" s="229" t="n"/>
      <c r="Y197" s="229" t="n"/>
      <c r="Z197" s="229" t="n"/>
      <c r="AA197" s="229" t="n"/>
      <c r="AB197" s="229" t="n"/>
      <c r="AC197" s="229" t="n"/>
      <c r="AD197" s="229" t="n"/>
      <c r="AE197" s="229" t="n"/>
      <c r="AF197" s="229" t="n"/>
      <c r="AG197" s="229" t="n"/>
      <c r="AH197" s="229" t="n"/>
      <c r="AI197" s="229" t="n"/>
      <c r="AJ197" s="229" t="n"/>
    </row>
    <row r="198" customFormat="1" s="13">
      <c r="A198" s="11" t="inlineStr">
        <is>
          <t>#</t>
        </is>
      </c>
      <c r="B198" s="230" t="n"/>
      <c r="C198" s="229" t="n"/>
      <c r="D198" s="229" t="n"/>
      <c r="E198" s="229" t="n"/>
      <c r="F198" s="229" t="n"/>
      <c r="G198" s="229" t="n"/>
      <c r="H198" s="229" t="n"/>
      <c r="I198" s="229" t="n"/>
      <c r="J198" s="229" t="inlineStr">
        <is>
          <t>PY</t>
        </is>
      </c>
      <c r="K198" s="229" t="n"/>
      <c r="L198" s="229" t="n"/>
      <c r="M198" s="229" t="n"/>
      <c r="N198" s="229" t="n"/>
      <c r="O198" s="229" t="n"/>
      <c r="P198" s="229" t="n"/>
      <c r="Q198" s="229" t="n"/>
      <c r="R198" s="229" t="n"/>
      <c r="S198" s="229" t="n"/>
      <c r="T198" s="229" t="n"/>
      <c r="U198" s="229" t="n"/>
      <c r="V198" s="229" t="n"/>
      <c r="W198" s="229" t="n"/>
      <c r="X198" s="229" t="n"/>
      <c r="Y198" s="229" t="n"/>
      <c r="Z198" s="229" t="n"/>
      <c r="AA198" s="229" t="n"/>
      <c r="AB198" s="229" t="n"/>
      <c r="AC198" s="229" t="n"/>
      <c r="AD198" s="229" t="n"/>
      <c r="AE198" s="229" t="n"/>
      <c r="AF198" s="229" t="n"/>
      <c r="AG198" s="229" t="n"/>
      <c r="AH198" s="229" t="n"/>
      <c r="AI198" s="229" t="n"/>
      <c r="AJ198" s="229" t="n"/>
    </row>
    <row r="199" customFormat="1" s="13">
      <c r="A199" s="11" t="inlineStr">
        <is>
          <t>#</t>
        </is>
      </c>
      <c r="B199" s="230" t="n"/>
      <c r="C199" s="229" t="n"/>
      <c r="D199" s="229" t="n"/>
      <c r="E199" s="229" t="n"/>
      <c r="F199" s="229" t="n"/>
      <c r="G199" s="229" t="n"/>
      <c r="H199" s="229" t="n"/>
      <c r="I199" s="229" t="n"/>
      <c r="J199" s="229" t="inlineStr">
        <is>
          <t>QA</t>
        </is>
      </c>
      <c r="K199" s="229" t="n"/>
      <c r="L199" s="229" t="n"/>
      <c r="M199" s="229" t="n"/>
      <c r="N199" s="229" t="n"/>
      <c r="O199" s="229" t="n"/>
      <c r="P199" s="229" t="n"/>
      <c r="Q199" s="229" t="n"/>
      <c r="R199" s="229" t="n"/>
      <c r="S199" s="229" t="n"/>
      <c r="T199" s="229" t="n"/>
      <c r="U199" s="229" t="n"/>
      <c r="V199" s="229" t="n"/>
      <c r="W199" s="229" t="n"/>
      <c r="X199" s="229" t="n"/>
      <c r="Y199" s="229" t="n"/>
      <c r="Z199" s="229" t="n"/>
      <c r="AA199" s="229" t="n"/>
      <c r="AB199" s="229" t="n"/>
      <c r="AC199" s="229" t="n"/>
      <c r="AD199" s="229" t="n"/>
      <c r="AE199" s="229" t="n"/>
      <c r="AF199" s="229" t="n"/>
      <c r="AG199" s="229" t="n"/>
      <c r="AH199" s="229" t="n"/>
      <c r="AI199" s="229" t="n"/>
      <c r="AJ199" s="229" t="n"/>
    </row>
    <row r="200" customFormat="1" s="13">
      <c r="A200" s="11" t="inlineStr">
        <is>
          <t>#</t>
        </is>
      </c>
      <c r="B200" s="230" t="n"/>
      <c r="C200" s="229" t="n"/>
      <c r="D200" s="229" t="n"/>
      <c r="E200" s="229" t="n"/>
      <c r="F200" s="229" t="n"/>
      <c r="G200" s="229" t="n"/>
      <c r="H200" s="229" t="n"/>
      <c r="I200" s="229" t="n"/>
      <c r="J200" s="229" t="inlineStr">
        <is>
          <t>RE</t>
        </is>
      </c>
      <c r="K200" s="229" t="n"/>
      <c r="L200" s="229" t="n"/>
      <c r="M200" s="229" t="n"/>
      <c r="N200" s="229" t="n"/>
      <c r="O200" s="229" t="n"/>
      <c r="P200" s="229" t="n"/>
      <c r="Q200" s="229" t="n"/>
      <c r="R200" s="229" t="n"/>
      <c r="S200" s="229" t="n"/>
      <c r="T200" s="229" t="n"/>
      <c r="U200" s="229" t="n"/>
      <c r="V200" s="229" t="n"/>
      <c r="W200" s="229" t="n"/>
      <c r="X200" s="229" t="n"/>
      <c r="Y200" s="229" t="n"/>
      <c r="Z200" s="229" t="n"/>
      <c r="AA200" s="229" t="n"/>
      <c r="AB200" s="229" t="n"/>
      <c r="AC200" s="229" t="n"/>
      <c r="AD200" s="229" t="n"/>
      <c r="AE200" s="229" t="n"/>
      <c r="AF200" s="229" t="n"/>
      <c r="AG200" s="229" t="n"/>
      <c r="AH200" s="229" t="n"/>
      <c r="AI200" s="229" t="n"/>
      <c r="AJ200" s="229" t="n"/>
    </row>
    <row r="201" customFormat="1" s="13">
      <c r="A201" s="11" t="inlineStr">
        <is>
          <t>#</t>
        </is>
      </c>
      <c r="B201" s="230" t="n"/>
      <c r="C201" s="229" t="n"/>
      <c r="D201" s="229" t="n"/>
      <c r="E201" s="229" t="n"/>
      <c r="F201" s="229" t="n"/>
      <c r="G201" s="229" t="n"/>
      <c r="H201" s="229" t="n"/>
      <c r="I201" s="229" t="n"/>
      <c r="J201" s="229" t="inlineStr">
        <is>
          <t>RO</t>
        </is>
      </c>
      <c r="K201" s="229" t="n"/>
      <c r="L201" s="229" t="n"/>
      <c r="M201" s="229" t="n"/>
      <c r="N201" s="229" t="n"/>
      <c r="O201" s="229" t="n"/>
      <c r="P201" s="229" t="n"/>
      <c r="Q201" s="229" t="n"/>
      <c r="R201" s="229" t="n"/>
      <c r="S201" s="229" t="n"/>
      <c r="T201" s="229" t="n"/>
      <c r="U201" s="229" t="n"/>
      <c r="V201" s="229" t="n"/>
      <c r="W201" s="229" t="n"/>
      <c r="X201" s="229" t="n"/>
      <c r="Y201" s="229" t="n"/>
      <c r="Z201" s="229" t="n"/>
      <c r="AA201" s="229" t="n"/>
      <c r="AB201" s="229" t="n"/>
      <c r="AC201" s="229" t="n"/>
      <c r="AD201" s="229" t="n"/>
      <c r="AE201" s="229" t="n"/>
      <c r="AF201" s="229" t="n"/>
      <c r="AG201" s="229" t="n"/>
      <c r="AH201" s="229" t="n"/>
      <c r="AI201" s="229" t="n"/>
      <c r="AJ201" s="229" t="n"/>
    </row>
    <row r="202" customFormat="1" s="13">
      <c r="A202" s="11" t="inlineStr">
        <is>
          <t>#</t>
        </is>
      </c>
      <c r="B202" s="230" t="n"/>
      <c r="C202" s="229" t="n"/>
      <c r="D202" s="229" t="n"/>
      <c r="E202" s="229" t="n"/>
      <c r="F202" s="229" t="n"/>
      <c r="G202" s="229" t="n"/>
      <c r="H202" s="229" t="n"/>
      <c r="I202" s="229" t="n"/>
      <c r="J202" s="229" t="inlineStr">
        <is>
          <t>RS</t>
        </is>
      </c>
      <c r="K202" s="229" t="n"/>
      <c r="L202" s="229" t="n"/>
      <c r="M202" s="229" t="n"/>
      <c r="N202" s="229" t="n"/>
      <c r="O202" s="229" t="n"/>
      <c r="P202" s="229" t="n"/>
      <c r="Q202" s="229" t="n"/>
      <c r="R202" s="229" t="n"/>
      <c r="S202" s="229" t="n"/>
      <c r="T202" s="229" t="n"/>
      <c r="U202" s="229" t="n"/>
      <c r="V202" s="229" t="n"/>
      <c r="W202" s="229" t="n"/>
      <c r="X202" s="229" t="n"/>
      <c r="Y202" s="229" t="n"/>
      <c r="Z202" s="229" t="n"/>
      <c r="AA202" s="229" t="n"/>
      <c r="AB202" s="229" t="n"/>
      <c r="AC202" s="229" t="n"/>
      <c r="AD202" s="229" t="n"/>
      <c r="AE202" s="229" t="n"/>
      <c r="AF202" s="229" t="n"/>
      <c r="AG202" s="229" t="n"/>
      <c r="AH202" s="229" t="n"/>
      <c r="AI202" s="229" t="n"/>
      <c r="AJ202" s="229" t="n"/>
    </row>
    <row r="203" customFormat="1" s="13">
      <c r="A203" s="11" t="inlineStr">
        <is>
          <t>#</t>
        </is>
      </c>
      <c r="B203" s="230" t="n"/>
      <c r="C203" s="229" t="n"/>
      <c r="D203" s="229" t="n"/>
      <c r="E203" s="229" t="n"/>
      <c r="F203" s="229" t="n"/>
      <c r="G203" s="229" t="n"/>
      <c r="H203" s="229" t="n"/>
      <c r="I203" s="229" t="n"/>
      <c r="J203" s="229" t="inlineStr">
        <is>
          <t>RU</t>
        </is>
      </c>
      <c r="K203" s="229" t="n"/>
      <c r="L203" s="229" t="n"/>
      <c r="M203" s="229" t="n"/>
      <c r="N203" s="229" t="n"/>
      <c r="O203" s="229" t="n"/>
      <c r="P203" s="229" t="n"/>
      <c r="Q203" s="229" t="n"/>
      <c r="R203" s="229" t="n"/>
      <c r="S203" s="229" t="n"/>
      <c r="T203" s="229" t="n"/>
      <c r="U203" s="229" t="n"/>
      <c r="V203" s="229" t="n"/>
      <c r="W203" s="229" t="n"/>
      <c r="X203" s="229" t="n"/>
      <c r="Y203" s="229" t="n"/>
      <c r="Z203" s="229" t="n"/>
      <c r="AA203" s="229" t="n"/>
      <c r="AB203" s="229" t="n"/>
      <c r="AC203" s="229" t="n"/>
      <c r="AD203" s="229" t="n"/>
      <c r="AE203" s="229" t="n"/>
      <c r="AF203" s="229" t="n"/>
      <c r="AG203" s="229" t="n"/>
      <c r="AH203" s="229" t="n"/>
      <c r="AI203" s="229" t="n"/>
      <c r="AJ203" s="229" t="n"/>
    </row>
    <row r="204" customFormat="1" s="13">
      <c r="A204" s="11" t="inlineStr">
        <is>
          <t>#</t>
        </is>
      </c>
      <c r="B204" s="230" t="n"/>
      <c r="C204" s="229" t="n"/>
      <c r="D204" s="229" t="n"/>
      <c r="E204" s="229" t="n"/>
      <c r="F204" s="229" t="n"/>
      <c r="G204" s="229" t="n"/>
      <c r="H204" s="229" t="n"/>
      <c r="I204" s="229" t="n"/>
      <c r="J204" s="229" t="inlineStr">
        <is>
          <t>RW</t>
        </is>
      </c>
      <c r="K204" s="229" t="n"/>
      <c r="L204" s="229" t="n"/>
      <c r="M204" s="229" t="n"/>
      <c r="N204" s="229" t="n"/>
      <c r="O204" s="229" t="n"/>
      <c r="P204" s="229" t="n"/>
      <c r="Q204" s="229" t="n"/>
      <c r="R204" s="229" t="n"/>
      <c r="S204" s="229" t="n"/>
      <c r="T204" s="229" t="n"/>
      <c r="U204" s="229" t="n"/>
      <c r="V204" s="229" t="n"/>
      <c r="W204" s="229" t="n"/>
      <c r="X204" s="229" t="n"/>
      <c r="Y204" s="229" t="n"/>
      <c r="Z204" s="229" t="n"/>
      <c r="AA204" s="229" t="n"/>
      <c r="AB204" s="229" t="n"/>
      <c r="AC204" s="229" t="n"/>
      <c r="AD204" s="229" t="n"/>
      <c r="AE204" s="229" t="n"/>
      <c r="AF204" s="229" t="n"/>
      <c r="AG204" s="229" t="n"/>
      <c r="AH204" s="229" t="n"/>
      <c r="AI204" s="229" t="n"/>
      <c r="AJ204" s="229" t="n"/>
    </row>
    <row r="205" customFormat="1" s="13">
      <c r="A205" s="11" t="inlineStr">
        <is>
          <t>#</t>
        </is>
      </c>
      <c r="B205" s="230" t="n"/>
      <c r="C205" s="229" t="n"/>
      <c r="D205" s="229" t="n"/>
      <c r="E205" s="229" t="n"/>
      <c r="F205" s="229" t="n"/>
      <c r="G205" s="229" t="n"/>
      <c r="H205" s="229" t="n"/>
      <c r="I205" s="229" t="n"/>
      <c r="J205" s="229" t="inlineStr">
        <is>
          <t>SA</t>
        </is>
      </c>
      <c r="K205" s="229" t="n"/>
      <c r="L205" s="229" t="n"/>
      <c r="M205" s="229" t="n"/>
      <c r="N205" s="229" t="n"/>
      <c r="O205" s="229" t="n"/>
      <c r="P205" s="229" t="n"/>
      <c r="Q205" s="229" t="n"/>
      <c r="R205" s="229" t="n"/>
      <c r="S205" s="229" t="n"/>
      <c r="T205" s="229" t="n"/>
      <c r="U205" s="229" t="n"/>
      <c r="V205" s="229" t="n"/>
      <c r="W205" s="229" t="n"/>
      <c r="X205" s="229" t="n"/>
      <c r="Y205" s="229" t="n"/>
      <c r="Z205" s="229" t="n"/>
      <c r="AA205" s="229" t="n"/>
      <c r="AB205" s="229" t="n"/>
      <c r="AC205" s="229" t="n"/>
      <c r="AD205" s="229" t="n"/>
      <c r="AE205" s="229" t="n"/>
      <c r="AF205" s="229" t="n"/>
      <c r="AG205" s="229" t="n"/>
      <c r="AH205" s="229" t="n"/>
      <c r="AI205" s="229" t="n"/>
      <c r="AJ205" s="229" t="n"/>
    </row>
    <row r="206" customFormat="1" s="13">
      <c r="A206" s="11" t="inlineStr">
        <is>
          <t>#</t>
        </is>
      </c>
      <c r="B206" s="230" t="n"/>
      <c r="C206" s="229" t="n"/>
      <c r="D206" s="229" t="n"/>
      <c r="E206" s="229" t="n"/>
      <c r="F206" s="229" t="n"/>
      <c r="G206" s="229" t="n"/>
      <c r="H206" s="229" t="n"/>
      <c r="I206" s="229" t="n"/>
      <c r="J206" s="229" t="inlineStr">
        <is>
          <t>SB</t>
        </is>
      </c>
      <c r="K206" s="229" t="n"/>
      <c r="L206" s="229" t="n"/>
      <c r="M206" s="229" t="n"/>
      <c r="N206" s="229" t="n"/>
      <c r="O206" s="229" t="n"/>
      <c r="P206" s="229" t="n"/>
      <c r="Q206" s="229" t="n"/>
      <c r="R206" s="229" t="n"/>
      <c r="S206" s="229" t="n"/>
      <c r="T206" s="229" t="n"/>
      <c r="U206" s="229" t="n"/>
      <c r="V206" s="229" t="n"/>
      <c r="W206" s="229" t="n"/>
      <c r="X206" s="229" t="n"/>
      <c r="Y206" s="229" t="n"/>
      <c r="Z206" s="229" t="n"/>
      <c r="AA206" s="229" t="n"/>
      <c r="AB206" s="229" t="n"/>
      <c r="AC206" s="229" t="n"/>
      <c r="AD206" s="229" t="n"/>
      <c r="AE206" s="229" t="n"/>
      <c r="AF206" s="229" t="n"/>
      <c r="AG206" s="229" t="n"/>
      <c r="AH206" s="229" t="n"/>
      <c r="AI206" s="229" t="n"/>
      <c r="AJ206" s="229" t="n"/>
    </row>
    <row r="207" customFormat="1" s="13">
      <c r="A207" s="11" t="inlineStr">
        <is>
          <t>#</t>
        </is>
      </c>
      <c r="B207" s="230" t="n"/>
      <c r="C207" s="229" t="n"/>
      <c r="D207" s="229" t="n"/>
      <c r="E207" s="229" t="n"/>
      <c r="F207" s="229" t="n"/>
      <c r="G207" s="229" t="n"/>
      <c r="H207" s="229" t="n"/>
      <c r="I207" s="229" t="n"/>
      <c r="J207" s="229" t="inlineStr">
        <is>
          <t>SC</t>
        </is>
      </c>
      <c r="K207" s="229" t="n"/>
      <c r="L207" s="229" t="n"/>
      <c r="M207" s="229" t="n"/>
      <c r="N207" s="229" t="n"/>
      <c r="O207" s="229" t="n"/>
      <c r="P207" s="229" t="n"/>
      <c r="Q207" s="229" t="n"/>
      <c r="R207" s="229" t="n"/>
      <c r="S207" s="229" t="n"/>
      <c r="T207" s="229" t="n"/>
      <c r="U207" s="229" t="n"/>
      <c r="V207" s="229" t="n"/>
      <c r="W207" s="229" t="n"/>
      <c r="X207" s="229" t="n"/>
      <c r="Y207" s="229" t="n"/>
      <c r="Z207" s="229" t="n"/>
      <c r="AA207" s="229" t="n"/>
      <c r="AB207" s="229" t="n"/>
      <c r="AC207" s="229" t="n"/>
      <c r="AD207" s="229" t="n"/>
      <c r="AE207" s="229" t="n"/>
      <c r="AF207" s="229" t="n"/>
      <c r="AG207" s="229" t="n"/>
      <c r="AH207" s="229" t="n"/>
      <c r="AI207" s="229" t="n"/>
      <c r="AJ207" s="229" t="n"/>
    </row>
    <row r="208" customFormat="1" s="13">
      <c r="A208" s="11" t="inlineStr">
        <is>
          <t>#</t>
        </is>
      </c>
      <c r="B208" s="230" t="n"/>
      <c r="C208" s="229" t="n"/>
      <c r="D208" s="229" t="n"/>
      <c r="E208" s="229" t="n"/>
      <c r="F208" s="229" t="n"/>
      <c r="G208" s="229" t="n"/>
      <c r="H208" s="229" t="n"/>
      <c r="I208" s="229" t="n"/>
      <c r="J208" s="229" t="inlineStr">
        <is>
          <t>SD</t>
        </is>
      </c>
      <c r="K208" s="229" t="n"/>
      <c r="L208" s="229" t="n"/>
      <c r="M208" s="229" t="n"/>
      <c r="N208" s="229" t="n"/>
      <c r="O208" s="229" t="n"/>
      <c r="P208" s="229" t="n"/>
      <c r="Q208" s="229" t="n"/>
      <c r="R208" s="229" t="n"/>
      <c r="S208" s="229" t="n"/>
      <c r="T208" s="229" t="n"/>
      <c r="U208" s="229" t="n"/>
      <c r="V208" s="229" t="n"/>
      <c r="W208" s="229" t="n"/>
      <c r="X208" s="229" t="n"/>
      <c r="Y208" s="229" t="n"/>
      <c r="Z208" s="229" t="n"/>
      <c r="AA208" s="229" t="n"/>
      <c r="AB208" s="229" t="n"/>
      <c r="AC208" s="229" t="n"/>
      <c r="AD208" s="229" t="n"/>
      <c r="AE208" s="229" t="n"/>
      <c r="AF208" s="229" t="n"/>
      <c r="AG208" s="229" t="n"/>
      <c r="AH208" s="229" t="n"/>
      <c r="AI208" s="229" t="n"/>
      <c r="AJ208" s="229" t="n"/>
    </row>
    <row r="209" customFormat="1" s="13">
      <c r="A209" s="11" t="inlineStr">
        <is>
          <t>#</t>
        </is>
      </c>
      <c r="B209" s="230" t="n"/>
      <c r="C209" s="229" t="n"/>
      <c r="D209" s="229" t="n"/>
      <c r="E209" s="229" t="n"/>
      <c r="F209" s="229" t="n"/>
      <c r="G209" s="229" t="n"/>
      <c r="H209" s="229" t="n"/>
      <c r="I209" s="229" t="n"/>
      <c r="J209" s="229" t="inlineStr">
        <is>
          <t>SE</t>
        </is>
      </c>
      <c r="K209" s="229" t="n"/>
      <c r="L209" s="229" t="n"/>
      <c r="M209" s="229" t="n"/>
      <c r="N209" s="229" t="n"/>
      <c r="O209" s="229" t="n"/>
      <c r="P209" s="229" t="n"/>
      <c r="Q209" s="229" t="n"/>
      <c r="R209" s="229" t="n"/>
      <c r="S209" s="229" t="n"/>
      <c r="T209" s="229" t="n"/>
      <c r="U209" s="229" t="n"/>
      <c r="V209" s="229" t="n"/>
      <c r="W209" s="229" t="n"/>
      <c r="X209" s="229" t="n"/>
      <c r="Y209" s="229" t="n"/>
      <c r="Z209" s="229" t="n"/>
      <c r="AA209" s="229" t="n"/>
      <c r="AB209" s="229" t="n"/>
      <c r="AC209" s="229" t="n"/>
      <c r="AD209" s="229" t="n"/>
      <c r="AE209" s="229" t="n"/>
      <c r="AF209" s="229" t="n"/>
      <c r="AG209" s="229" t="n"/>
      <c r="AH209" s="229" t="n"/>
      <c r="AI209" s="229" t="n"/>
      <c r="AJ209" s="229" t="n"/>
    </row>
    <row r="210" customFormat="1" s="13">
      <c r="A210" s="11" t="inlineStr">
        <is>
          <t>#</t>
        </is>
      </c>
      <c r="B210" s="230" t="n"/>
      <c r="C210" s="229" t="n"/>
      <c r="D210" s="229" t="n"/>
      <c r="E210" s="229" t="n"/>
      <c r="F210" s="229" t="n"/>
      <c r="G210" s="229" t="n"/>
      <c r="H210" s="229" t="n"/>
      <c r="I210" s="229" t="n"/>
      <c r="J210" s="229" t="inlineStr">
        <is>
          <t>SG</t>
        </is>
      </c>
      <c r="K210" s="229" t="n"/>
      <c r="L210" s="229" t="n"/>
      <c r="M210" s="229" t="n"/>
      <c r="N210" s="229" t="n"/>
      <c r="O210" s="229" t="n"/>
      <c r="P210" s="229" t="n"/>
      <c r="Q210" s="229" t="n"/>
      <c r="R210" s="229" t="n"/>
      <c r="S210" s="229" t="n"/>
      <c r="T210" s="229" t="n"/>
      <c r="U210" s="229" t="n"/>
      <c r="V210" s="229" t="n"/>
      <c r="W210" s="229" t="n"/>
      <c r="X210" s="229" t="n"/>
      <c r="Y210" s="229" t="n"/>
      <c r="Z210" s="229" t="n"/>
      <c r="AA210" s="229" t="n"/>
      <c r="AB210" s="229" t="n"/>
      <c r="AC210" s="229" t="n"/>
      <c r="AD210" s="229" t="n"/>
      <c r="AE210" s="229" t="n"/>
      <c r="AF210" s="229" t="n"/>
      <c r="AG210" s="229" t="n"/>
      <c r="AH210" s="229" t="n"/>
      <c r="AI210" s="229" t="n"/>
      <c r="AJ210" s="229" t="n"/>
    </row>
    <row r="211" customFormat="1" s="13">
      <c r="A211" s="11" t="inlineStr">
        <is>
          <t>#</t>
        </is>
      </c>
      <c r="B211" s="230" t="n"/>
      <c r="C211" s="229" t="n"/>
      <c r="D211" s="229" t="n"/>
      <c r="E211" s="229" t="n"/>
      <c r="F211" s="229" t="n"/>
      <c r="G211" s="229" t="n"/>
      <c r="H211" s="229" t="n"/>
      <c r="I211" s="229" t="n"/>
      <c r="J211" s="229" t="inlineStr">
        <is>
          <t>SH</t>
        </is>
      </c>
      <c r="K211" s="229" t="n"/>
      <c r="L211" s="229" t="n"/>
      <c r="M211" s="229" t="n"/>
      <c r="N211" s="229" t="n"/>
      <c r="O211" s="229" t="n"/>
      <c r="P211" s="229" t="n"/>
      <c r="Q211" s="229" t="n"/>
      <c r="R211" s="229" t="n"/>
      <c r="S211" s="229" t="n"/>
      <c r="T211" s="229" t="n"/>
      <c r="U211" s="229" t="n"/>
      <c r="V211" s="229" t="n"/>
      <c r="W211" s="229" t="n"/>
      <c r="X211" s="229" t="n"/>
      <c r="Y211" s="229" t="n"/>
      <c r="Z211" s="229" t="n"/>
      <c r="AA211" s="229" t="n"/>
      <c r="AB211" s="229" t="n"/>
      <c r="AC211" s="229" t="n"/>
      <c r="AD211" s="229" t="n"/>
      <c r="AE211" s="229" t="n"/>
      <c r="AF211" s="229" t="n"/>
      <c r="AG211" s="229" t="n"/>
      <c r="AH211" s="229" t="n"/>
      <c r="AI211" s="229" t="n"/>
      <c r="AJ211" s="229" t="n"/>
    </row>
    <row r="212" customFormat="1" s="13">
      <c r="A212" s="11" t="inlineStr">
        <is>
          <t>#</t>
        </is>
      </c>
      <c r="B212" s="230" t="n"/>
      <c r="C212" s="229" t="n"/>
      <c r="D212" s="229" t="n"/>
      <c r="E212" s="229" t="n"/>
      <c r="F212" s="229" t="n"/>
      <c r="G212" s="229" t="n"/>
      <c r="H212" s="229" t="n"/>
      <c r="I212" s="229" t="n"/>
      <c r="J212" s="229" t="inlineStr">
        <is>
          <t>SI</t>
        </is>
      </c>
      <c r="K212" s="229" t="n"/>
      <c r="L212" s="229" t="n"/>
      <c r="M212" s="229" t="n"/>
      <c r="N212" s="229" t="n"/>
      <c r="O212" s="229" t="n"/>
      <c r="P212" s="229" t="n"/>
      <c r="Q212" s="229" t="n"/>
      <c r="R212" s="229" t="n"/>
      <c r="S212" s="229" t="n"/>
      <c r="T212" s="229" t="n"/>
      <c r="U212" s="229" t="n"/>
      <c r="V212" s="229" t="n"/>
      <c r="W212" s="229" t="n"/>
      <c r="X212" s="229" t="n"/>
      <c r="Y212" s="229" t="n"/>
      <c r="Z212" s="229" t="n"/>
      <c r="AA212" s="229" t="n"/>
      <c r="AB212" s="229" t="n"/>
      <c r="AC212" s="229" t="n"/>
      <c r="AD212" s="229" t="n"/>
      <c r="AE212" s="229" t="n"/>
      <c r="AF212" s="229" t="n"/>
      <c r="AG212" s="229" t="n"/>
      <c r="AH212" s="229" t="n"/>
      <c r="AI212" s="229" t="n"/>
      <c r="AJ212" s="229" t="n"/>
    </row>
    <row r="213" customFormat="1" s="13">
      <c r="A213" s="11" t="inlineStr">
        <is>
          <t>#</t>
        </is>
      </c>
      <c r="B213" s="230" t="n"/>
      <c r="C213" s="229" t="n"/>
      <c r="D213" s="229" t="n"/>
      <c r="E213" s="229" t="n"/>
      <c r="F213" s="229" t="n"/>
      <c r="G213" s="229" t="n"/>
      <c r="H213" s="229" t="n"/>
      <c r="I213" s="229" t="n"/>
      <c r="J213" s="229" t="inlineStr">
        <is>
          <t>SJ</t>
        </is>
      </c>
      <c r="K213" s="229" t="n"/>
      <c r="L213" s="229" t="n"/>
      <c r="M213" s="229" t="n"/>
      <c r="N213" s="229" t="n"/>
      <c r="O213" s="229" t="n"/>
      <c r="P213" s="229" t="n"/>
      <c r="Q213" s="229" t="n"/>
      <c r="R213" s="229" t="n"/>
      <c r="S213" s="229" t="n"/>
      <c r="T213" s="229" t="n"/>
      <c r="U213" s="229" t="n"/>
      <c r="V213" s="229" t="n"/>
      <c r="W213" s="229" t="n"/>
      <c r="X213" s="229" t="n"/>
      <c r="Y213" s="229" t="n"/>
      <c r="Z213" s="229" t="n"/>
      <c r="AA213" s="229" t="n"/>
      <c r="AB213" s="229" t="n"/>
      <c r="AC213" s="229" t="n"/>
      <c r="AD213" s="229" t="n"/>
      <c r="AE213" s="229" t="n"/>
      <c r="AF213" s="229" t="n"/>
      <c r="AG213" s="229" t="n"/>
      <c r="AH213" s="229" t="n"/>
      <c r="AI213" s="229" t="n"/>
      <c r="AJ213" s="229" t="n"/>
    </row>
    <row r="214" customFormat="1" s="13">
      <c r="A214" s="11" t="inlineStr">
        <is>
          <t>#</t>
        </is>
      </c>
      <c r="B214" s="230" t="n"/>
      <c r="C214" s="229" t="n"/>
      <c r="D214" s="229" t="n"/>
      <c r="E214" s="229" t="n"/>
      <c r="F214" s="229" t="n"/>
      <c r="G214" s="229" t="n"/>
      <c r="H214" s="229" t="n"/>
      <c r="I214" s="229" t="n"/>
      <c r="J214" s="229" t="inlineStr">
        <is>
          <t>SK</t>
        </is>
      </c>
      <c r="K214" s="229" t="n"/>
      <c r="L214" s="229" t="n"/>
      <c r="M214" s="229" t="n"/>
      <c r="N214" s="229" t="n"/>
      <c r="O214" s="229" t="n"/>
      <c r="P214" s="229" t="n"/>
      <c r="Q214" s="229" t="n"/>
      <c r="R214" s="229" t="n"/>
      <c r="S214" s="229" t="n"/>
      <c r="T214" s="229" t="n"/>
      <c r="U214" s="229" t="n"/>
      <c r="V214" s="229" t="n"/>
      <c r="W214" s="229" t="n"/>
      <c r="X214" s="229" t="n"/>
      <c r="Y214" s="229" t="n"/>
      <c r="Z214" s="229" t="n"/>
      <c r="AA214" s="229" t="n"/>
      <c r="AB214" s="229" t="n"/>
      <c r="AC214" s="229" t="n"/>
      <c r="AD214" s="229" t="n"/>
      <c r="AE214" s="229" t="n"/>
      <c r="AF214" s="229" t="n"/>
      <c r="AG214" s="229" t="n"/>
      <c r="AH214" s="229" t="n"/>
      <c r="AI214" s="229" t="n"/>
      <c r="AJ214" s="229" t="n"/>
    </row>
    <row r="215" customFormat="1" s="13">
      <c r="A215" s="11" t="inlineStr">
        <is>
          <t>#</t>
        </is>
      </c>
      <c r="B215" s="230" t="n"/>
      <c r="C215" s="229" t="n"/>
      <c r="D215" s="229" t="n"/>
      <c r="E215" s="229" t="n"/>
      <c r="F215" s="229" t="n"/>
      <c r="G215" s="229" t="n"/>
      <c r="H215" s="229" t="n"/>
      <c r="I215" s="229" t="n"/>
      <c r="J215" s="229" t="inlineStr">
        <is>
          <t>SL</t>
        </is>
      </c>
      <c r="K215" s="229" t="n"/>
      <c r="L215" s="229" t="n"/>
      <c r="M215" s="229" t="n"/>
      <c r="N215" s="229" t="n"/>
      <c r="O215" s="229" t="n"/>
      <c r="P215" s="229" t="n"/>
      <c r="Q215" s="229" t="n"/>
      <c r="R215" s="229" t="n"/>
      <c r="S215" s="229" t="n"/>
      <c r="T215" s="229" t="n"/>
      <c r="U215" s="229" t="n"/>
      <c r="V215" s="229" t="n"/>
      <c r="W215" s="229" t="n"/>
      <c r="X215" s="229" t="n"/>
      <c r="Y215" s="229" t="n"/>
      <c r="Z215" s="229" t="n"/>
      <c r="AA215" s="229" t="n"/>
      <c r="AB215" s="229" t="n"/>
      <c r="AC215" s="229" t="n"/>
      <c r="AD215" s="229" t="n"/>
      <c r="AE215" s="229" t="n"/>
      <c r="AF215" s="229" t="n"/>
      <c r="AG215" s="229" t="n"/>
      <c r="AH215" s="229" t="n"/>
      <c r="AI215" s="229" t="n"/>
      <c r="AJ215" s="229" t="n"/>
    </row>
    <row r="216" customFormat="1" s="13">
      <c r="A216" s="11" t="inlineStr">
        <is>
          <t>#</t>
        </is>
      </c>
      <c r="B216" s="230" t="n"/>
      <c r="C216" s="229" t="n"/>
      <c r="D216" s="229" t="n"/>
      <c r="E216" s="229" t="n"/>
      <c r="F216" s="229" t="n"/>
      <c r="G216" s="229" t="n"/>
      <c r="H216" s="229" t="n"/>
      <c r="I216" s="229" t="n"/>
      <c r="J216" s="229" t="inlineStr">
        <is>
          <t>SM</t>
        </is>
      </c>
      <c r="K216" s="229" t="n"/>
      <c r="L216" s="229" t="n"/>
      <c r="M216" s="229" t="n"/>
      <c r="N216" s="229" t="n"/>
      <c r="O216" s="229" t="n"/>
      <c r="P216" s="229" t="n"/>
      <c r="Q216" s="229" t="n"/>
      <c r="R216" s="229" t="n"/>
      <c r="S216" s="229" t="n"/>
      <c r="T216" s="229" t="n"/>
      <c r="U216" s="229" t="n"/>
      <c r="V216" s="229" t="n"/>
      <c r="W216" s="229" t="n"/>
      <c r="X216" s="229" t="n"/>
      <c r="Y216" s="229" t="n"/>
      <c r="Z216" s="229" t="n"/>
      <c r="AA216" s="229" t="n"/>
      <c r="AB216" s="229" t="n"/>
      <c r="AC216" s="229" t="n"/>
      <c r="AD216" s="229" t="n"/>
      <c r="AE216" s="229" t="n"/>
      <c r="AF216" s="229" t="n"/>
      <c r="AG216" s="229" t="n"/>
      <c r="AH216" s="229" t="n"/>
      <c r="AI216" s="229" t="n"/>
      <c r="AJ216" s="229" t="n"/>
    </row>
    <row r="217" customFormat="1" s="13">
      <c r="A217" s="11" t="inlineStr">
        <is>
          <t>#</t>
        </is>
      </c>
      <c r="B217" s="230" t="n"/>
      <c r="C217" s="229" t="n"/>
      <c r="D217" s="229" t="n"/>
      <c r="E217" s="229" t="n"/>
      <c r="F217" s="229" t="n"/>
      <c r="G217" s="229" t="n"/>
      <c r="H217" s="229" t="n"/>
      <c r="I217" s="229" t="n"/>
      <c r="J217" s="229" t="inlineStr">
        <is>
          <t>SN</t>
        </is>
      </c>
      <c r="K217" s="229" t="n"/>
      <c r="L217" s="229" t="n"/>
      <c r="M217" s="229" t="n"/>
      <c r="N217" s="229" t="n"/>
      <c r="O217" s="229" t="n"/>
      <c r="P217" s="229" t="n"/>
      <c r="Q217" s="229" t="n"/>
      <c r="R217" s="229" t="n"/>
      <c r="S217" s="229" t="n"/>
      <c r="T217" s="229" t="n"/>
      <c r="U217" s="229" t="n"/>
      <c r="V217" s="229" t="n"/>
      <c r="W217" s="229" t="n"/>
      <c r="X217" s="229" t="n"/>
      <c r="Y217" s="229" t="n"/>
      <c r="Z217" s="229" t="n"/>
      <c r="AA217" s="229" t="n"/>
      <c r="AB217" s="229" t="n"/>
      <c r="AC217" s="229" t="n"/>
      <c r="AD217" s="229" t="n"/>
      <c r="AE217" s="229" t="n"/>
      <c r="AF217" s="229" t="n"/>
      <c r="AG217" s="229" t="n"/>
      <c r="AH217" s="229" t="n"/>
      <c r="AI217" s="229" t="n"/>
      <c r="AJ217" s="229" t="n"/>
    </row>
    <row r="218" customFormat="1" s="13">
      <c r="A218" s="11" t="inlineStr">
        <is>
          <t>#</t>
        </is>
      </c>
      <c r="B218" s="230" t="n"/>
      <c r="C218" s="229" t="n"/>
      <c r="D218" s="229" t="n"/>
      <c r="E218" s="229" t="n"/>
      <c r="F218" s="229" t="n"/>
      <c r="G218" s="229" t="n"/>
      <c r="H218" s="229" t="n"/>
      <c r="I218" s="229" t="n"/>
      <c r="J218" s="229" t="inlineStr">
        <is>
          <t>SO</t>
        </is>
      </c>
      <c r="K218" s="229" t="n"/>
      <c r="L218" s="229" t="n"/>
      <c r="M218" s="229" t="n"/>
      <c r="N218" s="229" t="n"/>
      <c r="O218" s="229" t="n"/>
      <c r="P218" s="229" t="n"/>
      <c r="Q218" s="229" t="n"/>
      <c r="R218" s="229" t="n"/>
      <c r="S218" s="229" t="n"/>
      <c r="T218" s="229" t="n"/>
      <c r="U218" s="229" t="n"/>
      <c r="V218" s="229" t="n"/>
      <c r="W218" s="229" t="n"/>
      <c r="X218" s="229" t="n"/>
      <c r="Y218" s="229" t="n"/>
      <c r="Z218" s="229" t="n"/>
      <c r="AA218" s="229" t="n"/>
      <c r="AB218" s="229" t="n"/>
      <c r="AC218" s="229" t="n"/>
      <c r="AD218" s="229" t="n"/>
      <c r="AE218" s="229" t="n"/>
      <c r="AF218" s="229" t="n"/>
      <c r="AG218" s="229" t="n"/>
      <c r="AH218" s="229" t="n"/>
      <c r="AI218" s="229" t="n"/>
      <c r="AJ218" s="229" t="n"/>
    </row>
    <row r="219" customFormat="1" s="13">
      <c r="A219" s="11" t="inlineStr">
        <is>
          <t>#</t>
        </is>
      </c>
      <c r="B219" s="230" t="n"/>
      <c r="C219" s="229" t="n"/>
      <c r="D219" s="229" t="n"/>
      <c r="E219" s="229" t="n"/>
      <c r="F219" s="229" t="n"/>
      <c r="G219" s="229" t="n"/>
      <c r="H219" s="229" t="n"/>
      <c r="I219" s="229" t="n"/>
      <c r="J219" s="229" t="inlineStr">
        <is>
          <t>SR</t>
        </is>
      </c>
      <c r="K219" s="229" t="n"/>
      <c r="L219" s="229" t="n"/>
      <c r="M219" s="229" t="n"/>
      <c r="N219" s="229" t="n"/>
      <c r="O219" s="229" t="n"/>
      <c r="P219" s="229" t="n"/>
      <c r="Q219" s="229" t="n"/>
      <c r="R219" s="229" t="n"/>
      <c r="S219" s="229" t="n"/>
      <c r="T219" s="229" t="n"/>
      <c r="U219" s="229" t="n"/>
      <c r="V219" s="229" t="n"/>
      <c r="W219" s="229" t="n"/>
      <c r="X219" s="229" t="n"/>
      <c r="Y219" s="229" t="n"/>
      <c r="Z219" s="229" t="n"/>
      <c r="AA219" s="229" t="n"/>
      <c r="AB219" s="229" t="n"/>
      <c r="AC219" s="229" t="n"/>
      <c r="AD219" s="229" t="n"/>
      <c r="AE219" s="229" t="n"/>
      <c r="AF219" s="229" t="n"/>
      <c r="AG219" s="229" t="n"/>
      <c r="AH219" s="229" t="n"/>
      <c r="AI219" s="229" t="n"/>
      <c r="AJ219" s="229" t="n"/>
    </row>
    <row r="220" customFormat="1" s="13">
      <c r="A220" s="11" t="inlineStr">
        <is>
          <t>#</t>
        </is>
      </c>
      <c r="B220" s="230" t="n"/>
      <c r="C220" s="229" t="n"/>
      <c r="D220" s="229" t="n"/>
      <c r="E220" s="229" t="n"/>
      <c r="F220" s="229" t="n"/>
      <c r="G220" s="229" t="n"/>
      <c r="H220" s="229" t="n"/>
      <c r="I220" s="229" t="n"/>
      <c r="J220" s="229" t="inlineStr">
        <is>
          <t>ST</t>
        </is>
      </c>
      <c r="K220" s="229" t="n"/>
      <c r="L220" s="229" t="n"/>
      <c r="M220" s="229" t="n"/>
      <c r="N220" s="229" t="n"/>
      <c r="O220" s="229" t="n"/>
      <c r="P220" s="229" t="n"/>
      <c r="Q220" s="229" t="n"/>
      <c r="R220" s="229" t="n"/>
      <c r="S220" s="229" t="n"/>
      <c r="T220" s="229" t="n"/>
      <c r="U220" s="229" t="n"/>
      <c r="V220" s="229" t="n"/>
      <c r="W220" s="229" t="n"/>
      <c r="X220" s="229" t="n"/>
      <c r="Y220" s="229" t="n"/>
      <c r="Z220" s="229" t="n"/>
      <c r="AA220" s="229" t="n"/>
      <c r="AB220" s="229" t="n"/>
      <c r="AC220" s="229" t="n"/>
      <c r="AD220" s="229" t="n"/>
      <c r="AE220" s="229" t="n"/>
      <c r="AF220" s="229" t="n"/>
      <c r="AG220" s="229" t="n"/>
      <c r="AH220" s="229" t="n"/>
      <c r="AI220" s="229" t="n"/>
      <c r="AJ220" s="229" t="n"/>
    </row>
    <row r="221" customFormat="1" s="13">
      <c r="A221" s="11" t="inlineStr">
        <is>
          <t>#</t>
        </is>
      </c>
      <c r="B221" s="230" t="n"/>
      <c r="C221" s="229" t="n"/>
      <c r="D221" s="229" t="n"/>
      <c r="E221" s="229" t="n"/>
      <c r="F221" s="229" t="n"/>
      <c r="G221" s="229" t="n"/>
      <c r="H221" s="229" t="n"/>
      <c r="I221" s="229" t="n"/>
      <c r="J221" s="229" t="inlineStr">
        <is>
          <t>SV</t>
        </is>
      </c>
      <c r="K221" s="229" t="n"/>
      <c r="L221" s="229" t="n"/>
      <c r="M221" s="229" t="n"/>
      <c r="N221" s="229" t="n"/>
      <c r="O221" s="229" t="n"/>
      <c r="P221" s="229" t="n"/>
      <c r="Q221" s="229" t="n"/>
      <c r="R221" s="229" t="n"/>
      <c r="S221" s="229" t="n"/>
      <c r="T221" s="229" t="n"/>
      <c r="U221" s="229" t="n"/>
      <c r="V221" s="229" t="n"/>
      <c r="W221" s="229" t="n"/>
      <c r="X221" s="229" t="n"/>
      <c r="Y221" s="229" t="n"/>
      <c r="Z221" s="229" t="n"/>
      <c r="AA221" s="229" t="n"/>
      <c r="AB221" s="229" t="n"/>
      <c r="AC221" s="229" t="n"/>
      <c r="AD221" s="229" t="n"/>
      <c r="AE221" s="229" t="n"/>
      <c r="AF221" s="229" t="n"/>
      <c r="AG221" s="229" t="n"/>
      <c r="AH221" s="229" t="n"/>
      <c r="AI221" s="229" t="n"/>
      <c r="AJ221" s="229" t="n"/>
    </row>
    <row r="222" customFormat="1" s="13">
      <c r="A222" s="11" t="inlineStr">
        <is>
          <t>#</t>
        </is>
      </c>
      <c r="B222" s="230" t="n"/>
      <c r="C222" s="229" t="n"/>
      <c r="D222" s="229" t="n"/>
      <c r="E222" s="229" t="n"/>
      <c r="F222" s="229" t="n"/>
      <c r="G222" s="229" t="n"/>
      <c r="H222" s="229" t="n"/>
      <c r="I222" s="229" t="n"/>
      <c r="J222" s="229" t="inlineStr">
        <is>
          <t>SY</t>
        </is>
      </c>
      <c r="K222" s="229" t="n"/>
      <c r="L222" s="229" t="n"/>
      <c r="M222" s="229" t="n"/>
      <c r="N222" s="229" t="n"/>
      <c r="O222" s="229" t="n"/>
      <c r="P222" s="229" t="n"/>
      <c r="Q222" s="229" t="n"/>
      <c r="R222" s="229" t="n"/>
      <c r="S222" s="229" t="n"/>
      <c r="T222" s="229" t="n"/>
      <c r="U222" s="229" t="n"/>
      <c r="V222" s="229" t="n"/>
      <c r="W222" s="229" t="n"/>
      <c r="X222" s="229" t="n"/>
      <c r="Y222" s="229" t="n"/>
      <c r="Z222" s="229" t="n"/>
      <c r="AA222" s="229" t="n"/>
      <c r="AB222" s="229" t="n"/>
      <c r="AC222" s="229" t="n"/>
      <c r="AD222" s="229" t="n"/>
      <c r="AE222" s="229" t="n"/>
      <c r="AF222" s="229" t="n"/>
      <c r="AG222" s="229" t="n"/>
      <c r="AH222" s="229" t="n"/>
      <c r="AI222" s="229" t="n"/>
      <c r="AJ222" s="229" t="n"/>
    </row>
    <row r="223" customFormat="1" s="13">
      <c r="A223" s="11" t="inlineStr">
        <is>
          <t>#</t>
        </is>
      </c>
      <c r="B223" s="230" t="n"/>
      <c r="C223" s="229" t="n"/>
      <c r="D223" s="229" t="n"/>
      <c r="E223" s="229" t="n"/>
      <c r="F223" s="229" t="n"/>
      <c r="G223" s="229" t="n"/>
      <c r="H223" s="229" t="n"/>
      <c r="I223" s="229" t="n"/>
      <c r="J223" s="229" t="inlineStr">
        <is>
          <t>SZ</t>
        </is>
      </c>
      <c r="K223" s="229" t="n"/>
      <c r="L223" s="229" t="n"/>
      <c r="M223" s="229" t="n"/>
      <c r="N223" s="229" t="n"/>
      <c r="O223" s="229" t="n"/>
      <c r="P223" s="229" t="n"/>
      <c r="Q223" s="229" t="n"/>
      <c r="R223" s="229" t="n"/>
      <c r="S223" s="229" t="n"/>
      <c r="T223" s="229" t="n"/>
      <c r="U223" s="229" t="n"/>
      <c r="V223" s="229" t="n"/>
      <c r="W223" s="229" t="n"/>
      <c r="X223" s="229" t="n"/>
      <c r="Y223" s="229" t="n"/>
      <c r="Z223" s="229" t="n"/>
      <c r="AA223" s="229" t="n"/>
      <c r="AB223" s="229" t="n"/>
      <c r="AC223" s="229" t="n"/>
      <c r="AD223" s="229" t="n"/>
      <c r="AE223" s="229" t="n"/>
      <c r="AF223" s="229" t="n"/>
      <c r="AG223" s="229" t="n"/>
      <c r="AH223" s="229" t="n"/>
      <c r="AI223" s="229" t="n"/>
      <c r="AJ223" s="229" t="n"/>
    </row>
    <row r="224" customFormat="1" s="13">
      <c r="A224" s="11" t="inlineStr">
        <is>
          <t>#</t>
        </is>
      </c>
      <c r="B224" s="230" t="n"/>
      <c r="C224" s="229" t="n"/>
      <c r="D224" s="229" t="n"/>
      <c r="E224" s="229" t="n"/>
      <c r="F224" s="229" t="n"/>
      <c r="G224" s="229" t="n"/>
      <c r="H224" s="229" t="n"/>
      <c r="I224" s="229" t="n"/>
      <c r="J224" s="229" t="inlineStr">
        <is>
          <t>TC</t>
        </is>
      </c>
      <c r="K224" s="229" t="n"/>
      <c r="L224" s="229" t="n"/>
      <c r="M224" s="229" t="n"/>
      <c r="N224" s="229" t="n"/>
      <c r="O224" s="229" t="n"/>
      <c r="P224" s="229" t="n"/>
      <c r="Q224" s="229" t="n"/>
      <c r="R224" s="229" t="n"/>
      <c r="S224" s="229" t="n"/>
      <c r="T224" s="229" t="n"/>
      <c r="U224" s="229" t="n"/>
      <c r="V224" s="229" t="n"/>
      <c r="W224" s="229" t="n"/>
      <c r="X224" s="229" t="n"/>
      <c r="Y224" s="229" t="n"/>
      <c r="Z224" s="229" t="n"/>
      <c r="AA224" s="229" t="n"/>
      <c r="AB224" s="229" t="n"/>
      <c r="AC224" s="229" t="n"/>
      <c r="AD224" s="229" t="n"/>
      <c r="AE224" s="229" t="n"/>
      <c r="AF224" s="229" t="n"/>
      <c r="AG224" s="229" t="n"/>
      <c r="AH224" s="229" t="n"/>
      <c r="AI224" s="229" t="n"/>
      <c r="AJ224" s="229" t="n"/>
    </row>
    <row r="225" customFormat="1" s="13">
      <c r="A225" s="11" t="inlineStr">
        <is>
          <t>#</t>
        </is>
      </c>
      <c r="B225" s="230" t="n"/>
      <c r="C225" s="229" t="n"/>
      <c r="D225" s="229" t="n"/>
      <c r="E225" s="229" t="n"/>
      <c r="F225" s="229" t="n"/>
      <c r="G225" s="229" t="n"/>
      <c r="H225" s="229" t="n"/>
      <c r="I225" s="229" t="n"/>
      <c r="J225" s="229" t="inlineStr">
        <is>
          <t>TD</t>
        </is>
      </c>
      <c r="K225" s="229" t="n"/>
      <c r="L225" s="229" t="n"/>
      <c r="M225" s="229" t="n"/>
      <c r="N225" s="229" t="n"/>
      <c r="O225" s="229" t="n"/>
      <c r="P225" s="229" t="n"/>
      <c r="Q225" s="229" t="n"/>
      <c r="R225" s="229" t="n"/>
      <c r="S225" s="229" t="n"/>
      <c r="T225" s="229" t="n"/>
      <c r="U225" s="229" t="n"/>
      <c r="V225" s="229" t="n"/>
      <c r="W225" s="229" t="n"/>
      <c r="X225" s="229" t="n"/>
      <c r="Y225" s="229" t="n"/>
      <c r="Z225" s="229" t="n"/>
      <c r="AA225" s="229" t="n"/>
      <c r="AB225" s="229" t="n"/>
      <c r="AC225" s="229" t="n"/>
      <c r="AD225" s="229" t="n"/>
      <c r="AE225" s="229" t="n"/>
      <c r="AF225" s="229" t="n"/>
      <c r="AG225" s="229" t="n"/>
      <c r="AH225" s="229" t="n"/>
      <c r="AI225" s="229" t="n"/>
      <c r="AJ225" s="229" t="n"/>
    </row>
    <row r="226" customFormat="1" s="13">
      <c r="A226" s="11" t="inlineStr">
        <is>
          <t>#</t>
        </is>
      </c>
      <c r="B226" s="230" t="n"/>
      <c r="C226" s="229" t="n"/>
      <c r="D226" s="229" t="n"/>
      <c r="E226" s="229" t="n"/>
      <c r="F226" s="229" t="n"/>
      <c r="G226" s="229" t="n"/>
      <c r="H226" s="229" t="n"/>
      <c r="I226" s="229" t="n"/>
      <c r="J226" s="229" t="inlineStr">
        <is>
          <t>TF</t>
        </is>
      </c>
      <c r="K226" s="229" t="n"/>
      <c r="L226" s="229" t="n"/>
      <c r="M226" s="229" t="n"/>
      <c r="N226" s="229" t="n"/>
      <c r="O226" s="229" t="n"/>
      <c r="P226" s="229" t="n"/>
      <c r="Q226" s="229" t="n"/>
      <c r="R226" s="229" t="n"/>
      <c r="S226" s="229" t="n"/>
      <c r="T226" s="229" t="n"/>
      <c r="U226" s="229" t="n"/>
      <c r="V226" s="229" t="n"/>
      <c r="W226" s="229" t="n"/>
      <c r="X226" s="229" t="n"/>
      <c r="Y226" s="229" t="n"/>
      <c r="Z226" s="229" t="n"/>
      <c r="AA226" s="229" t="n"/>
      <c r="AB226" s="229" t="n"/>
      <c r="AC226" s="229" t="n"/>
      <c r="AD226" s="229" t="n"/>
      <c r="AE226" s="229" t="n"/>
      <c r="AF226" s="229" t="n"/>
      <c r="AG226" s="229" t="n"/>
      <c r="AH226" s="229" t="n"/>
      <c r="AI226" s="229" t="n"/>
      <c r="AJ226" s="229" t="n"/>
    </row>
    <row r="227" customFormat="1" s="13">
      <c r="A227" s="11" t="inlineStr">
        <is>
          <t>#</t>
        </is>
      </c>
      <c r="B227" s="230" t="n"/>
      <c r="C227" s="229" t="n"/>
      <c r="D227" s="229" t="n"/>
      <c r="E227" s="229" t="n"/>
      <c r="F227" s="229" t="n"/>
      <c r="G227" s="229" t="n"/>
      <c r="H227" s="229" t="n"/>
      <c r="I227" s="229" t="n"/>
      <c r="J227" s="229" t="inlineStr">
        <is>
          <t>TG</t>
        </is>
      </c>
      <c r="K227" s="229" t="n"/>
      <c r="L227" s="229" t="n"/>
      <c r="M227" s="229" t="n"/>
      <c r="N227" s="229" t="n"/>
      <c r="O227" s="229" t="n"/>
      <c r="P227" s="229" t="n"/>
      <c r="Q227" s="229" t="n"/>
      <c r="R227" s="229" t="n"/>
      <c r="S227" s="229" t="n"/>
      <c r="T227" s="229" t="n"/>
      <c r="U227" s="229" t="n"/>
      <c r="V227" s="229" t="n"/>
      <c r="W227" s="229" t="n"/>
      <c r="X227" s="229" t="n"/>
      <c r="Y227" s="229" t="n"/>
      <c r="Z227" s="229" t="n"/>
      <c r="AA227" s="229" t="n"/>
      <c r="AB227" s="229" t="n"/>
      <c r="AC227" s="229" t="n"/>
      <c r="AD227" s="229" t="n"/>
      <c r="AE227" s="229" t="n"/>
      <c r="AF227" s="229" t="n"/>
      <c r="AG227" s="229" t="n"/>
      <c r="AH227" s="229" t="n"/>
      <c r="AI227" s="229" t="n"/>
      <c r="AJ227" s="229" t="n"/>
    </row>
    <row r="228" customFormat="1" s="13">
      <c r="A228" s="11" t="inlineStr">
        <is>
          <t>#</t>
        </is>
      </c>
      <c r="B228" s="230" t="n"/>
      <c r="C228" s="229" t="n"/>
      <c r="D228" s="229" t="n"/>
      <c r="E228" s="229" t="n"/>
      <c r="F228" s="229" t="n"/>
      <c r="G228" s="229" t="n"/>
      <c r="H228" s="229" t="n"/>
      <c r="I228" s="229" t="n"/>
      <c r="J228" s="229" t="inlineStr">
        <is>
          <t>TH</t>
        </is>
      </c>
      <c r="K228" s="229" t="n"/>
      <c r="L228" s="229" t="n"/>
      <c r="M228" s="229" t="n"/>
      <c r="N228" s="229" t="n"/>
      <c r="O228" s="229" t="n"/>
      <c r="P228" s="229" t="n"/>
      <c r="Q228" s="229" t="n"/>
      <c r="R228" s="229" t="n"/>
      <c r="S228" s="229" t="n"/>
      <c r="T228" s="229" t="n"/>
      <c r="U228" s="229" t="n"/>
      <c r="V228" s="229" t="n"/>
      <c r="W228" s="229" t="n"/>
      <c r="X228" s="229" t="n"/>
      <c r="Y228" s="229" t="n"/>
      <c r="Z228" s="229" t="n"/>
      <c r="AA228" s="229" t="n"/>
      <c r="AB228" s="229" t="n"/>
      <c r="AC228" s="229" t="n"/>
      <c r="AD228" s="229" t="n"/>
      <c r="AE228" s="229" t="n"/>
      <c r="AF228" s="229" t="n"/>
      <c r="AG228" s="229" t="n"/>
      <c r="AH228" s="229" t="n"/>
      <c r="AI228" s="229" t="n"/>
      <c r="AJ228" s="229" t="n"/>
    </row>
    <row r="229" customFormat="1" s="13">
      <c r="A229" s="11" t="inlineStr">
        <is>
          <t>#</t>
        </is>
      </c>
      <c r="B229" s="230" t="n"/>
      <c r="C229" s="229" t="n"/>
      <c r="D229" s="229" t="n"/>
      <c r="E229" s="229" t="n"/>
      <c r="F229" s="229" t="n"/>
      <c r="G229" s="229" t="n"/>
      <c r="H229" s="229" t="n"/>
      <c r="I229" s="229" t="n"/>
      <c r="J229" s="229" t="inlineStr">
        <is>
          <t>TJ</t>
        </is>
      </c>
      <c r="K229" s="229" t="n"/>
      <c r="L229" s="229" t="n"/>
      <c r="M229" s="229" t="n"/>
      <c r="N229" s="229" t="n"/>
      <c r="O229" s="229" t="n"/>
      <c r="P229" s="229" t="n"/>
      <c r="Q229" s="229" t="n"/>
      <c r="R229" s="229" t="n"/>
      <c r="S229" s="229" t="n"/>
      <c r="T229" s="229" t="n"/>
      <c r="U229" s="229" t="n"/>
      <c r="V229" s="229" t="n"/>
      <c r="W229" s="229" t="n"/>
      <c r="X229" s="229" t="n"/>
      <c r="Y229" s="229" t="n"/>
      <c r="Z229" s="229" t="n"/>
      <c r="AA229" s="229" t="n"/>
      <c r="AB229" s="229" t="n"/>
      <c r="AC229" s="229" t="n"/>
      <c r="AD229" s="229" t="n"/>
      <c r="AE229" s="229" t="n"/>
      <c r="AF229" s="229" t="n"/>
      <c r="AG229" s="229" t="n"/>
      <c r="AH229" s="229" t="n"/>
      <c r="AI229" s="229" t="n"/>
      <c r="AJ229" s="229" t="n"/>
    </row>
    <row r="230" customFormat="1" s="13">
      <c r="A230" s="11" t="inlineStr">
        <is>
          <t>#</t>
        </is>
      </c>
      <c r="B230" s="230" t="n"/>
      <c r="C230" s="229" t="n"/>
      <c r="D230" s="229" t="n"/>
      <c r="E230" s="229" t="n"/>
      <c r="F230" s="229" t="n"/>
      <c r="G230" s="229" t="n"/>
      <c r="H230" s="229" t="n"/>
      <c r="I230" s="229" t="n"/>
      <c r="J230" s="229" t="inlineStr">
        <is>
          <t>TK</t>
        </is>
      </c>
      <c r="K230" s="229" t="n"/>
      <c r="L230" s="229" t="n"/>
      <c r="M230" s="229" t="n"/>
      <c r="N230" s="229" t="n"/>
      <c r="O230" s="229" t="n"/>
      <c r="P230" s="229" t="n"/>
      <c r="Q230" s="229" t="n"/>
      <c r="R230" s="229" t="n"/>
      <c r="S230" s="229" t="n"/>
      <c r="T230" s="229" t="n"/>
      <c r="U230" s="229" t="n"/>
      <c r="V230" s="229" t="n"/>
      <c r="W230" s="229" t="n"/>
      <c r="X230" s="229" t="n"/>
      <c r="Y230" s="229" t="n"/>
      <c r="Z230" s="229" t="n"/>
      <c r="AA230" s="229" t="n"/>
      <c r="AB230" s="229" t="n"/>
      <c r="AC230" s="229" t="n"/>
      <c r="AD230" s="229" t="n"/>
      <c r="AE230" s="229" t="n"/>
      <c r="AF230" s="229" t="n"/>
      <c r="AG230" s="229" t="n"/>
      <c r="AH230" s="229" t="n"/>
      <c r="AI230" s="229" t="n"/>
      <c r="AJ230" s="229" t="n"/>
    </row>
    <row r="231" customFormat="1" s="13">
      <c r="A231" s="11" t="inlineStr">
        <is>
          <t>#</t>
        </is>
      </c>
      <c r="B231" s="230" t="n"/>
      <c r="C231" s="229" t="n"/>
      <c r="D231" s="229" t="n"/>
      <c r="E231" s="229" t="n"/>
      <c r="F231" s="229" t="n"/>
      <c r="G231" s="229" t="n"/>
      <c r="H231" s="229" t="n"/>
      <c r="I231" s="229" t="n"/>
      <c r="J231" s="229" t="inlineStr">
        <is>
          <t>TL</t>
        </is>
      </c>
      <c r="K231" s="229" t="n"/>
      <c r="L231" s="229" t="n"/>
      <c r="M231" s="229" t="n"/>
      <c r="N231" s="229" t="n"/>
      <c r="O231" s="229" t="n"/>
      <c r="P231" s="229" t="n"/>
      <c r="Q231" s="229" t="n"/>
      <c r="R231" s="229" t="n"/>
      <c r="S231" s="229" t="n"/>
      <c r="T231" s="229" t="n"/>
      <c r="U231" s="229" t="n"/>
      <c r="V231" s="229" t="n"/>
      <c r="W231" s="229" t="n"/>
      <c r="X231" s="229" t="n"/>
      <c r="Y231" s="229" t="n"/>
      <c r="Z231" s="229" t="n"/>
      <c r="AA231" s="229" t="n"/>
      <c r="AB231" s="229" t="n"/>
      <c r="AC231" s="229" t="n"/>
      <c r="AD231" s="229" t="n"/>
      <c r="AE231" s="229" t="n"/>
      <c r="AF231" s="229" t="n"/>
      <c r="AG231" s="229" t="n"/>
      <c r="AH231" s="229" t="n"/>
      <c r="AI231" s="229" t="n"/>
      <c r="AJ231" s="229" t="n"/>
    </row>
    <row r="232" customFormat="1" s="13">
      <c r="A232" s="11" t="inlineStr">
        <is>
          <t>#</t>
        </is>
      </c>
      <c r="B232" s="230" t="n"/>
      <c r="C232" s="229" t="n"/>
      <c r="D232" s="229" t="n"/>
      <c r="E232" s="229" t="n"/>
      <c r="F232" s="229" t="n"/>
      <c r="G232" s="229" t="n"/>
      <c r="H232" s="229" t="n"/>
      <c r="I232" s="229" t="n"/>
      <c r="J232" s="229" t="inlineStr">
        <is>
          <t>TM</t>
        </is>
      </c>
      <c r="K232" s="229" t="n"/>
      <c r="L232" s="229" t="n"/>
      <c r="M232" s="229" t="n"/>
      <c r="N232" s="229" t="n"/>
      <c r="O232" s="229" t="n"/>
      <c r="P232" s="229" t="n"/>
      <c r="Q232" s="229" t="n"/>
      <c r="R232" s="229" t="n"/>
      <c r="S232" s="229" t="n"/>
      <c r="T232" s="229" t="n"/>
      <c r="U232" s="229" t="n"/>
      <c r="V232" s="229" t="n"/>
      <c r="W232" s="229" t="n"/>
      <c r="X232" s="229" t="n"/>
      <c r="Y232" s="229" t="n"/>
      <c r="Z232" s="229" t="n"/>
      <c r="AA232" s="229" t="n"/>
      <c r="AB232" s="229" t="n"/>
      <c r="AC232" s="229" t="n"/>
      <c r="AD232" s="229" t="n"/>
      <c r="AE232" s="229" t="n"/>
      <c r="AF232" s="229" t="n"/>
      <c r="AG232" s="229" t="n"/>
      <c r="AH232" s="229" t="n"/>
      <c r="AI232" s="229" t="n"/>
      <c r="AJ232" s="229" t="n"/>
    </row>
    <row r="233" customFormat="1" s="13">
      <c r="A233" s="11" t="inlineStr">
        <is>
          <t>#</t>
        </is>
      </c>
      <c r="B233" s="230" t="n"/>
      <c r="C233" s="229" t="n"/>
      <c r="D233" s="229" t="n"/>
      <c r="E233" s="229" t="n"/>
      <c r="F233" s="229" t="n"/>
      <c r="G233" s="229" t="n"/>
      <c r="H233" s="229" t="n"/>
      <c r="I233" s="229" t="n"/>
      <c r="J233" s="229" t="inlineStr">
        <is>
          <t>TN</t>
        </is>
      </c>
      <c r="K233" s="229" t="n"/>
      <c r="L233" s="229" t="n"/>
      <c r="M233" s="229" t="n"/>
      <c r="N233" s="229" t="n"/>
      <c r="O233" s="229" t="n"/>
      <c r="P233" s="229" t="n"/>
      <c r="Q233" s="229" t="n"/>
      <c r="R233" s="229" t="n"/>
      <c r="S233" s="229" t="n"/>
      <c r="T233" s="229" t="n"/>
      <c r="U233" s="229" t="n"/>
      <c r="V233" s="229" t="n"/>
      <c r="W233" s="229" t="n"/>
      <c r="X233" s="229" t="n"/>
      <c r="Y233" s="229" t="n"/>
      <c r="Z233" s="229" t="n"/>
      <c r="AA233" s="229" t="n"/>
      <c r="AB233" s="229" t="n"/>
      <c r="AC233" s="229" t="n"/>
      <c r="AD233" s="229" t="n"/>
      <c r="AE233" s="229" t="n"/>
      <c r="AF233" s="229" t="n"/>
      <c r="AG233" s="229" t="n"/>
      <c r="AH233" s="229" t="n"/>
      <c r="AI233" s="229" t="n"/>
      <c r="AJ233" s="229" t="n"/>
    </row>
    <row r="234" customFormat="1" s="13">
      <c r="A234" s="11" t="inlineStr">
        <is>
          <t>#</t>
        </is>
      </c>
      <c r="B234" s="230" t="n"/>
      <c r="C234" s="229" t="n"/>
      <c r="D234" s="229" t="n"/>
      <c r="E234" s="229" t="n"/>
      <c r="F234" s="229" t="n"/>
      <c r="G234" s="229" t="n"/>
      <c r="H234" s="229" t="n"/>
      <c r="I234" s="229" t="n"/>
      <c r="J234" s="229" t="inlineStr">
        <is>
          <t>TO</t>
        </is>
      </c>
      <c r="K234" s="229" t="n"/>
      <c r="L234" s="229" t="n"/>
      <c r="M234" s="229" t="n"/>
      <c r="N234" s="229" t="n"/>
      <c r="O234" s="229" t="n"/>
      <c r="P234" s="229" t="n"/>
      <c r="Q234" s="229" t="n"/>
      <c r="R234" s="229" t="n"/>
      <c r="S234" s="229" t="n"/>
      <c r="T234" s="229" t="n"/>
      <c r="U234" s="229" t="n"/>
      <c r="V234" s="229" t="n"/>
      <c r="W234" s="229" t="n"/>
      <c r="X234" s="229" t="n"/>
      <c r="Y234" s="229" t="n"/>
      <c r="Z234" s="229" t="n"/>
      <c r="AA234" s="229" t="n"/>
      <c r="AB234" s="229" t="n"/>
      <c r="AC234" s="229" t="n"/>
      <c r="AD234" s="229" t="n"/>
      <c r="AE234" s="229" t="n"/>
      <c r="AF234" s="229" t="n"/>
      <c r="AG234" s="229" t="n"/>
      <c r="AH234" s="229" t="n"/>
      <c r="AI234" s="229" t="n"/>
      <c r="AJ234" s="229" t="n"/>
    </row>
    <row r="235" customFormat="1" s="13">
      <c r="A235" s="11" t="inlineStr">
        <is>
          <t>#</t>
        </is>
      </c>
      <c r="B235" s="230" t="n"/>
      <c r="C235" s="229" t="n"/>
      <c r="D235" s="229" t="n"/>
      <c r="E235" s="229" t="n"/>
      <c r="F235" s="229" t="n"/>
      <c r="G235" s="229" t="n"/>
      <c r="H235" s="229" t="n"/>
      <c r="I235" s="229" t="n"/>
      <c r="J235" s="229" t="inlineStr">
        <is>
          <t>TR</t>
        </is>
      </c>
      <c r="K235" s="229" t="n"/>
      <c r="L235" s="229" t="n"/>
      <c r="M235" s="229" t="n"/>
      <c r="N235" s="229" t="n"/>
      <c r="O235" s="229" t="n"/>
      <c r="P235" s="229" t="n"/>
      <c r="Q235" s="229" t="n"/>
      <c r="R235" s="229" t="n"/>
      <c r="S235" s="229" t="n"/>
      <c r="T235" s="229" t="n"/>
      <c r="U235" s="229" t="n"/>
      <c r="V235" s="229" t="n"/>
      <c r="W235" s="229" t="n"/>
      <c r="X235" s="229" t="n"/>
      <c r="Y235" s="229" t="n"/>
      <c r="Z235" s="229" t="n"/>
      <c r="AA235" s="229" t="n"/>
      <c r="AB235" s="229" t="n"/>
      <c r="AC235" s="229" t="n"/>
      <c r="AD235" s="229" t="n"/>
      <c r="AE235" s="229" t="n"/>
      <c r="AF235" s="229" t="n"/>
      <c r="AG235" s="229" t="n"/>
      <c r="AH235" s="229" t="n"/>
      <c r="AI235" s="229" t="n"/>
      <c r="AJ235" s="229" t="n"/>
    </row>
    <row r="236" customFormat="1" s="13">
      <c r="A236" s="11" t="inlineStr">
        <is>
          <t>#</t>
        </is>
      </c>
      <c r="B236" s="230" t="n"/>
      <c r="C236" s="229" t="n"/>
      <c r="D236" s="229" t="n"/>
      <c r="E236" s="229" t="n"/>
      <c r="F236" s="229" t="n"/>
      <c r="G236" s="229" t="n"/>
      <c r="H236" s="229" t="n"/>
      <c r="I236" s="229" t="n"/>
      <c r="J236" s="229" t="inlineStr">
        <is>
          <t>TT</t>
        </is>
      </c>
      <c r="K236" s="229" t="n"/>
      <c r="L236" s="229" t="n"/>
      <c r="M236" s="229" t="n"/>
      <c r="N236" s="229" t="n"/>
      <c r="O236" s="229" t="n"/>
      <c r="P236" s="229" t="n"/>
      <c r="Q236" s="229" t="n"/>
      <c r="R236" s="229" t="n"/>
      <c r="S236" s="229" t="n"/>
      <c r="T236" s="229" t="n"/>
      <c r="U236" s="229" t="n"/>
      <c r="V236" s="229" t="n"/>
      <c r="W236" s="229" t="n"/>
      <c r="X236" s="229" t="n"/>
      <c r="Y236" s="229" t="n"/>
      <c r="Z236" s="229" t="n"/>
      <c r="AA236" s="229" t="n"/>
      <c r="AB236" s="229" t="n"/>
      <c r="AC236" s="229" t="n"/>
      <c r="AD236" s="229" t="n"/>
      <c r="AE236" s="229" t="n"/>
      <c r="AF236" s="229" t="n"/>
      <c r="AG236" s="229" t="n"/>
      <c r="AH236" s="229" t="n"/>
      <c r="AI236" s="229" t="n"/>
      <c r="AJ236" s="229" t="n"/>
    </row>
    <row r="237" customFormat="1" s="13">
      <c r="A237" s="11" t="inlineStr">
        <is>
          <t>#</t>
        </is>
      </c>
      <c r="B237" s="230" t="n"/>
      <c r="C237" s="229" t="n"/>
      <c r="D237" s="229" t="n"/>
      <c r="E237" s="229" t="n"/>
      <c r="F237" s="229" t="n"/>
      <c r="G237" s="229" t="n"/>
      <c r="H237" s="229" t="n"/>
      <c r="I237" s="229" t="n"/>
      <c r="J237" s="229" t="inlineStr">
        <is>
          <t>TV</t>
        </is>
      </c>
      <c r="K237" s="229" t="n"/>
      <c r="L237" s="229" t="n"/>
      <c r="M237" s="229" t="n"/>
      <c r="N237" s="229" t="n"/>
      <c r="O237" s="229" t="n"/>
      <c r="P237" s="229" t="n"/>
      <c r="Q237" s="229" t="n"/>
      <c r="R237" s="229" t="n"/>
      <c r="S237" s="229" t="n"/>
      <c r="T237" s="229" t="n"/>
      <c r="U237" s="229" t="n"/>
      <c r="V237" s="229" t="n"/>
      <c r="W237" s="229" t="n"/>
      <c r="X237" s="229" t="n"/>
      <c r="Y237" s="229" t="n"/>
      <c r="Z237" s="229" t="n"/>
      <c r="AA237" s="229" t="n"/>
      <c r="AB237" s="229" t="n"/>
      <c r="AC237" s="229" t="n"/>
      <c r="AD237" s="229" t="n"/>
      <c r="AE237" s="229" t="n"/>
      <c r="AF237" s="229" t="n"/>
      <c r="AG237" s="229" t="n"/>
      <c r="AH237" s="229" t="n"/>
      <c r="AI237" s="229" t="n"/>
      <c r="AJ237" s="229" t="n"/>
    </row>
    <row r="238" customFormat="1" s="13">
      <c r="A238" s="11" t="inlineStr">
        <is>
          <t>#</t>
        </is>
      </c>
      <c r="B238" s="230" t="n"/>
      <c r="C238" s="229" t="n"/>
      <c r="D238" s="229" t="n"/>
      <c r="E238" s="229" t="n"/>
      <c r="F238" s="229" t="n"/>
      <c r="G238" s="229" t="n"/>
      <c r="H238" s="229" t="n"/>
      <c r="I238" s="229" t="n"/>
      <c r="J238" s="229" t="inlineStr">
        <is>
          <t>TW</t>
        </is>
      </c>
      <c r="K238" s="229" t="n"/>
      <c r="L238" s="229" t="n"/>
      <c r="M238" s="229" t="n"/>
      <c r="N238" s="229" t="n"/>
      <c r="O238" s="229" t="n"/>
      <c r="P238" s="229" t="n"/>
      <c r="Q238" s="229" t="n"/>
      <c r="R238" s="229" t="n"/>
      <c r="S238" s="229" t="n"/>
      <c r="T238" s="229" t="n"/>
      <c r="U238" s="229" t="n"/>
      <c r="V238" s="229" t="n"/>
      <c r="W238" s="229" t="n"/>
      <c r="X238" s="229" t="n"/>
      <c r="Y238" s="229" t="n"/>
      <c r="Z238" s="229" t="n"/>
      <c r="AA238" s="229" t="n"/>
      <c r="AB238" s="229" t="n"/>
      <c r="AC238" s="229" t="n"/>
      <c r="AD238" s="229" t="n"/>
      <c r="AE238" s="229" t="n"/>
      <c r="AF238" s="229" t="n"/>
      <c r="AG238" s="229" t="n"/>
      <c r="AH238" s="229" t="n"/>
      <c r="AI238" s="229" t="n"/>
      <c r="AJ238" s="229" t="n"/>
    </row>
    <row r="239" customFormat="1" s="13">
      <c r="A239" s="11" t="inlineStr">
        <is>
          <t>#</t>
        </is>
      </c>
      <c r="B239" s="230" t="n"/>
      <c r="C239" s="229" t="n"/>
      <c r="D239" s="229" t="n"/>
      <c r="E239" s="229" t="n"/>
      <c r="F239" s="229" t="n"/>
      <c r="G239" s="229" t="n"/>
      <c r="H239" s="229" t="n"/>
      <c r="I239" s="229" t="n"/>
      <c r="J239" s="229" t="inlineStr">
        <is>
          <t>TZ</t>
        </is>
      </c>
      <c r="K239" s="229" t="n"/>
      <c r="L239" s="229" t="n"/>
      <c r="M239" s="229" t="n"/>
      <c r="N239" s="229" t="n"/>
      <c r="O239" s="229" t="n"/>
      <c r="P239" s="229" t="n"/>
      <c r="Q239" s="229" t="n"/>
      <c r="R239" s="229" t="n"/>
      <c r="S239" s="229" t="n"/>
      <c r="T239" s="229" t="n"/>
      <c r="U239" s="229" t="n"/>
      <c r="V239" s="229" t="n"/>
      <c r="W239" s="229" t="n"/>
      <c r="X239" s="229" t="n"/>
      <c r="Y239" s="229" t="n"/>
      <c r="Z239" s="229" t="n"/>
      <c r="AA239" s="229" t="n"/>
      <c r="AB239" s="229" t="n"/>
      <c r="AC239" s="229" t="n"/>
      <c r="AD239" s="229" t="n"/>
      <c r="AE239" s="229" t="n"/>
      <c r="AF239" s="229" t="n"/>
      <c r="AG239" s="229" t="n"/>
      <c r="AH239" s="229" t="n"/>
      <c r="AI239" s="229" t="n"/>
      <c r="AJ239" s="229" t="n"/>
    </row>
    <row r="240" customFormat="1" s="13">
      <c r="A240" s="11" t="inlineStr">
        <is>
          <t>#</t>
        </is>
      </c>
      <c r="B240" s="230" t="n"/>
      <c r="C240" s="229" t="n"/>
      <c r="D240" s="229" t="n"/>
      <c r="E240" s="229" t="n"/>
      <c r="F240" s="229" t="n"/>
      <c r="G240" s="229" t="n"/>
      <c r="H240" s="229" t="n"/>
      <c r="I240" s="229" t="n"/>
      <c r="J240" s="229" t="inlineStr">
        <is>
          <t>UA</t>
        </is>
      </c>
      <c r="K240" s="229" t="n"/>
      <c r="L240" s="229" t="n"/>
      <c r="M240" s="229" t="n"/>
      <c r="N240" s="229" t="n"/>
      <c r="O240" s="229" t="n"/>
      <c r="P240" s="229" t="n"/>
      <c r="Q240" s="229" t="n"/>
      <c r="R240" s="229" t="n"/>
      <c r="S240" s="229" t="n"/>
      <c r="T240" s="229" t="n"/>
      <c r="U240" s="229" t="n"/>
      <c r="V240" s="229" t="n"/>
      <c r="W240" s="229" t="n"/>
      <c r="X240" s="229" t="n"/>
      <c r="Y240" s="229" t="n"/>
      <c r="Z240" s="229" t="n"/>
      <c r="AA240" s="229" t="n"/>
      <c r="AB240" s="229" t="n"/>
      <c r="AC240" s="229" t="n"/>
      <c r="AD240" s="229" t="n"/>
      <c r="AE240" s="229" t="n"/>
      <c r="AF240" s="229" t="n"/>
      <c r="AG240" s="229" t="n"/>
      <c r="AH240" s="229" t="n"/>
      <c r="AI240" s="229" t="n"/>
      <c r="AJ240" s="229" t="n"/>
    </row>
    <row r="241" customFormat="1" s="13">
      <c r="A241" s="11" t="inlineStr">
        <is>
          <t>#</t>
        </is>
      </c>
      <c r="B241" s="230" t="n"/>
      <c r="C241" s="229" t="n"/>
      <c r="D241" s="229" t="n"/>
      <c r="E241" s="229" t="n"/>
      <c r="F241" s="229" t="n"/>
      <c r="G241" s="229" t="n"/>
      <c r="H241" s="229" t="n"/>
      <c r="I241" s="229" t="n"/>
      <c r="J241" s="229" t="inlineStr">
        <is>
          <t>UG</t>
        </is>
      </c>
      <c r="K241" s="229" t="n"/>
      <c r="L241" s="229" t="n"/>
      <c r="M241" s="229" t="n"/>
      <c r="N241" s="229" t="n"/>
      <c r="O241" s="229" t="n"/>
      <c r="P241" s="229" t="n"/>
      <c r="Q241" s="229" t="n"/>
      <c r="R241" s="229" t="n"/>
      <c r="S241" s="229" t="n"/>
      <c r="T241" s="229" t="n"/>
      <c r="U241" s="229" t="n"/>
      <c r="V241" s="229" t="n"/>
      <c r="W241" s="229" t="n"/>
      <c r="X241" s="229" t="n"/>
      <c r="Y241" s="229" t="n"/>
      <c r="Z241" s="229" t="n"/>
      <c r="AA241" s="229" t="n"/>
      <c r="AB241" s="229" t="n"/>
      <c r="AC241" s="229" t="n"/>
      <c r="AD241" s="229" t="n"/>
      <c r="AE241" s="229" t="n"/>
      <c r="AF241" s="229" t="n"/>
      <c r="AG241" s="229" t="n"/>
      <c r="AH241" s="229" t="n"/>
      <c r="AI241" s="229" t="n"/>
      <c r="AJ241" s="229" t="n"/>
    </row>
    <row r="242" customFormat="1" s="13">
      <c r="A242" s="11" t="inlineStr">
        <is>
          <t>#</t>
        </is>
      </c>
      <c r="B242" s="230" t="n"/>
      <c r="C242" s="229" t="n"/>
      <c r="D242" s="229" t="n"/>
      <c r="E242" s="229" t="n"/>
      <c r="F242" s="229" t="n"/>
      <c r="G242" s="229" t="n"/>
      <c r="H242" s="229" t="n"/>
      <c r="I242" s="229" t="n"/>
      <c r="J242" s="229" t="inlineStr">
        <is>
          <t>UM</t>
        </is>
      </c>
      <c r="K242" s="229" t="n"/>
      <c r="L242" s="229" t="n"/>
      <c r="M242" s="229" t="n"/>
      <c r="N242" s="229" t="n"/>
      <c r="O242" s="229" t="n"/>
      <c r="P242" s="229" t="n"/>
      <c r="Q242" s="229" t="n"/>
      <c r="R242" s="229" t="n"/>
      <c r="S242" s="229" t="n"/>
      <c r="T242" s="229" t="n"/>
      <c r="U242" s="229" t="n"/>
      <c r="V242" s="229" t="n"/>
      <c r="W242" s="229" t="n"/>
      <c r="X242" s="229" t="n"/>
      <c r="Y242" s="229" t="n"/>
      <c r="Z242" s="229" t="n"/>
      <c r="AA242" s="229" t="n"/>
      <c r="AB242" s="229" t="n"/>
      <c r="AC242" s="229" t="n"/>
      <c r="AD242" s="229" t="n"/>
      <c r="AE242" s="229" t="n"/>
      <c r="AF242" s="229" t="n"/>
      <c r="AG242" s="229" t="n"/>
      <c r="AH242" s="229" t="n"/>
      <c r="AI242" s="229" t="n"/>
      <c r="AJ242" s="229" t="n"/>
    </row>
    <row r="243" customFormat="1" s="13">
      <c r="A243" s="11" t="inlineStr">
        <is>
          <t>#</t>
        </is>
      </c>
      <c r="B243" s="230" t="n"/>
      <c r="C243" s="229" t="n"/>
      <c r="D243" s="229" t="n"/>
      <c r="E243" s="229" t="n"/>
      <c r="F243" s="229" t="n"/>
      <c r="G243" s="229" t="n"/>
      <c r="H243" s="229" t="n"/>
      <c r="I243" s="229" t="n"/>
      <c r="J243" s="229" t="inlineStr">
        <is>
          <t>US</t>
        </is>
      </c>
      <c r="K243" s="229" t="n"/>
      <c r="L243" s="229" t="n"/>
      <c r="M243" s="229" t="n"/>
      <c r="N243" s="229" t="n"/>
      <c r="O243" s="229" t="n"/>
      <c r="P243" s="229" t="n"/>
      <c r="Q243" s="229" t="n"/>
      <c r="R243" s="229" t="n"/>
      <c r="S243" s="229" t="n"/>
      <c r="T243" s="229" t="n"/>
      <c r="U243" s="229" t="n"/>
      <c r="V243" s="229" t="n"/>
      <c r="W243" s="229" t="n"/>
      <c r="X243" s="229" t="n"/>
      <c r="Y243" s="229" t="n"/>
      <c r="Z243" s="229" t="n"/>
      <c r="AA243" s="229" t="n"/>
      <c r="AB243" s="229" t="n"/>
      <c r="AC243" s="229" t="n"/>
      <c r="AD243" s="229" t="n"/>
      <c r="AE243" s="229" t="n"/>
      <c r="AF243" s="229" t="n"/>
      <c r="AG243" s="229" t="n"/>
      <c r="AH243" s="229" t="n"/>
      <c r="AI243" s="229" t="n"/>
      <c r="AJ243" s="229" t="n"/>
    </row>
    <row r="244" customFormat="1" s="13">
      <c r="A244" s="11" t="inlineStr">
        <is>
          <t>#</t>
        </is>
      </c>
      <c r="B244" s="230" t="n"/>
      <c r="C244" s="229" t="n"/>
      <c r="D244" s="229" t="n"/>
      <c r="E244" s="229" t="n"/>
      <c r="F244" s="229" t="n"/>
      <c r="G244" s="229" t="n"/>
      <c r="H244" s="229" t="n"/>
      <c r="I244" s="229" t="n"/>
      <c r="J244" s="229" t="inlineStr">
        <is>
          <t>UY</t>
        </is>
      </c>
      <c r="K244" s="229" t="n"/>
      <c r="L244" s="229" t="n"/>
      <c r="M244" s="229" t="n"/>
      <c r="N244" s="229" t="n"/>
      <c r="O244" s="229" t="n"/>
      <c r="P244" s="229" t="n"/>
      <c r="Q244" s="229" t="n"/>
      <c r="R244" s="229" t="n"/>
      <c r="S244" s="229" t="n"/>
      <c r="T244" s="229" t="n"/>
      <c r="U244" s="229" t="n"/>
      <c r="V244" s="229" t="n"/>
      <c r="W244" s="229" t="n"/>
      <c r="X244" s="229" t="n"/>
      <c r="Y244" s="229" t="n"/>
      <c r="Z244" s="229" t="n"/>
      <c r="AA244" s="229" t="n"/>
      <c r="AB244" s="229" t="n"/>
      <c r="AC244" s="229" t="n"/>
      <c r="AD244" s="229" t="n"/>
      <c r="AE244" s="229" t="n"/>
      <c r="AF244" s="229" t="n"/>
      <c r="AG244" s="229" t="n"/>
      <c r="AH244" s="229" t="n"/>
      <c r="AI244" s="229" t="n"/>
      <c r="AJ244" s="229" t="n"/>
    </row>
    <row r="245" customFormat="1" s="13">
      <c r="A245" s="11" t="inlineStr">
        <is>
          <t>#</t>
        </is>
      </c>
      <c r="B245" s="230" t="n"/>
      <c r="C245" s="229" t="n"/>
      <c r="D245" s="229" t="n"/>
      <c r="E245" s="229" t="n"/>
      <c r="F245" s="229" t="n"/>
      <c r="G245" s="229" t="n"/>
      <c r="H245" s="229" t="n"/>
      <c r="I245" s="229" t="n"/>
      <c r="J245" s="229" t="inlineStr">
        <is>
          <t>UZ</t>
        </is>
      </c>
      <c r="K245" s="229" t="n"/>
      <c r="L245" s="229" t="n"/>
      <c r="M245" s="229" t="n"/>
      <c r="N245" s="229" t="n"/>
      <c r="O245" s="229" t="n"/>
      <c r="P245" s="229" t="n"/>
      <c r="Q245" s="229" t="n"/>
      <c r="R245" s="229" t="n"/>
      <c r="S245" s="229" t="n"/>
      <c r="T245" s="229" t="n"/>
      <c r="U245" s="229" t="n"/>
      <c r="V245" s="229" t="n"/>
      <c r="W245" s="229" t="n"/>
      <c r="X245" s="229" t="n"/>
      <c r="Y245" s="229" t="n"/>
      <c r="Z245" s="229" t="n"/>
      <c r="AA245" s="229" t="n"/>
      <c r="AB245" s="229" t="n"/>
      <c r="AC245" s="229" t="n"/>
      <c r="AD245" s="229" t="n"/>
      <c r="AE245" s="229" t="n"/>
      <c r="AF245" s="229" t="n"/>
      <c r="AG245" s="229" t="n"/>
      <c r="AH245" s="229" t="n"/>
      <c r="AI245" s="229" t="n"/>
      <c r="AJ245" s="229" t="n"/>
    </row>
    <row r="246" customFormat="1" s="13">
      <c r="A246" s="11" t="inlineStr">
        <is>
          <t>#</t>
        </is>
      </c>
      <c r="B246" s="230" t="n"/>
      <c r="C246" s="229" t="n"/>
      <c r="D246" s="229" t="n"/>
      <c r="E246" s="229" t="n"/>
      <c r="F246" s="229" t="n"/>
      <c r="G246" s="229" t="n"/>
      <c r="H246" s="229" t="n"/>
      <c r="I246" s="229" t="n"/>
      <c r="J246" s="229" t="inlineStr">
        <is>
          <t>VA</t>
        </is>
      </c>
      <c r="K246" s="229" t="n"/>
      <c r="L246" s="229" t="n"/>
      <c r="M246" s="229" t="n"/>
      <c r="N246" s="229" t="n"/>
      <c r="O246" s="229" t="n"/>
      <c r="P246" s="229" t="n"/>
      <c r="Q246" s="229" t="n"/>
      <c r="R246" s="229" t="n"/>
      <c r="S246" s="229" t="n"/>
      <c r="T246" s="229" t="n"/>
      <c r="U246" s="229" t="n"/>
      <c r="V246" s="229" t="n"/>
      <c r="W246" s="229" t="n"/>
      <c r="X246" s="229" t="n"/>
      <c r="Y246" s="229" t="n"/>
      <c r="Z246" s="229" t="n"/>
      <c r="AA246" s="229" t="n"/>
      <c r="AB246" s="229" t="n"/>
      <c r="AC246" s="229" t="n"/>
      <c r="AD246" s="229" t="n"/>
      <c r="AE246" s="229" t="n"/>
      <c r="AF246" s="229" t="n"/>
      <c r="AG246" s="229" t="n"/>
      <c r="AH246" s="229" t="n"/>
      <c r="AI246" s="229" t="n"/>
      <c r="AJ246" s="229" t="n"/>
    </row>
    <row r="247" customFormat="1" s="13">
      <c r="A247" s="11" t="inlineStr">
        <is>
          <t>#</t>
        </is>
      </c>
      <c r="B247" s="230" t="n"/>
      <c r="C247" s="229" t="n"/>
      <c r="D247" s="229" t="n"/>
      <c r="E247" s="229" t="n"/>
      <c r="F247" s="229" t="n"/>
      <c r="G247" s="229" t="n"/>
      <c r="H247" s="229" t="n"/>
      <c r="I247" s="229" t="n"/>
      <c r="J247" s="229" t="inlineStr">
        <is>
          <t>VC</t>
        </is>
      </c>
      <c r="K247" s="229" t="n"/>
      <c r="L247" s="229" t="n"/>
      <c r="M247" s="229" t="n"/>
      <c r="N247" s="229" t="n"/>
      <c r="O247" s="229" t="n"/>
      <c r="P247" s="229" t="n"/>
      <c r="Q247" s="229" t="n"/>
      <c r="R247" s="229" t="n"/>
      <c r="S247" s="229" t="n"/>
      <c r="T247" s="229" t="n"/>
      <c r="U247" s="229" t="n"/>
      <c r="V247" s="229" t="n"/>
      <c r="W247" s="229" t="n"/>
      <c r="X247" s="229" t="n"/>
      <c r="Y247" s="229" t="n"/>
      <c r="Z247" s="229" t="n"/>
      <c r="AA247" s="229" t="n"/>
      <c r="AB247" s="229" t="n"/>
      <c r="AC247" s="229" t="n"/>
      <c r="AD247" s="229" t="n"/>
      <c r="AE247" s="229" t="n"/>
      <c r="AF247" s="229" t="n"/>
      <c r="AG247" s="229" t="n"/>
      <c r="AH247" s="229" t="n"/>
      <c r="AI247" s="229" t="n"/>
      <c r="AJ247" s="229" t="n"/>
    </row>
    <row r="248" customFormat="1" s="13">
      <c r="A248" s="11" t="inlineStr">
        <is>
          <t>#</t>
        </is>
      </c>
      <c r="B248" s="230" t="n"/>
      <c r="C248" s="229" t="n"/>
      <c r="D248" s="229" t="n"/>
      <c r="E248" s="229" t="n"/>
      <c r="F248" s="229" t="n"/>
      <c r="G248" s="229" t="n"/>
      <c r="H248" s="229" t="n"/>
      <c r="I248" s="229" t="n"/>
      <c r="J248" s="229" t="inlineStr">
        <is>
          <t>VE</t>
        </is>
      </c>
      <c r="K248" s="229" t="n"/>
      <c r="L248" s="229" t="n"/>
      <c r="M248" s="229" t="n"/>
      <c r="N248" s="229" t="n"/>
      <c r="O248" s="229" t="n"/>
      <c r="P248" s="229" t="n"/>
      <c r="Q248" s="229" t="n"/>
      <c r="R248" s="229" t="n"/>
      <c r="S248" s="229" t="n"/>
      <c r="T248" s="229" t="n"/>
      <c r="U248" s="229" t="n"/>
      <c r="V248" s="229" t="n"/>
      <c r="W248" s="229" t="n"/>
      <c r="X248" s="229" t="n"/>
      <c r="Y248" s="229" t="n"/>
      <c r="Z248" s="229" t="n"/>
      <c r="AA248" s="229" t="n"/>
      <c r="AB248" s="229" t="n"/>
      <c r="AC248" s="229" t="n"/>
      <c r="AD248" s="229" t="n"/>
      <c r="AE248" s="229" t="n"/>
      <c r="AF248" s="229" t="n"/>
      <c r="AG248" s="229" t="n"/>
      <c r="AH248" s="229" t="n"/>
      <c r="AI248" s="229" t="n"/>
      <c r="AJ248" s="229" t="n"/>
    </row>
    <row r="249" customFormat="1" s="13">
      <c r="A249" s="11" t="inlineStr">
        <is>
          <t>#</t>
        </is>
      </c>
      <c r="B249" s="230" t="n"/>
      <c r="C249" s="229" t="n"/>
      <c r="D249" s="229" t="n"/>
      <c r="E249" s="229" t="n"/>
      <c r="F249" s="229" t="n"/>
      <c r="G249" s="229" t="n"/>
      <c r="H249" s="229" t="n"/>
      <c r="I249" s="229" t="n"/>
      <c r="J249" s="229" t="inlineStr">
        <is>
          <t>VG</t>
        </is>
      </c>
      <c r="K249" s="229" t="n"/>
      <c r="L249" s="229" t="n"/>
      <c r="M249" s="229" t="n"/>
      <c r="N249" s="229" t="n"/>
      <c r="O249" s="229" t="n"/>
      <c r="P249" s="229" t="n"/>
      <c r="Q249" s="229" t="n"/>
      <c r="R249" s="229" t="n"/>
      <c r="S249" s="229" t="n"/>
      <c r="T249" s="229" t="n"/>
      <c r="U249" s="229" t="n"/>
      <c r="V249" s="229" t="n"/>
      <c r="W249" s="229" t="n"/>
      <c r="X249" s="229" t="n"/>
      <c r="Y249" s="229" t="n"/>
      <c r="Z249" s="229" t="n"/>
      <c r="AA249" s="229" t="n"/>
      <c r="AB249" s="229" t="n"/>
      <c r="AC249" s="229" t="n"/>
      <c r="AD249" s="229" t="n"/>
      <c r="AE249" s="229" t="n"/>
      <c r="AF249" s="229" t="n"/>
      <c r="AG249" s="229" t="n"/>
      <c r="AH249" s="229" t="n"/>
      <c r="AI249" s="229" t="n"/>
      <c r="AJ249" s="229" t="n"/>
    </row>
    <row r="250" customFormat="1" s="13">
      <c r="A250" s="11" t="inlineStr">
        <is>
          <t>#</t>
        </is>
      </c>
      <c r="B250" s="230" t="n"/>
      <c r="C250" s="229" t="n"/>
      <c r="D250" s="229" t="n"/>
      <c r="E250" s="229" t="n"/>
      <c r="F250" s="229" t="n"/>
      <c r="G250" s="229" t="n"/>
      <c r="H250" s="229" t="n"/>
      <c r="I250" s="229" t="n"/>
      <c r="J250" s="229" t="inlineStr">
        <is>
          <t>VI</t>
        </is>
      </c>
      <c r="K250" s="229" t="n"/>
      <c r="L250" s="229" t="n"/>
      <c r="M250" s="229" t="n"/>
      <c r="N250" s="229" t="n"/>
      <c r="O250" s="229" t="n"/>
      <c r="P250" s="229" t="n"/>
      <c r="Q250" s="229" t="n"/>
      <c r="R250" s="229" t="n"/>
      <c r="S250" s="229" t="n"/>
      <c r="T250" s="229" t="n"/>
      <c r="U250" s="229" t="n"/>
      <c r="V250" s="229" t="n"/>
      <c r="W250" s="229" t="n"/>
      <c r="X250" s="229" t="n"/>
      <c r="Y250" s="229" t="n"/>
      <c r="Z250" s="229" t="n"/>
      <c r="AA250" s="229" t="n"/>
      <c r="AB250" s="229" t="n"/>
      <c r="AC250" s="229" t="n"/>
      <c r="AD250" s="229" t="n"/>
      <c r="AE250" s="229" t="n"/>
      <c r="AF250" s="229" t="n"/>
      <c r="AG250" s="229" t="n"/>
      <c r="AH250" s="229" t="n"/>
      <c r="AI250" s="229" t="n"/>
      <c r="AJ250" s="229" t="n"/>
    </row>
    <row r="251" customFormat="1" s="13">
      <c r="A251" s="11" t="inlineStr">
        <is>
          <t>#</t>
        </is>
      </c>
      <c r="B251" s="230" t="n"/>
      <c r="C251" s="229" t="n"/>
      <c r="D251" s="229" t="n"/>
      <c r="E251" s="229" t="n"/>
      <c r="F251" s="229" t="n"/>
      <c r="G251" s="229" t="n"/>
      <c r="H251" s="229" t="n"/>
      <c r="I251" s="229" t="n"/>
      <c r="J251" s="229" t="inlineStr">
        <is>
          <t>VN</t>
        </is>
      </c>
      <c r="K251" s="229" t="n"/>
      <c r="L251" s="229" t="n"/>
      <c r="M251" s="229" t="n"/>
      <c r="N251" s="229" t="n"/>
      <c r="O251" s="229" t="n"/>
      <c r="P251" s="229" t="n"/>
      <c r="Q251" s="229" t="n"/>
      <c r="R251" s="229" t="n"/>
      <c r="S251" s="229" t="n"/>
      <c r="T251" s="229" t="n"/>
      <c r="U251" s="229" t="n"/>
      <c r="V251" s="229" t="n"/>
      <c r="W251" s="229" t="n"/>
      <c r="X251" s="229" t="n"/>
      <c r="Y251" s="229" t="n"/>
      <c r="Z251" s="229" t="n"/>
      <c r="AA251" s="229" t="n"/>
      <c r="AB251" s="229" t="n"/>
      <c r="AC251" s="229" t="n"/>
      <c r="AD251" s="229" t="n"/>
      <c r="AE251" s="229" t="n"/>
      <c r="AF251" s="229" t="n"/>
      <c r="AG251" s="229" t="n"/>
      <c r="AH251" s="229" t="n"/>
      <c r="AI251" s="229" t="n"/>
      <c r="AJ251" s="229" t="n"/>
    </row>
    <row r="252" customFormat="1" s="13">
      <c r="A252" s="11" t="inlineStr">
        <is>
          <t>#</t>
        </is>
      </c>
      <c r="B252" s="230" t="n"/>
      <c r="C252" s="229" t="n"/>
      <c r="D252" s="229" t="n"/>
      <c r="E252" s="229" t="n"/>
      <c r="F252" s="229" t="n"/>
      <c r="G252" s="229" t="n"/>
      <c r="H252" s="229" t="n"/>
      <c r="I252" s="229" t="n"/>
      <c r="J252" s="229" t="inlineStr">
        <is>
          <t>VU</t>
        </is>
      </c>
      <c r="K252" s="229" t="n"/>
      <c r="L252" s="229" t="n"/>
      <c r="M252" s="229" t="n"/>
      <c r="N252" s="229" t="n"/>
      <c r="O252" s="229" t="n"/>
      <c r="P252" s="229" t="n"/>
      <c r="Q252" s="229" t="n"/>
      <c r="R252" s="229" t="n"/>
      <c r="S252" s="229" t="n"/>
      <c r="T252" s="229" t="n"/>
      <c r="U252" s="229" t="n"/>
      <c r="V252" s="229" t="n"/>
      <c r="W252" s="229" t="n"/>
      <c r="X252" s="229" t="n"/>
      <c r="Y252" s="229" t="n"/>
      <c r="Z252" s="229" t="n"/>
      <c r="AA252" s="229" t="n"/>
      <c r="AB252" s="229" t="n"/>
      <c r="AC252" s="229" t="n"/>
      <c r="AD252" s="229" t="n"/>
      <c r="AE252" s="229" t="n"/>
      <c r="AF252" s="229" t="n"/>
      <c r="AG252" s="229" t="n"/>
      <c r="AH252" s="229" t="n"/>
      <c r="AI252" s="229" t="n"/>
      <c r="AJ252" s="229" t="n"/>
    </row>
    <row r="253" customFormat="1" s="13">
      <c r="A253" s="11" t="inlineStr">
        <is>
          <t>#</t>
        </is>
      </c>
      <c r="B253" s="230" t="n"/>
      <c r="C253" s="229" t="n"/>
      <c r="D253" s="229" t="n"/>
      <c r="E253" s="229" t="n"/>
      <c r="F253" s="229" t="n"/>
      <c r="G253" s="229" t="n"/>
      <c r="H253" s="229" t="n"/>
      <c r="I253" s="229" t="n"/>
      <c r="J253" s="229" t="inlineStr">
        <is>
          <t>WF</t>
        </is>
      </c>
      <c r="K253" s="229" t="n"/>
      <c r="L253" s="229" t="n"/>
      <c r="M253" s="229" t="n"/>
      <c r="N253" s="229" t="n"/>
      <c r="O253" s="229" t="n"/>
      <c r="P253" s="229" t="n"/>
      <c r="Q253" s="229" t="n"/>
      <c r="R253" s="229" t="n"/>
      <c r="S253" s="229" t="n"/>
      <c r="T253" s="229" t="n"/>
      <c r="U253" s="229" t="n"/>
      <c r="V253" s="229" t="n"/>
      <c r="W253" s="229" t="n"/>
      <c r="X253" s="229" t="n"/>
      <c r="Y253" s="229" t="n"/>
      <c r="Z253" s="229" t="n"/>
      <c r="AA253" s="229" t="n"/>
      <c r="AB253" s="229" t="n"/>
      <c r="AC253" s="229" t="n"/>
      <c r="AD253" s="229" t="n"/>
      <c r="AE253" s="229" t="n"/>
      <c r="AF253" s="229" t="n"/>
      <c r="AG253" s="229" t="n"/>
      <c r="AH253" s="229" t="n"/>
      <c r="AI253" s="229" t="n"/>
      <c r="AJ253" s="229" t="n"/>
    </row>
    <row r="254" customFormat="1" s="13">
      <c r="A254" s="11" t="inlineStr">
        <is>
          <t>#</t>
        </is>
      </c>
      <c r="B254" s="230" t="n"/>
      <c r="C254" s="229" t="n"/>
      <c r="D254" s="229" t="n"/>
      <c r="E254" s="229" t="n"/>
      <c r="F254" s="229" t="n"/>
      <c r="G254" s="229" t="n"/>
      <c r="H254" s="229" t="n"/>
      <c r="I254" s="229" t="n"/>
      <c r="J254" s="229" t="inlineStr">
        <is>
          <t>WS</t>
        </is>
      </c>
      <c r="K254" s="229" t="n"/>
      <c r="L254" s="229" t="n"/>
      <c r="M254" s="229" t="n"/>
      <c r="N254" s="229" t="n"/>
      <c r="O254" s="229" t="n"/>
      <c r="P254" s="229" t="n"/>
      <c r="Q254" s="229" t="n"/>
      <c r="R254" s="229" t="n"/>
      <c r="S254" s="229" t="n"/>
      <c r="T254" s="229" t="n"/>
      <c r="U254" s="229" t="n"/>
      <c r="V254" s="229" t="n"/>
      <c r="W254" s="229" t="n"/>
      <c r="X254" s="229" t="n"/>
      <c r="Y254" s="229" t="n"/>
      <c r="Z254" s="229" t="n"/>
      <c r="AA254" s="229" t="n"/>
      <c r="AB254" s="229" t="n"/>
      <c r="AC254" s="229" t="n"/>
      <c r="AD254" s="229" t="n"/>
      <c r="AE254" s="229" t="n"/>
      <c r="AF254" s="229" t="n"/>
      <c r="AG254" s="229" t="n"/>
      <c r="AH254" s="229" t="n"/>
      <c r="AI254" s="229" t="n"/>
      <c r="AJ254" s="229" t="n"/>
    </row>
    <row r="255" customFormat="1" s="13">
      <c r="A255" s="11" t="inlineStr">
        <is>
          <t>#</t>
        </is>
      </c>
      <c r="B255" s="230" t="n"/>
      <c r="C255" s="229" t="n"/>
      <c r="D255" s="229" t="n"/>
      <c r="E255" s="229" t="n"/>
      <c r="F255" s="229" t="n"/>
      <c r="G255" s="229" t="n"/>
      <c r="H255" s="229" t="n"/>
      <c r="I255" s="229" t="n"/>
      <c r="J255" s="229" t="inlineStr">
        <is>
          <t>YE</t>
        </is>
      </c>
      <c r="K255" s="229" t="n"/>
      <c r="L255" s="229" t="n"/>
      <c r="M255" s="229" t="n"/>
      <c r="N255" s="229" t="n"/>
      <c r="O255" s="229" t="n"/>
      <c r="P255" s="229" t="n"/>
      <c r="Q255" s="229" t="n"/>
      <c r="R255" s="229" t="n"/>
      <c r="S255" s="229" t="n"/>
      <c r="T255" s="229" t="n"/>
      <c r="U255" s="229" t="n"/>
      <c r="V255" s="229" t="n"/>
      <c r="W255" s="229" t="n"/>
      <c r="X255" s="229" t="n"/>
      <c r="Y255" s="229" t="n"/>
      <c r="Z255" s="229" t="n"/>
      <c r="AA255" s="229" t="n"/>
      <c r="AB255" s="229" t="n"/>
      <c r="AC255" s="229" t="n"/>
      <c r="AD255" s="229" t="n"/>
      <c r="AE255" s="229" t="n"/>
      <c r="AF255" s="229" t="n"/>
      <c r="AG255" s="229" t="n"/>
      <c r="AH255" s="229" t="n"/>
      <c r="AI255" s="229" t="n"/>
      <c r="AJ255" s="229" t="n"/>
    </row>
    <row r="256" ht="12" customFormat="1" customHeight="1" s="13" thickBot="1">
      <c r="A256" s="11" t="inlineStr">
        <is>
          <t>#</t>
        </is>
      </c>
      <c r="B256" s="232" t="n"/>
      <c r="C256" s="229" t="n"/>
      <c r="D256" s="229" t="n"/>
      <c r="E256" s="229" t="n"/>
      <c r="F256" s="229" t="n"/>
      <c r="G256" s="229" t="n"/>
      <c r="H256" s="229" t="n"/>
      <c r="I256" s="229" t="n"/>
      <c r="J256" s="229" t="inlineStr">
        <is>
          <t>YT</t>
        </is>
      </c>
      <c r="K256" s="229" t="n"/>
      <c r="L256" s="229" t="n"/>
      <c r="M256" s="229" t="n"/>
      <c r="N256" s="229" t="n"/>
      <c r="O256" s="229" t="n"/>
      <c r="P256" s="229" t="n"/>
      <c r="Q256" s="229" t="n"/>
      <c r="R256" s="229" t="n"/>
      <c r="S256" s="229" t="n"/>
      <c r="T256" s="229" t="n"/>
      <c r="U256" s="229" t="n"/>
      <c r="V256" s="229" t="n"/>
      <c r="W256" s="229" t="n"/>
      <c r="X256" s="229" t="n"/>
      <c r="Y256" s="229" t="n"/>
      <c r="Z256" s="229" t="n"/>
      <c r="AA256" s="229" t="n"/>
      <c r="AB256" s="229" t="n"/>
      <c r="AC256" s="229" t="n"/>
      <c r="AD256" s="229" t="n"/>
      <c r="AE256" s="229" t="n"/>
      <c r="AF256" s="229" t="n"/>
      <c r="AG256" s="229" t="n"/>
      <c r="AH256" s="229" t="n"/>
      <c r="AI256" s="229" t="n"/>
      <c r="AJ256" s="229" t="n"/>
    </row>
    <row r="257" customFormat="1" s="13">
      <c r="A257" s="11" t="inlineStr">
        <is>
          <t>#</t>
        </is>
      </c>
      <c r="B257" s="11" t="n"/>
      <c r="C257" s="229" t="n"/>
      <c r="D257" s="229" t="n"/>
      <c r="E257" s="229" t="n"/>
      <c r="F257" s="229" t="n"/>
      <c r="G257" s="229" t="n"/>
      <c r="H257" s="229" t="n"/>
      <c r="I257" s="229" t="n"/>
      <c r="J257" s="229" t="inlineStr">
        <is>
          <t>ZA</t>
        </is>
      </c>
      <c r="K257" s="229" t="n"/>
      <c r="L257" s="229" t="n"/>
      <c r="M257" s="229" t="n"/>
      <c r="N257" s="229" t="n"/>
      <c r="O257" s="229" t="n"/>
      <c r="P257" s="229" t="n"/>
      <c r="Q257" s="229" t="n"/>
      <c r="R257" s="229" t="n"/>
      <c r="S257" s="229" t="n"/>
      <c r="T257" s="229" t="n"/>
      <c r="U257" s="229" t="n"/>
      <c r="V257" s="229" t="n"/>
      <c r="W257" s="229" t="n"/>
      <c r="X257" s="229" t="n"/>
      <c r="Y257" s="229" t="n"/>
      <c r="Z257" s="229" t="n"/>
      <c r="AA257" s="229" t="n"/>
      <c r="AB257" s="229" t="n"/>
      <c r="AC257" s="229" t="n"/>
      <c r="AD257" s="229" t="n"/>
      <c r="AE257" s="229" t="n"/>
      <c r="AF257" s="229" t="n"/>
      <c r="AG257" s="229" t="n"/>
      <c r="AH257" s="229" t="n"/>
      <c r="AI257" s="229" t="n"/>
      <c r="AJ257" s="229" t="n"/>
    </row>
    <row r="258" ht="12" customFormat="1" customHeight="1" s="13" thickBot="1">
      <c r="A258" s="11" t="inlineStr">
        <is>
          <t>#</t>
        </is>
      </c>
      <c r="B258" s="11" t="n"/>
      <c r="C258" s="229" t="n"/>
      <c r="D258" s="233" t="n"/>
      <c r="E258" s="233" t="n"/>
      <c r="F258" s="233" t="n"/>
      <c r="G258" s="233" t="n"/>
      <c r="H258" s="233" t="n"/>
      <c r="I258" s="233" t="n"/>
      <c r="J258" s="229" t="inlineStr">
        <is>
          <t>ZM</t>
        </is>
      </c>
      <c r="K258" s="233" t="n"/>
      <c r="L258" s="233" t="n"/>
      <c r="M258" s="233" t="n"/>
      <c r="N258" s="229" t="n"/>
      <c r="O258" s="229" t="n"/>
      <c r="P258" s="229" t="n"/>
      <c r="Q258" s="229" t="n"/>
      <c r="R258" s="229" t="n"/>
      <c r="S258" s="229" t="n"/>
      <c r="T258" s="229" t="n"/>
      <c r="U258" s="229" t="n"/>
      <c r="V258" s="229" t="n"/>
      <c r="W258" s="229" t="n"/>
      <c r="X258" s="229" t="n"/>
      <c r="Y258" s="229" t="n"/>
      <c r="Z258" s="229" t="n"/>
      <c r="AA258" s="229" t="n"/>
      <c r="AB258" s="229" t="n"/>
      <c r="AC258" s="229" t="n"/>
      <c r="AD258" s="229" t="n"/>
      <c r="AE258" s="229" t="n"/>
      <c r="AF258" s="229" t="n"/>
      <c r="AG258" s="229" t="n"/>
      <c r="AH258" s="229" t="n"/>
      <c r="AI258" s="229" t="n"/>
      <c r="AJ258" s="229" t="n"/>
    </row>
    <row r="259" ht="12" customHeight="1" thickBot="1">
      <c r="B259" s="3" t="n"/>
      <c r="C259" s="229" t="n"/>
      <c r="D259" s="234" t="n"/>
      <c r="E259" s="234" t="n"/>
      <c r="F259" s="234" t="n"/>
      <c r="G259" s="234" t="n"/>
      <c r="H259" s="234" t="n"/>
      <c r="I259" s="234" t="n"/>
      <c r="J259" s="233" t="inlineStr">
        <is>
          <t>ZW</t>
        </is>
      </c>
      <c r="K259" s="234" t="n"/>
      <c r="L259" s="234" t="n"/>
      <c r="M259" s="234" t="n"/>
      <c r="N259" s="234" t="n"/>
      <c r="O259" s="234" t="n"/>
      <c r="P259" s="234" t="n"/>
      <c r="Q259" s="234" t="n"/>
      <c r="R259" s="229" t="n"/>
      <c r="S259" s="234" t="n"/>
      <c r="T259" s="234" t="n"/>
      <c r="U259" s="229" t="n"/>
      <c r="V259" s="229" t="n"/>
      <c r="W259" s="234" t="n"/>
      <c r="X259" s="234" t="n"/>
      <c r="Y259" s="234" t="n"/>
      <c r="Z259" s="234" t="n"/>
      <c r="AA259" s="234" t="n"/>
      <c r="AB259" s="234" t="n"/>
      <c r="AC259" s="234" t="n"/>
      <c r="AD259" s="234" t="n"/>
      <c r="AE259" s="234" t="n"/>
      <c r="AF259" s="234" t="n"/>
      <c r="AG259" s="234" t="n"/>
      <c r="AH259" s="234" t="n"/>
      <c r="AI259" s="234" t="n"/>
      <c r="AJ259" s="234" t="n"/>
    </row>
    <row r="260" ht="12" customHeight="1" thickBot="1">
      <c r="C260" s="14" t="n"/>
      <c r="D260" s="2" t="n"/>
      <c r="E260" s="2" t="n"/>
      <c r="F260" s="2" t="n"/>
      <c r="G260" s="2" t="n"/>
      <c r="H260" s="2" t="n"/>
      <c r="I260" s="2" t="n"/>
      <c r="R260" s="12" t="n"/>
      <c r="U260" s="12" t="n"/>
      <c r="V260" s="12" t="n"/>
    </row>
    <row r="261">
      <c r="C261" s="2" t="n"/>
      <c r="D261" s="2" t="n"/>
      <c r="E261" s="2" t="n"/>
      <c r="F261" s="2" t="n"/>
      <c r="G261" s="2" t="n"/>
      <c r="H261" s="2" t="n"/>
      <c r="I261" s="2" t="n"/>
      <c r="R261" s="12" t="n"/>
    </row>
    <row r="262">
      <c r="C262" s="2" t="n"/>
      <c r="D262" s="2" t="n"/>
      <c r="E262" s="2" t="n"/>
      <c r="F262" s="2" t="n"/>
      <c r="G262" s="2" t="n"/>
      <c r="H262" s="2" t="n"/>
      <c r="I262" s="2" t="n"/>
    </row>
    <row r="263">
      <c r="C263" s="2" t="n"/>
      <c r="D263" s="2" t="n"/>
      <c r="E263" s="2" t="n"/>
      <c r="F263" s="2" t="n"/>
      <c r="G263" s="2" t="n"/>
      <c r="H263" s="2" t="n"/>
      <c r="I263" s="2" t="n"/>
    </row>
    <row r="264">
      <c r="C264" s="2" t="n"/>
      <c r="D264" s="2" t="n"/>
      <c r="E264" s="2" t="n"/>
      <c r="F264" s="2" t="n"/>
      <c r="G264" s="2" t="n"/>
      <c r="H264" s="2" t="n"/>
      <c r="I264" s="2" t="n"/>
    </row>
    <row r="265">
      <c r="C265" s="2" t="n"/>
      <c r="D265" s="2" t="n"/>
      <c r="E265" s="2" t="n"/>
      <c r="F265" s="2" t="n"/>
      <c r="G265" s="2" t="n"/>
      <c r="H265" s="2" t="n"/>
      <c r="I265" s="2" t="n"/>
    </row>
    <row r="266">
      <c r="C266" s="2" t="n"/>
      <c r="D266" s="2" t="n"/>
      <c r="E266" s="2" t="n"/>
      <c r="F266" s="2" t="n"/>
      <c r="G266" s="2" t="n"/>
      <c r="H266" s="2" t="n"/>
      <c r="I266" s="2" t="n"/>
    </row>
    <row r="267">
      <c r="C267" s="2" t="n"/>
      <c r="D267" s="2" t="n"/>
      <c r="E267" s="2" t="n"/>
      <c r="F267" s="2" t="n"/>
      <c r="G267" s="2" t="n"/>
      <c r="H267" s="2" t="n"/>
      <c r="I267" s="2" t="n"/>
    </row>
    <row r="268">
      <c r="C268" s="2" t="n"/>
      <c r="D268" s="2" t="n"/>
      <c r="E268" s="2" t="n"/>
      <c r="F268" s="2" t="n"/>
      <c r="G268" s="2" t="n"/>
      <c r="H268" s="2" t="n"/>
      <c r="I268" s="2" t="n"/>
    </row>
    <row r="269">
      <c r="C269" s="2" t="n"/>
      <c r="D269" s="2" t="n"/>
      <c r="E269" s="2" t="n"/>
      <c r="F269" s="2" t="n"/>
      <c r="G269" s="2" t="n"/>
      <c r="H269" s="2" t="n"/>
      <c r="I269" s="2" t="n"/>
    </row>
    <row r="270">
      <c r="C270" s="2" t="n"/>
      <c r="D270" s="2" t="n"/>
      <c r="E270" s="2" t="n"/>
      <c r="F270" s="2" t="n"/>
      <c r="G270" s="2" t="n"/>
      <c r="H270" s="2" t="n"/>
      <c r="I270" s="2" t="n"/>
    </row>
    <row r="271">
      <c r="C271" s="2" t="n"/>
    </row>
    <row r="272">
      <c r="C272" s="2" t="n"/>
    </row>
  </sheetData>
  <mergeCells count="3">
    <mergeCell ref="N2:AJ2"/>
    <mergeCell ref="K2:M2"/>
    <mergeCell ref="C2:J2"/>
  </mergeCells>
  <pageMargins left="0.7086614173228347" right="0.7086614173228347" top="0.7480314960629921" bottom="0.7480314960629921" header="0.3149606299212598" footer="0.3149606299212598"/>
  <pageSetup orientation="landscape" paperSize="8" scale="66"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Olaf van Halm</dc:creator>
  <dcterms:created xmlns:dcterms="http://purl.org/dc/terms/" xmlns:xsi="http://www.w3.org/2001/XMLSchema-instance" xsi:type="dcterms:W3CDTF">2019-11-10T10:34:53Z</dcterms:created>
  <dcterms:modified xmlns:dcterms="http://purl.org/dc/terms/" xmlns:xsi="http://www.w3.org/2001/XMLSchema-instance" xsi:type="dcterms:W3CDTF">2026-04-01T17:40:08Z</dcterms:modified>
  <cp:lastModifiedBy>Sascha Petsch</cp:lastModifiedBy>
  <cp:lastPrinted>2020-11-11T11:13:44Z</cp:lastPrinted>
</cp:coreProperties>
</file>