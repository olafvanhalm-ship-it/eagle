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66925"/>
  <mc:AlternateContent xmlns:mc="http://schemas.openxmlformats.org/markup-compatibility/2006">
    <mc:Choice Requires="x15">
      <x15ac:absPath xmlns:x15ac="http://schemas.microsoft.com/office/spreadsheetml/2010/11/ac" url="G:\Geteilte Ablagen\Matterhorn LU\Reporting Cloud\Reporting\2 Semi annual\11 Darby International Capital H Y\H2 2024\"/>
    </mc:Choice>
  </mc:AlternateContent>
  <xr:revisionPtr revIDLastSave="0" documentId="13_ncr:1_{79D53C74-AFCD-4490-AA31-91A6EDCE8F84}" xr6:coauthVersionLast="47" xr6:coauthVersionMax="47" xr10:uidLastSave="{00000000-0000-0000-0000-000000000000}"/>
  <bookViews>
    <workbookView xWindow="-110" yWindow="-110" windowWidth="29020" windowHeight="17500" tabRatio="819" xr2:uid="{5E1BFCC4-57E7-4108-BFD0-2491ECE813C0}"/>
  </bookViews>
  <sheets>
    <sheet name="Template" sheetId="2" r:id="rId1"/>
    <sheet name="#DOC InputRecords" sheetId="7" r:id="rId2"/>
    <sheet name="#DOC Reporting Obligation" sheetId="4" r:id="rId3"/>
    <sheet name="#DOC Reporting Code" sheetId="5" r:id="rId4"/>
    <sheet name="#DOC Annex II Tables" sheetId="6" r:id="rId5"/>
    <sheet name="#Validations" sheetId="1" r:id="rId6"/>
  </sheets>
  <definedNames>
    <definedName name="_xlnm._FilterDatabase" localSheetId="4" hidden="1">'#DOC Annex II Tables'!$B$1:$B$207</definedName>
    <definedName name="_xlnm._FilterDatabase" localSheetId="1" hidden="1">'#DOC InputRecords'!#REF!</definedName>
    <definedName name="_xlnm._FilterDatabase" localSheetId="3" hidden="1">'#DOC Reporting Code'!$B$2:$P$51</definedName>
    <definedName name="_xlnm._FilterDatabase" localSheetId="0" hidden="1">Template!$1:$144</definedName>
    <definedName name="AIF_external">Template!$B$130:$B$133</definedName>
    <definedName name="AIF_ID">Template!$B$22:$B$23</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_xlnm.Print_Area" localSheetId="1">'#DOC InputRecords'!#REF!</definedName>
    <definedName name="_xlnm.Print_Area" localSheetId="3">'#DOC Reporting Code'!$E$1:$P$51</definedName>
    <definedName name="_xlnm.Print_Area" localSheetId="5">'#Validations'!$B$1:$AJ$201</definedName>
    <definedName name="_xlnm.Print_Area" localSheetId="0">Template!$A$1:$AL$144</definedName>
    <definedName name="_xlnm.Print_Titles" localSheetId="1">'#DOC InputRecords'!#REF!</definedName>
    <definedName name="_xlnm.Print_Titles" localSheetId="3">'#DOC Reporting Code'!$1:$2</definedName>
    <definedName name="_xlnm.Print_Titles" localSheetId="5">'#Validations'!$1:$3</definedName>
    <definedName name="EEC">'#Validations'!$C$6:$C$39</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53" i="2" l="1"/>
  <c r="AC24" i="2" s="1"/>
  <c r="O53" i="2" l="1"/>
  <c r="AB24" i="2" s="1"/>
  <c r="H51" i="5"/>
  <c r="H47" i="5"/>
  <c r="H41" i="5"/>
  <c r="H39" i="5"/>
</calcChain>
</file>

<file path=xl/sharedStrings.xml><?xml version="1.0" encoding="utf-8"?>
<sst xmlns="http://schemas.openxmlformats.org/spreadsheetml/2006/main" count="4153" uniqueCount="1746">
  <si>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</si>
  <si>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</si>
  <si>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</si>
  <si>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</si>
  <si>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</si>
  <si>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</si>
  <si>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</si>
  <si>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</si>
  <si>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</si>
  <si>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</si>
  <si>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</si>
  <si>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</si>
  <si>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</si>
  <si>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</si>
  <si>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</si>
  <si>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</si>
  <si>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</si>
  <si>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</si>
  <si>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</si>
  <si>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</si>
  <si>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</si>
  <si>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</si>
  <si>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</si>
  <si>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</si>
  <si>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</si>
  <si>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</si>
  <si>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</si>
  <si>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</si>
  <si>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</si>
  <si>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</si>
  <si>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</si>
  <si>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</si>
  <si>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</si>
  <si>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</si>
  <si>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</si>
  <si>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</si>
  <si>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</si>
  <si>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</si>
  <si>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</si>
  <si>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</si>
  <si>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</si>
  <si>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</si>
  <si>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</si>
  <si>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</si>
  <si>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</si>
  <si>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</si>
  <si>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</si>
  <si>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</si>
  <si>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</si>
  <si>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</si>
  <si>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</si>
  <si>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</si>
  <si>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</si>
  <si>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</si>
  <si>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</si>
  <si>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</si>
  <si>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</si>
  <si>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</si>
  <si>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</si>
  <si>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</si>
  <si>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</si>
  <si>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</si>
  <si>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</si>
  <si>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</si>
  <si>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</si>
  <si>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</si>
  <si>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</si>
  <si>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</si>
  <si>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</si>
  <si>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</si>
  <si>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</si>
  <si>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</si>
  <si>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</si>
  <si>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</si>
  <si>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</si>
  <si>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</si>
  <si>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</si>
  <si>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</si>
  <si>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</si>
  <si>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</si>
  <si>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</si>
  <si>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</si>
  <si>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</si>
  <si>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</si>
  <si>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</si>
  <si>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</si>
  <si>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</si>
  <si>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</si>
  <si>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</si>
  <si>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</si>
  <si>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</si>
  <si>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</si>
  <si>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</si>
  <si>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</si>
  <si>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</si>
  <si>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</si>
  <si>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</si>
  <si>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</si>
  <si>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</si>
  <si>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</si>
  <si>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</si>
  <si>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</si>
  <si>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</si>
  <si>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</si>
  <si>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</si>
  <si>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</si>
  <si>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</si>
  <si>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</si>
  <si>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</si>
  <si>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</si>
  <si>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</si>
  <si>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</si>
  <si>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</si>
  <si>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</si>
  <si>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</si>
  <si>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</si>
  <si>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</si>
  <si>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</si>
  <si>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</si>
  <si>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</si>
  <si>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</si>
  <si>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</si>
  <si>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</si>
  <si>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</si>
  <si>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</si>
  <si>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</si>
  <si>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</si>
  <si>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</si>
  <si>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</si>
  <si>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</si>
  <si>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</si>
  <si>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</si>
  <si>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</si>
  <si>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</si>
  <si>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</si>
  <si>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</si>
  <si>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</si>
  <si>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</si>
  <si>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</si>
  <si>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</si>
  <si>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</si>
  <si>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</si>
  <si>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</si>
  <si>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</si>
  <si>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</si>
  <si>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</si>
  <si>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</si>
  <si>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</si>
  <si>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</si>
  <si>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</si>
  <si>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</si>
  <si>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</si>
  <si>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</si>
  <si>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</si>
  <si>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</si>
  <si>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</si>
  <si>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</si>
  <si>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</si>
  <si>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</si>
  <si>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</si>
  <si>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</si>
  <si>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</si>
  <si>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</si>
  <si>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</si>
  <si>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</si>
  <si>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</si>
  <si>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</si>
  <si>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</si>
  <si>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</si>
  <si>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</si>
  <si>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</si>
  <si>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</si>
  <si>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</si>
  <si>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</si>
  <si>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</si>
  <si>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</si>
  <si>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</si>
  <si>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</si>
  <si>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</si>
  <si>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</si>
  <si>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</si>
  <si>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</si>
  <si>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</si>
  <si>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</si>
  <si>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</si>
  <si>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</si>
  <si>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</si>
  <si>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</si>
  <si>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</si>
  <si>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</si>
  <si>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</si>
  <si>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</si>
  <si>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</si>
  <si>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</si>
  <si>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</si>
  <si>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</si>
  <si>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</si>
  <si>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</si>
  <si>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</si>
  <si>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</si>
  <si>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</si>
  <si>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</si>
  <si>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</si>
  <si>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</si>
  <si>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</si>
  <si>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</si>
  <si>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</si>
  <si>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</si>
  <si>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</si>
  <si>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</si>
  <si>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</si>
  <si>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</si>
  <si>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</si>
  <si>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</si>
  <si>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</si>
  <si>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</si>
  <si>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</si>
  <si>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</si>
  <si>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</si>
  <si>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</si>
  <si>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</si>
  <si>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</si>
  <si>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</si>
  <si>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</si>
  <si>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</si>
  <si>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</si>
  <si>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</si>
  <si>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</si>
  <si>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</si>
  <si>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</si>
  <si>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</si>
  <si>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</si>
  <si>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</si>
  <si>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</si>
  <si>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</si>
  <si>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</si>
  <si>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</si>
  <si>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</si>
  <si>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</si>
  <si>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</si>
  <si>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</si>
  <si>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</si>
  <si>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</si>
  <si>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</si>
  <si>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</si>
  <si>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</si>
  <si>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</si>
  <si>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</si>
  <si>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</si>
  <si>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</si>
  <si>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</si>
  <si>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</si>
  <si>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</si>
  <si>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</si>
  <si>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</si>
  <si>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</si>
  <si>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</si>
  <si>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</si>
  <si>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</si>
  <si>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</si>
  <si>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</si>
  <si>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</si>
  <si>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</si>
  <si>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</si>
  <si>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</si>
  <si>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</si>
  <si>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</si>
  <si>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</si>
  <si>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</si>
  <si>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</si>
  <si>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</si>
  <si>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</si>
  <si>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</si>
  <si>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</si>
  <si>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</si>
  <si>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</si>
  <si>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</si>
  <si>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</si>
  <si>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</si>
  <si>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</si>
  <si>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</si>
  <si>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</si>
  <si>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</si>
  <si>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</si>
  <si>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</si>
  <si>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</si>
  <si>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</si>
  <si>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</si>
  <si>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</si>
  <si>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</si>
  <si>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</si>
  <si>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</si>
  <si>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</si>
  <si>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</si>
  <si>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</si>
  <si>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</si>
  <si>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</si>
  <si>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</si>
  <si>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</si>
  <si>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</si>
  <si>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</si>
  <si>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</si>
  <si>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</si>
  <si>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</si>
  <si>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</si>
  <si>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</si>
  <si>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</si>
  <si>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</si>
  <si>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</si>
  <si>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</si>
  <si>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</si>
  <si>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</si>
  <si>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</si>
  <si>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</si>
  <si>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</si>
  <si>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</si>
  <si>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</si>
  <si>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</si>
  <si>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</si>
  <si>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</si>
  <si>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</si>
  <si>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</si>
  <si>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</si>
  <si>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</si>
  <si>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</si>
  <si>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</si>
  <si>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</si>
  <si>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</si>
  <si>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</si>
  <si>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</si>
  <si>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</si>
  <si>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</si>
  <si>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</si>
  <si>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</si>
  <si>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</si>
  <si>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</si>
  <si>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</si>
  <si>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</si>
  <si>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</si>
  <si>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</si>
  <si>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</si>
  <si>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</si>
  <si>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</si>
  <si>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</si>
  <si>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</si>
  <si>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</si>
  <si>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</si>
  <si>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</si>
  <si>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</si>
  <si>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</si>
  <si>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</si>
  <si>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</si>
  <si>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</si>
  <si>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</si>
  <si>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</si>
  <si>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</si>
  <si>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</si>
  <si>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</si>
  <si>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</si>
  <si>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</si>
  <si>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</si>
  <si>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</si>
  <si>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</si>
  <si>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</si>
  <si>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</si>
  <si>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</si>
  <si>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</si>
  <si>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</si>
  <si>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</si>
  <si>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</si>
  <si>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</si>
  <si>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</si>
  <si>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</si>
  <si>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</si>
  <si>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</si>
  <si>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</si>
  <si>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</si>
  <si>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</si>
  <si>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</si>
  <si>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</si>
  <si>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</si>
  <si>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</si>
  <si>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</si>
  <si>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</si>
  <si>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</si>
  <si>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</si>
  <si>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</si>
  <si>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</si>
  <si>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</si>
  <si>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</si>
  <si>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</si>
  <si>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</si>
  <si>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</si>
  <si>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</si>
  <si>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</si>
  <si>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</si>
  <si>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</si>
  <si>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</si>
  <si>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</si>
  <si>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</si>
  <si>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</si>
  <si>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</si>
  <si>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</si>
  <si>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</si>
  <si>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</si>
  <si>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</si>
  <si>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</si>
  <si>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</si>
  <si>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</si>
  <si>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</si>
  <si>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</si>
  <si>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</si>
  <si>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</si>
  <si>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</si>
  <si>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</si>
  <si>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</si>
  <si>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</si>
  <si>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</si>
  <si>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</si>
  <si>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</si>
  <si>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</si>
  <si>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</si>
  <si>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</si>
  <si>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</si>
  <si>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</si>
  <si>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</si>
  <si>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</si>
  <si>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</si>
  <si>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</si>
  <si>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</si>
  <si>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</si>
  <si>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</si>
  <si>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</si>
  <si>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</si>
  <si>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</si>
  <si>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</si>
  <si>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</si>
  <si>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</si>
  <si>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</si>
  <si>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</si>
  <si>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</si>
  <si>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</si>
  <si>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</si>
  <si>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</si>
  <si>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</si>
  <si>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</si>
  <si>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</si>
  <si>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</si>
  <si>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</si>
  <si>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</si>
  <si>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</si>
  <si>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</si>
  <si>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</si>
  <si>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</si>
  <si>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</si>
  <si>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</si>
  <si>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</si>
  <si>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</si>
  <si>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</si>
  <si>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</si>
  <si>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</si>
  <si>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</si>
  <si>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</si>
  <si>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</si>
  <si>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</si>
  <si>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</si>
  <si>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</si>
  <si>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</si>
  <si>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</si>
  <si>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</si>
  <si>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</si>
  <si>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</si>
  <si>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</si>
  <si>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</si>
  <si>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</si>
  <si>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</si>
  <si>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</si>
  <si>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</si>
  <si>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</si>
  <si>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</si>
  <si>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</si>
  <si>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</si>
  <si>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</si>
  <si>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</si>
  <si>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</si>
  <si>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</si>
  <si>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</si>
  <si>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</si>
  <si>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</si>
  <si>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</si>
  <si>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</si>
  <si>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</si>
  <si>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</si>
  <si>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</si>
  <si>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</si>
  <si>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</si>
  <si>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</si>
  <si>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</si>
  <si>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</si>
  <si>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</si>
  <si>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</si>
  <si>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</si>
  <si>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</si>
  <si>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</si>
  <si>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</si>
  <si>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</si>
  <si>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</si>
  <si>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</si>
  <si>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</si>
  <si>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</si>
  <si>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</si>
  <si>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</si>
  <si>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</si>
  <si>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</si>
  <si>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</si>
  <si>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</si>
  <si>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</si>
  <si>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</si>
  <si>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</si>
  <si>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</si>
  <si>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</si>
  <si>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</si>
  <si>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</si>
  <si>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</si>
  <si>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</si>
  <si>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</si>
  <si>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</si>
  <si>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</si>
  <si>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</si>
  <si>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</si>
  <si>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</si>
  <si>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</si>
  <si>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</si>
  <si>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</si>
  <si>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</si>
  <si>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</si>
  <si>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</si>
  <si>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</si>
  <si>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</si>
  <si>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</si>
  <si>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</si>
  <si>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</si>
  <si>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</si>
  <si>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</si>
  <si>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</si>
  <si>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</si>
  <si>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</si>
  <si>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</si>
  <si>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</si>
  <si>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</si>
  <si>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</si>
  <si>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</si>
  <si>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</si>
  <si>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</si>
  <si>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</si>
  <si>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</si>
  <si>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</si>
  <si>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</si>
  <si>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</si>
  <si>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</si>
  <si>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</si>
  <si>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</si>
  <si>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</si>
  <si>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</si>
  <si>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</si>
  <si>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</si>
  <si>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</si>
  <si>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</si>
  <si>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</si>
  <si>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</si>
  <si>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</si>
  <si>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</si>
  <si>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</si>
  <si>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</si>
  <si>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</si>
  <si>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</si>
  <si>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</si>
  <si>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</si>
  <si>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</si>
  <si>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</si>
  <si>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</si>
  <si>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</si>
  <si>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</si>
  <si>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</si>
  <si>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</si>
  <si>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</si>
  <si>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</si>
  <si>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</si>
  <si>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</si>
  <si>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</si>
  <si>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</si>
  <si>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</si>
  <si>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</si>
  <si>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</si>
  <si>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</si>
  <si>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</si>
  <si>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</si>
  <si>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</si>
  <si>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</si>
  <si>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</si>
  <si>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</si>
  <si>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</si>
  <si>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</si>
  <si>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</si>
  <si>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</si>
  <si>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</si>
  <si>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</si>
  <si>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</si>
  <si>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</si>
  <si>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</si>
  <si>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</si>
  <si>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</si>
  <si>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</si>
  <si>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</si>
  <si>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</si>
  <si>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</si>
  <si>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</si>
  <si>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</si>
  <si>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</si>
  <si>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</si>
  <si>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</si>
  <si>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</si>
  <si>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</si>
  <si>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</si>
  <si>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</si>
  <si>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</si>
  <si>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</si>
  <si>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</si>
  <si>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</si>
  <si>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</si>
  <si>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</si>
  <si>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</si>
  <si>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</si>
  <si>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</si>
  <si>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</si>
  <si>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</si>
  <si>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</si>
  <si>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</si>
  <si>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</si>
  <si>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</si>
  <si>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</si>
  <si>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</si>
  <si>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</si>
  <si>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</si>
  <si>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</si>
  <si>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</si>
  <si>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</si>
  <si>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</si>
  <si>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</si>
  <si>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</si>
  <si>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</si>
  <si>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</si>
  <si>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</si>
  <si>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</si>
  <si>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</si>
  <si>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</si>
  <si>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</si>
  <si>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</si>
  <si>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</si>
  <si>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</si>
  <si>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</si>
  <si>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</si>
  <si>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</si>
  <si>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</si>
  <si>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</si>
  <si>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</si>
  <si>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</si>
  <si>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</si>
  <si>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#AIFM_NATIONAL_CODE</t>
  </si>
  <si>
    <t>AIFM National Code</t>
  </si>
  <si>
    <t>Old AIFM National Code</t>
  </si>
  <si>
    <t>Custom National Code</t>
  </si>
  <si>
    <t>AIFM_NATIONAL_CODE</t>
  </si>
  <si>
    <t>#AIF_NATIONAL_CODE</t>
  </si>
  <si>
    <t>AIF_NATIONAL_CODE</t>
  </si>
  <si>
    <t>#AIFM</t>
  </si>
  <si>
    <t>Filing Type</t>
  </si>
  <si>
    <t>AIFM Content Type</t>
  </si>
  <si>
    <t>Reporting Period Start Date</t>
  </si>
  <si>
    <t>Reporting Period End Date</t>
  </si>
  <si>
    <t>Reporting Period Type</t>
  </si>
  <si>
    <t>Reporting Period Year</t>
  </si>
  <si>
    <t>Change in AIFM Reporting Obligation Frequency Code</t>
  </si>
  <si>
    <t>Change in AIFM Reporting Obligation contents Code</t>
  </si>
  <si>
    <t>Change in AIFM Reporting Obligation Quarter</t>
  </si>
  <si>
    <t>Last Reporting Flag</t>
  </si>
  <si>
    <t>AIFM Reporting Code</t>
  </si>
  <si>
    <t>AIFM Jurisdiction</t>
  </si>
  <si>
    <t>AIFM Name</t>
  </si>
  <si>
    <t>AIFM EEA Flag</t>
  </si>
  <si>
    <t>AIFM no reporting flag</t>
  </si>
  <si>
    <t>AIFM LEI Code</t>
  </si>
  <si>
    <t>AIFM BIC Code</t>
  </si>
  <si>
    <t>#AIF</t>
  </si>
  <si>
    <t>AIF Content Type</t>
  </si>
  <si>
    <t>Change in AIF Reporting Obligation Frequency Code</t>
  </si>
  <si>
    <t>Change in AIF Reporting Obligation contents Code</t>
  </si>
  <si>
    <t>Change in AIF Reporting Obligation Quarter</t>
  </si>
  <si>
    <t>Last reporting flag</t>
  </si>
  <si>
    <t>AIF Name</t>
  </si>
  <si>
    <t>AIF EEA Flag</t>
  </si>
  <si>
    <t>AIF reporting code</t>
  </si>
  <si>
    <t>Domicile of the AIF</t>
  </si>
  <si>
    <t>Inception Date of AIF</t>
  </si>
  <si>
    <t>AIF No Reporting Flag</t>
  </si>
  <si>
    <t>AIF LEI code</t>
  </si>
  <si>
    <t>AIF ISIN code</t>
  </si>
  <si>
    <t>AIF CUSIP code</t>
  </si>
  <si>
    <t>AIF Sedol code</t>
  </si>
  <si>
    <t>AIF Bloomberg code</t>
  </si>
  <si>
    <t>AIF Reuters code</t>
  </si>
  <si>
    <t>AIF ECB code</t>
  </si>
  <si>
    <t>Master feeder status</t>
  </si>
  <si>
    <t>Base currency of the AIF</t>
  </si>
  <si>
    <t>Total AuM amount of the AIF in base currency</t>
  </si>
  <si>
    <t>Total Net Asset Value of the AIF (NAV)</t>
  </si>
  <si>
    <t>First funding source country</t>
  </si>
  <si>
    <t>Second funding source country</t>
  </si>
  <si>
    <t>Third funding source country</t>
  </si>
  <si>
    <t>Number of transactions under HFT</t>
  </si>
  <si>
    <t>Market value of buys and sells in base currency under HFT</t>
  </si>
  <si>
    <t>Typical deal / position size</t>
  </si>
  <si>
    <t>Beneficially owned percentage by top 5 beneficial owners</t>
  </si>
  <si>
    <t>Expected annual investment return</t>
  </si>
  <si>
    <t>#POSITION</t>
  </si>
  <si>
    <t>Sub-Asset Type</t>
  </si>
  <si>
    <t>Instrument Code Type</t>
  </si>
  <si>
    <t>Instrument Name</t>
  </si>
  <si>
    <t>Instrument ISIN Code</t>
  </si>
  <si>
    <t>Market Code Type</t>
  </si>
  <si>
    <t>Market Code</t>
  </si>
  <si>
    <t>AII Exchange Product Code</t>
  </si>
  <si>
    <t>AII Derivative Type</t>
  </si>
  <si>
    <t>AII Put/Call Identifier</t>
  </si>
  <si>
    <t>AII Strike Price</t>
  </si>
  <si>
    <t>Long / Short</t>
  </si>
  <si>
    <t>Hedging % for short position</t>
  </si>
  <si>
    <t>Counterparty Name</t>
  </si>
  <si>
    <t>Counterparty LEI Code</t>
  </si>
  <si>
    <t>Counterparty BIC Code</t>
  </si>
  <si>
    <t>Currency of the exposure</t>
  </si>
  <si>
    <t>Region</t>
  </si>
  <si>
    <t>78-93</t>
  </si>
  <si>
    <t>EUROPEEEA</t>
  </si>
  <si>
    <t>Investment strategy code</t>
  </si>
  <si>
    <t>Indicate whether the sub strategy best describes the AIF’s strategy</t>
  </si>
  <si>
    <t>Share in NAV (%)</t>
  </si>
  <si>
    <t>Description for strategy type Other</t>
  </si>
  <si>
    <t>#INVESTOR</t>
  </si>
  <si>
    <t>Investor Group Type</t>
  </si>
  <si>
    <t>Investor group NAV percentage</t>
  </si>
  <si>
    <t>#FINANCE</t>
  </si>
  <si>
    <t>Rehypothecation flag</t>
  </si>
  <si>
    <t>Rehypothecated percentage of collateral amount posted to all counterparties</t>
  </si>
  <si>
    <t>Collaterised/secured cash borrowing prime broker amount</t>
  </si>
  <si>
    <t>Collaterised/secured cash borrowing reverse repo amount</t>
  </si>
  <si>
    <t>Collaterised/secured cash borrowing other amount</t>
  </si>
  <si>
    <t>Exchange traded derivatives exposure amount</t>
  </si>
  <si>
    <t>OTC derivatives exposure amount</t>
  </si>
  <si>
    <t>Short position borrowed securities value</t>
  </si>
  <si>
    <t>Leverage under gross method</t>
  </si>
  <si>
    <t>Leverage under commitment method</t>
  </si>
  <si>
    <t>AIF_ID</t>
  </si>
  <si>
    <t>#SHARE_CLASS</t>
  </si>
  <si>
    <t>Share class national code</t>
  </si>
  <si>
    <t>Share class ISIN code</t>
  </si>
  <si>
    <t>Share class SEDOL code</t>
  </si>
  <si>
    <t>Share class CUSIP code</t>
  </si>
  <si>
    <t>Share class Bloomberg code</t>
  </si>
  <si>
    <t>Share class Reuters code</t>
  </si>
  <si>
    <t>Share class name</t>
  </si>
  <si>
    <t>#TURNOVER</t>
  </si>
  <si>
    <t>Sub-asset type code of turnover</t>
  </si>
  <si>
    <t>Market value of turnover</t>
  </si>
  <si>
    <t>Notional value of turnover</t>
  </si>
  <si>
    <t>#DOMINANT_INFLUENCE</t>
  </si>
  <si>
    <t>Dominant influence company name</t>
  </si>
  <si>
    <t>Dominant influence company LEI code</t>
  </si>
  <si>
    <t xml:space="preserve">Dominant influence company BIC code </t>
  </si>
  <si>
    <t>Transaction Type</t>
  </si>
  <si>
    <t>Description of other transaction type</t>
  </si>
  <si>
    <t>% Voting Rights</t>
  </si>
  <si>
    <t>#RISK</t>
  </si>
  <si>
    <t>Risk measure type</t>
  </si>
  <si>
    <t>Risk measure value</t>
  </si>
  <si>
    <t>Risk measure value for bucket &lt; 5 years</t>
  </si>
  <si>
    <t>Risk measure value for bucket 5-15 years</t>
  </si>
  <si>
    <t>Risk measure value for bucket &gt; 15 years</t>
  </si>
  <si>
    <t>Risk measure value for Vega exposure at current market levels</t>
  </si>
  <si>
    <t>Risk measure value for Vega exposure at market levels 10% lower</t>
  </si>
  <si>
    <t>Risk measure value for Vega exposure at market levels 10% higher</t>
  </si>
  <si>
    <t>VAR Value</t>
  </si>
  <si>
    <t>VAR Calculation Method Code Type</t>
  </si>
  <si>
    <t>Risk Measure description</t>
  </si>
  <si>
    <t>#COUNTERPARTY_RISK_PROFILE</t>
  </si>
  <si>
    <t>Percentage of trade volumes for derivatives cleared by a CCP</t>
  </si>
  <si>
    <t>Percentage of trade volumes for derivatives cleared bilaterally</t>
  </si>
  <si>
    <t>Percentage of market value for repos trades cleared by a CCP</t>
  </si>
  <si>
    <t>Percentage of market value for repos trades cleared bilaterally</t>
  </si>
  <si>
    <t>Percentage of market value for repos trades cleared with triparty repos</t>
  </si>
  <si>
    <t>Collateral Cash amount posted to all counterparties</t>
  </si>
  <si>
    <t>Collateral Securities amount posted to all counterparties</t>
  </si>
  <si>
    <t>#PORTFOLIO_LIQUIDITY_PROFILE</t>
  </si>
  <si>
    <t>Percentage of portfolio liquidity in 0 to 1 day</t>
  </si>
  <si>
    <t>Percentage of portfolio liquidity in 2 to 7 days</t>
  </si>
  <si>
    <t>Percentage of portfolio liquidity in 8 to 30 days</t>
  </si>
  <si>
    <t>Percentage of portfolio liquidity in 31 to 90 days</t>
  </si>
  <si>
    <t>Percentage of portfolio liquidity in 91 to 180 days</t>
  </si>
  <si>
    <t>Percentage of portfolio liquidity in 181 to 365 days</t>
  </si>
  <si>
    <t>Percentage of portfolio liquidity in more than 365 days</t>
  </si>
  <si>
    <t>Unencumbered cash amount</t>
  </si>
  <si>
    <t>#INVESTOR_LIQUIDITY_PROFILE</t>
  </si>
  <si>
    <t>Percentage of investor liquidity in 0 to 1 day</t>
  </si>
  <si>
    <t>Percentage of investor liquidity in 2 to 7 days</t>
  </si>
  <si>
    <t>Percentage of investor liquidity in 8 to 30 days</t>
  </si>
  <si>
    <t>Percentage of investor liquidity in 31 to 90 days</t>
  </si>
  <si>
    <t>Percentage of investor liquidity in 91 to 180 days</t>
  </si>
  <si>
    <t>Percentage of investor liquidity in 181 to 365 days</t>
  </si>
  <si>
    <t>Percentage of investor liquidity in more than 365 days</t>
  </si>
  <si>
    <t>#INVESTOR_REDEMPTION</t>
  </si>
  <si>
    <t>Withdrawal redemption rights flag</t>
  </si>
  <si>
    <t>Investor Redemption Frequency</t>
  </si>
  <si>
    <t>Investor Redemption Notice Period</t>
  </si>
  <si>
    <t>Investor Redemption Lock Up Period</t>
  </si>
  <si>
    <t>#SPECIAL_ARRANGEMENT</t>
  </si>
  <si>
    <t>Side Pocket percentage</t>
  </si>
  <si>
    <t>Gates percentage</t>
  </si>
  <si>
    <t>Dealing Suspension percentage</t>
  </si>
  <si>
    <t>Other Arrangement Type</t>
  </si>
  <si>
    <t>Other arrangement percentage</t>
  </si>
  <si>
    <t>Total arrangement percentage</t>
  </si>
  <si>
    <t>Investor preferential treatment Flag</t>
  </si>
  <si>
    <t>Disclosure Terms Preferential Treatment Flag</t>
  </si>
  <si>
    <t>Liquidity Terms Preferential Treatment Flag</t>
  </si>
  <si>
    <t>Fee Terms Preferential Treatment Flag</t>
  </si>
  <si>
    <t>Other Terms Preferential Treatment Flag</t>
  </si>
  <si>
    <t>#FINANCING_LIQUIDITY</t>
  </si>
  <si>
    <t>Available financing amount</t>
  </si>
  <si>
    <t>Percentage of financing amount in 0 to 1 day</t>
  </si>
  <si>
    <t>Percentage of financing amount in 2 to 7 days</t>
  </si>
  <si>
    <t>Percentage of financing amount in 8 to 30 days</t>
  </si>
  <si>
    <t>Percentage of financing amount in 31 to 90 days</t>
  </si>
  <si>
    <t>Percentage of financing amount in 91 to 180 days</t>
  </si>
  <si>
    <t>Percentage of financing amount in 181 to 365 days</t>
  </si>
  <si>
    <t>Percentage of financing amount longer than 365 days</t>
  </si>
  <si>
    <t>#HISTORICAL_RISK_PROFILE</t>
  </si>
  <si>
    <t>Month</t>
  </si>
  <si>
    <t>Percentage of gross investment returns</t>
  </si>
  <si>
    <t>Percentage of net investment returns</t>
  </si>
  <si>
    <t>Percentage of NAV change</t>
  </si>
  <si>
    <t>#STRESS_TEST</t>
  </si>
  <si>
    <t>Results of stress tests performed in accordance with point(b) of Article 15(3)</t>
  </si>
  <si>
    <t>Results of stress tests performed in accordance with the second subparagraph of Article 16(1)</t>
  </si>
  <si>
    <t>Description</t>
  </si>
  <si>
    <t>Validation Lists Annex IV Template</t>
  </si>
  <si>
    <t>EUROPENONEEA</t>
  </si>
  <si>
    <t>MIDDLEEAST</t>
  </si>
  <si>
    <t>NORTHAMERICA</t>
  </si>
  <si>
    <t>SOUTHAMERICA</t>
  </si>
  <si>
    <t>SUPRANATIONAL</t>
  </si>
  <si>
    <t>219a</t>
  </si>
  <si>
    <t>#CUSTOM_FX_RATE</t>
  </si>
  <si>
    <t>Value Date</t>
  </si>
  <si>
    <t>Currency</t>
  </si>
  <si>
    <t>Currency / EUR FX rate</t>
  </si>
  <si>
    <t>Rate type</t>
  </si>
  <si>
    <t>YesNo</t>
  </si>
  <si>
    <t>EEC</t>
  </si>
  <si>
    <t>shared validation</t>
  </si>
  <si>
    <t>AllCur</t>
  </si>
  <si>
    <t>#AIFM_ASSUMPTION</t>
  </si>
  <si>
    <t>Question Number</t>
  </si>
  <si>
    <t>Assumption Description</t>
  </si>
  <si>
    <t>#AIF_ASSUMPTION</t>
  </si>
  <si>
    <t>#PRIME_BROKER</t>
  </si>
  <si>
    <t>Prime Broker Name</t>
  </si>
  <si>
    <t>Prime Broker LEI Code</t>
  </si>
  <si>
    <t xml:space="preserve">Prime Broker BIC Code </t>
  </si>
  <si>
    <t>219-230</t>
  </si>
  <si>
    <t>231-242</t>
  </si>
  <si>
    <t>243-254</t>
  </si>
  <si>
    <t>255-266</t>
  </si>
  <si>
    <t>267-278</t>
  </si>
  <si>
    <t>#BORROW_SOURCE</t>
  </si>
  <si>
    <t>Name of the source</t>
  </si>
  <si>
    <t>LEI code of the source</t>
  </si>
  <si>
    <t>BIC code of the source</t>
  </si>
  <si>
    <t>Received leverage amount</t>
  </si>
  <si>
    <t>#CONTROLLED_STRUCTURE</t>
  </si>
  <si>
    <t>Controlled structure Name</t>
  </si>
  <si>
    <t>Controlled structure LEI code</t>
  </si>
  <si>
    <t>Controlled structure BIC code</t>
  </si>
  <si>
    <t>Controlled structure Exposure value</t>
  </si>
  <si>
    <t>Subscriptions in base currency</t>
  </si>
  <si>
    <t>Redemptions  in base currency</t>
  </si>
  <si>
    <t>AIF_cp_ccp</t>
  </si>
  <si>
    <t>Gross value of exposure</t>
  </si>
  <si>
    <t>#END OF REGULAR TEMPLATE</t>
  </si>
  <si>
    <t>#POSITION_EXTERNAL</t>
  </si>
  <si>
    <t>#END OF  TEMPLATE</t>
  </si>
  <si>
    <t>NET_EQTY_DELTA</t>
  </si>
  <si>
    <t>NET_DV01</t>
  </si>
  <si>
    <t>(Click here to download the Quick Guide)</t>
  </si>
  <si>
    <t xml:space="preserve">Investor Concentration percentage by retail investors </t>
  </si>
  <si>
    <t>Total number of open positions</t>
  </si>
  <si>
    <t>AIFM reporting label</t>
  </si>
  <si>
    <t>AIF reporting label</t>
  </si>
  <si>
    <t>Unleveraged AIF investing in non-listed companies in order to acquire control</t>
  </si>
  <si>
    <t>Leveraged AIF</t>
  </si>
  <si>
    <t>EU AIF</t>
  </si>
  <si>
    <t>AIF marketed in the Union</t>
  </si>
  <si>
    <t>Above 500 M EUR AIF Threshold</t>
  </si>
  <si>
    <t>Reporting Contents</t>
  </si>
  <si>
    <t>Yes/No</t>
  </si>
  <si>
    <t>No</t>
  </si>
  <si>
    <t>Yearly</t>
  </si>
  <si>
    <t>3(3d)</t>
  </si>
  <si>
    <t>Authorised AIFM (opt-in)</t>
  </si>
  <si>
    <t>Leveraged EU AIF (of an opt-in AIFM)</t>
  </si>
  <si>
    <t>Yes</t>
  </si>
  <si>
    <t>24(1)+(2)+(4)</t>
  </si>
  <si>
    <t>Leveraged non EU AIF (of an opt-in AIFM) marketed in the Union</t>
  </si>
  <si>
    <t>Leveraged non EU AIF (of an opt-in AIFM), not marketed in the Union</t>
  </si>
  <si>
    <t>24(1)+(4)</t>
  </si>
  <si>
    <t>Unleveraged EU AIF (of an opt-in AIFM)</t>
  </si>
  <si>
    <t>24(1)+(2)</t>
  </si>
  <si>
    <t>Unleveraged non EU AIF (of an opt-in AIFM) marketed in the Union</t>
  </si>
  <si>
    <t>Unleveraged non EU AIF (of an opt-in AIFM), not marketed in the Union</t>
  </si>
  <si>
    <t>24(1)</t>
  </si>
  <si>
    <t>Authorised AIFM with only unleveraged AIFs investing in non-listed companies and issuers in order to acquire control</t>
  </si>
  <si>
    <t>Unleveraged EU AIF (of an AIFM with only unleveraged AIFs investing in non-listed companies and issuers in order to acquire control)</t>
  </si>
  <si>
    <t>Unleveraged non EU AIF (of an AIFM with only unleveraged AIFs investing in non-listed companies and issuers in order to acquire control) marketed in the Union</t>
  </si>
  <si>
    <t>Unleveraged non EU AIF (of an AIFM with only unleveraged AIFs investing in non-listed companies and issuers in order to acquire control), not marketed in the Union</t>
  </si>
  <si>
    <t>Authorised AIFM with half yearly obligation</t>
  </si>
  <si>
    <t>Under 500M Leveraged EU AIF (of an AIFM with half yearly obligation)</t>
  </si>
  <si>
    <t>Half yearly</t>
  </si>
  <si>
    <t>Under 500M Leveraged non EU AIF (of an AIFM with half yearly obligation) marketed in the Union</t>
  </si>
  <si>
    <t>Under 500M Leveraged non EU AIF (of an AIFM with half yearly obligation), not marketed in the Union</t>
  </si>
  <si>
    <t>Under 500M Unleveraged EU AIF (of an AIFM with half yearly obligation)</t>
  </si>
  <si>
    <t>Under 500M Unleveraged non EU AIF (of an AIFM with half yearly obligation) marketed in the Union</t>
  </si>
  <si>
    <t>Under 500M Unleveraged non EU AIF (of an AIFM with half yearly obligation), not marketed in the Union</t>
  </si>
  <si>
    <t>Unleveraged EU AIF, investing in non-listed companies in order to acquire control (of an AIFM with half yearly obligation)</t>
  </si>
  <si>
    <t>Unleveraged non EU AIF, investing in non-listed companies in order to acquire control (of an AIFM with half yearly obligation) marketed in the Union</t>
  </si>
  <si>
    <t>Unleveraged non EU AIF, investing in non-listed companies in order to acquire control (of an AIFM with half yearly obligation) not marketed in the Union</t>
  </si>
  <si>
    <t>Over 500M Leveraged EU AIF (of an AIFM with half yearly obligation)</t>
  </si>
  <si>
    <t>Quarterly</t>
  </si>
  <si>
    <t>Over 500M Leveraged non EU AIF (of an AIFM with half yearly obligation) marketed in the Union</t>
  </si>
  <si>
    <t>Over 500M Leveraged non EU AIF (of an AIFM with half yearly obligation), not marketed in the Union</t>
  </si>
  <si>
    <t>Over 500M Unleveraged EU AIF (of an AIFM with half yearly obligation)</t>
  </si>
  <si>
    <t>Over 500M Unleveraged non EU AIF (of an AIFM with half yearly obligation) marketed in the Union</t>
  </si>
  <si>
    <t>Over 500M Unleveraged non EU AIF (of an AIFM with half yearly obligation), not marketed in the Union</t>
  </si>
  <si>
    <t>Authorised AIFM with quarterly obligation</t>
  </si>
  <si>
    <t>Unleveraged EU AIF, investing in non-listed companies in order to acquire control (of an AIFM with quarterly obligation)</t>
  </si>
  <si>
    <t>Unleveraged non EU AIF, investing in non-listed companies in order to acquire control (of an AIFM with quarterly obligation) marketed in the Union</t>
  </si>
  <si>
    <t>Unleveraged non EU AIF, investing in non-listed companies in order to acquire control (of an AIFM with quarterly obligation) not marketed in the Union</t>
  </si>
  <si>
    <t>Leveraged EU AIF (of an AIFM with quarterly obligation)</t>
  </si>
  <si>
    <t>Leveraged non EU AIF (of an AIFM with quarterly obligation) marketed in the Union</t>
  </si>
  <si>
    <t>Leveraged non EU AIF (of an AIFM with quarterly obligation), not marketed in the Union</t>
  </si>
  <si>
    <t>Unleveraged EU AIF (of an AIFM with quarterly obligation)</t>
  </si>
  <si>
    <t>Unleveraged non EU AIF (of an AIFM with quarterly obligation) marketed in the Union</t>
  </si>
  <si>
    <t>Unleveraged non EU AIF (of an AIFM with quarterly obligation), not marketed in the Union</t>
  </si>
  <si>
    <t>Non-EU AIFM under Private Placement Regime with annual obligation</t>
  </si>
  <si>
    <t>Leveraged AIF (of an AIFM under Private Placement Regime with yearly obligation) marketed in the Union</t>
  </si>
  <si>
    <t>Unleveraged AIF (of an AIFM under Private Placement Regime with yearly obligation) marketed in the Union</t>
  </si>
  <si>
    <t>AIF not marketed in the Member State</t>
  </si>
  <si>
    <t>N/A</t>
  </si>
  <si>
    <t>Non-EU AIFM under Private Placement Regime with only unleveraged AIFs investing in non-listed companies and issuers in order to acquire control</t>
  </si>
  <si>
    <t>Unleveraged AIF (of an AIFM under Private Placement Regime with only unleveraged AIFs investing in non-listed companies and issuers in order to acquire control) marketed in the Union</t>
  </si>
  <si>
    <t>Non-EU AIFM under Private Placement Regime with half yearly obligation</t>
  </si>
  <si>
    <t>Under 500M Leveraged AIF (of an AIFM under Private Placement Regime with half yearly obligation) marketed in the union</t>
  </si>
  <si>
    <t>Under 500M Unleveraged AIF (of an AIFM under Private Placement Regime with half yearly obligation) marketed in the union</t>
  </si>
  <si>
    <t>Unleveraged AIF, investing in non-listed companies in order to acquire control (of an AIFM under Private Placement Regime with half yearly obligation) marketed in the Union</t>
  </si>
  <si>
    <t>Over 500M Leveraged AIF (of an AIFM under Private Placement Regime with half yearly obligation) marketed in the union</t>
  </si>
  <si>
    <t>Over 500M Unleveraged AIF (of an AIFM under Private Placement Regime with half yearly obligation) marketed in the union</t>
  </si>
  <si>
    <t>Non-EU AIFM under Private Placement Regime with quarterly obligation</t>
  </si>
  <si>
    <t>Unleveraged AIF, investing in non-listed companies in order to acquire control (of an AIFM under Private Placement Regime with quarterly obligation) marketed in the Union</t>
  </si>
  <si>
    <t>Leveraged AIF (of an AIFM under Private Placement Regime with quarterly obligation) marketed in the Union</t>
  </si>
  <si>
    <t>Unleveraged AIF (of an AIFM under Private Placement Regime with quarterly obligation) marketed in the Union</t>
  </si>
  <si>
    <t>Annex II Table</t>
  </si>
  <si>
    <t>Macro asset type</t>
  </si>
  <si>
    <t>Asset type</t>
  </si>
  <si>
    <t>Code</t>
  </si>
  <si>
    <t>Label</t>
  </si>
  <si>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</si>
  <si>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</si>
  <si>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</si>
  <si>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</si>
  <si>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</si>
  <si>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</si>
  <si>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</si>
  <si>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</si>
  <si>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</si>
  <si>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</si>
  <si>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</si>
  <si>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</si>
  <si>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</si>
  <si>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</si>
  <si>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</si>
  <si>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</si>
  <si>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</si>
  <si>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</si>
  <si>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</si>
  <si>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</si>
  <si>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</si>
  <si>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</si>
  <si>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</si>
  <si>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</si>
  <si>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</si>
  <si>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</si>
  <si>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</si>
  <si>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</si>
  <si>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</si>
  <si>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</si>
  <si>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</si>
  <si>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</si>
  <si>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</si>
  <si>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</si>
  <si>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</si>
  <si>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</si>
  <si>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</si>
  <si>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</si>
  <si>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</si>
  <si>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</si>
  <si>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</si>
  <si>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</si>
  <si>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</si>
  <si>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</si>
  <si>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</si>
  <si>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</si>
  <si>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</si>
  <si>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</si>
  <si>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</si>
  <si>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</si>
  <si>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</si>
  <si>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</si>
  <si>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</si>
  <si>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</si>
  <si>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</si>
  <si>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</si>
  <si>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</si>
  <si>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</si>
  <si>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</si>
  <si>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</si>
  <si>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</si>
  <si>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</si>
  <si>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</si>
  <si>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</si>
  <si>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</si>
  <si>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</si>
  <si>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</si>
  <si>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</si>
  <si>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</si>
  <si>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</si>
  <si>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</si>
  <si>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</si>
  <si>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</si>
  <si>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</si>
  <si>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</si>
  <si>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</si>
  <si>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</si>
  <si>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</si>
  <si>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</si>
  <si>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</si>
  <si>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</si>
  <si>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</si>
  <si>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</si>
  <si>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</si>
  <si>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</si>
  <si>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</si>
  <si>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</si>
  <si>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</si>
  <si>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</si>
  <si>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</si>
  <si>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</si>
  <si>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</si>
  <si>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</si>
  <si>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</si>
  <si>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</si>
  <si>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</si>
  <si>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</si>
  <si>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</si>
  <si>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</si>
  <si>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</si>
  <si>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</si>
  <si>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</si>
  <si>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</si>
  <si>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</si>
  <si>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</si>
  <si>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</si>
  <si>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</si>
  <si>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</si>
  <si>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</si>
  <si>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</si>
  <si>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</si>
  <si>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</si>
  <si>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</si>
  <si>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</si>
  <si>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</si>
  <si>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</si>
  <si>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</si>
  <si>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</si>
  <si>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</si>
  <si>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</si>
  <si>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</si>
  <si>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</si>
  <si>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r>
      <t xml:space="preserve">Code
</t>
    </r>
    <r>
      <rPr>
        <b/>
        <sz val="8"/>
        <color rgb="FFFFFF00"/>
        <rFont val="Calibri"/>
        <family val="2"/>
        <scheme val="minor"/>
      </rPr>
      <t>TURNOVER (field 125)</t>
    </r>
  </si>
  <si>
    <t>Cash and cash equivalents</t>
  </si>
  <si>
    <t>Sovereign bonds - EU Member State bonds</t>
  </si>
  <si>
    <t>Sovereign bonds - Non EU Member State bonds</t>
  </si>
  <si>
    <t>Convertible bonds</t>
  </si>
  <si>
    <t>Physical: Real estate</t>
  </si>
  <si>
    <t>table 2</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</si>
  <si>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</si>
  <si>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</si>
  <si>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</si>
  <si>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</si>
  <si>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</si>
  <si>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</si>
  <si>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</si>
  <si>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</si>
  <si>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</si>
  <si>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</si>
  <si>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</si>
  <si>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</si>
  <si>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</si>
  <si>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</si>
  <si>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</si>
  <si>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</si>
  <si>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</si>
  <si>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</si>
  <si>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</si>
  <si>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</si>
  <si>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</si>
  <si>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</si>
  <si>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</si>
  <si>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</si>
  <si>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</si>
  <si>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</si>
  <si>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</si>
  <si>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</si>
  <si>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</si>
  <si>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</si>
  <si>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</si>
  <si>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</si>
  <si>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</si>
  <si>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</si>
  <si>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</si>
  <si>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</si>
  <si>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</si>
  <si>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</si>
  <si>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</si>
  <si>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</si>
  <si>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</si>
  <si>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</si>
  <si>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</si>
  <si>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</si>
  <si>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</si>
  <si>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</si>
  <si>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</si>
  <si>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</si>
  <si>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</si>
  <si>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</si>
  <si>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</si>
  <si>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</si>
  <si>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</si>
  <si>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</si>
  <si>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Transaction type</t>
  </si>
  <si>
    <t>Acquisition capital</t>
  </si>
  <si>
    <t>Buyouts</t>
  </si>
  <si>
    <t>Consolidations (industry roll-ups)</t>
  </si>
  <si>
    <t>Corporate Divestitures</t>
  </si>
  <si>
    <t>Employee Stock Ownership Plans</t>
  </si>
  <si>
    <t>Recapitalisation</t>
  </si>
  <si>
    <t>Shareholder Liquidity</t>
  </si>
  <si>
    <t>Turnarounds</t>
  </si>
  <si>
    <t>Other transaction type</t>
  </si>
  <si>
    <t>Redemption frequency</t>
  </si>
  <si>
    <t>Daily</t>
  </si>
  <si>
    <t>Weekly</t>
  </si>
  <si>
    <t>Fortnightly</t>
  </si>
  <si>
    <t>Monthly</t>
  </si>
  <si>
    <t>Half-yearly</t>
  </si>
  <si>
    <t>Other</t>
  </si>
  <si>
    <t>None</t>
  </si>
  <si>
    <t>Investor group</t>
  </si>
  <si>
    <t>Non-financial corporations</t>
  </si>
  <si>
    <t>Banks</t>
  </si>
  <si>
    <t>Insurance corporations</t>
  </si>
  <si>
    <t>Other financial institutions</t>
  </si>
  <si>
    <t>Pension plans / funds</t>
  </si>
  <si>
    <t>General government</t>
  </si>
  <si>
    <t>Other collective investment undertaking (e.g. fund of funds or master)</t>
  </si>
  <si>
    <t>Households</t>
  </si>
  <si>
    <t>Unknown</t>
  </si>
  <si>
    <t>table 4</t>
  </si>
  <si>
    <r>
      <t>Code (</t>
    </r>
    <r>
      <rPr>
        <b/>
        <sz val="8"/>
        <color rgb="FFFFFF00"/>
        <rFont val="Calibri"/>
        <family val="2"/>
        <scheme val="minor"/>
      </rPr>
      <t>field 113</t>
    </r>
    <r>
      <rPr>
        <b/>
        <sz val="8"/>
        <color theme="0"/>
        <rFont val="Calibri"/>
        <family val="2"/>
        <scheme val="minor"/>
      </rPr>
      <t>)</t>
    </r>
  </si>
  <si>
    <r>
      <t>Code (</t>
    </r>
    <r>
      <rPr>
        <b/>
        <sz val="8"/>
        <color rgb="FFFFFF00"/>
        <rFont val="Calibri"/>
        <family val="2"/>
        <scheme val="minor"/>
      </rPr>
      <t>field 134</t>
    </r>
    <r>
      <rPr>
        <b/>
        <sz val="8"/>
        <color theme="0"/>
        <rFont val="Calibri"/>
        <family val="2"/>
        <scheme val="minor"/>
      </rPr>
      <t>)</t>
    </r>
  </si>
  <si>
    <t>table 5</t>
  </si>
  <si>
    <r>
      <t>Code (</t>
    </r>
    <r>
      <rPr>
        <b/>
        <sz val="8"/>
        <color rgb="FFFFFF00"/>
        <rFont val="Calibri"/>
        <family val="2"/>
        <scheme val="minor"/>
      </rPr>
      <t>field 194</t>
    </r>
    <r>
      <rPr>
        <b/>
        <sz val="8"/>
        <color theme="0"/>
        <rFont val="Calibri"/>
        <family val="2"/>
        <scheme val="minor"/>
      </rPr>
      <t>)</t>
    </r>
  </si>
  <si>
    <t>table 6</t>
  </si>
  <si>
    <r>
      <t>Code (</t>
    </r>
    <r>
      <rPr>
        <b/>
        <sz val="8"/>
        <color rgb="FFFFFF00"/>
        <rFont val="Calibri"/>
        <family val="2"/>
        <scheme val="minor"/>
      </rPr>
      <t>field 208</t>
    </r>
    <r>
      <rPr>
        <b/>
        <sz val="8"/>
        <color theme="0"/>
        <rFont val="Calibri"/>
        <family val="2"/>
        <scheme val="minor"/>
      </rPr>
      <t>)</t>
    </r>
  </si>
  <si>
    <t>table 7</t>
  </si>
  <si>
    <t>NY</t>
  </si>
  <si>
    <t>NQ</t>
  </si>
  <si>
    <t>FILTER</t>
  </si>
  <si>
    <r>
      <t xml:space="preserve">Risk Measure Type
</t>
    </r>
    <r>
      <rPr>
        <b/>
        <sz val="8"/>
        <color rgb="FFFFFF00"/>
        <rFont val="Calibri"/>
        <family val="2"/>
        <scheme val="minor"/>
      </rPr>
      <t>RISK (field 138)</t>
    </r>
  </si>
  <si>
    <t>Relevant Instrument type</t>
  </si>
  <si>
    <t>Net Equity Delta</t>
  </si>
  <si>
    <t>Equity / Equity Derivatives</t>
  </si>
  <si>
    <t>Net DV01 - Shows change in bond price relative to decrease in bonds yield</t>
  </si>
  <si>
    <r>
      <t xml:space="preserve">Net CSO1 - </t>
    </r>
    <r>
      <rPr>
        <sz val="8"/>
        <color theme="1"/>
        <rFont val="Lucida Grande"/>
      </rPr>
      <t>credit exposure of the swap at a given point in time</t>
    </r>
  </si>
  <si>
    <t>Price change of instrument / vol change underlying</t>
  </si>
  <si>
    <t>Value at Risk</t>
  </si>
  <si>
    <t>Net FX Delta</t>
  </si>
  <si>
    <t>FX</t>
  </si>
  <si>
    <t>Net Commodity Delta</t>
  </si>
  <si>
    <t>Commodities / Derivatives</t>
  </si>
  <si>
    <t xml:space="preserve">Risk </t>
  </si>
  <si>
    <t>Matterhorn Annex IV Input Format</t>
  </si>
  <si>
    <t>Input Record Name</t>
  </si>
  <si>
    <t>displayName (from ESMA it technical)</t>
  </si>
  <si>
    <t>Notes</t>
  </si>
  <si>
    <t>INPUT_FORMAT (Only used to instruct the Reporting application, mandatory record for all file uploads )</t>
  </si>
  <si>
    <t>For all AIF Content Types</t>
  </si>
  <si>
    <t>Input Format Type</t>
  </si>
  <si>
    <t>Must be 'AIFMD'</t>
  </si>
  <si>
    <t>Input Format Version</t>
  </si>
  <si>
    <t>Must be 'V1'</t>
  </si>
  <si>
    <t>Input Format Options</t>
  </si>
  <si>
    <t>To set the decimal separator for CSV files. 
Default it is a point ("."). The only possble alternative is to set a comma (",") using DECIMAL_SEPARATOR=",".
For a comma the whole line becomes: INPUT_FORMAT;AIFMD;V1;DECIMAL_SEPARATOR=","</t>
  </si>
  <si>
    <t>AIFM_NATIONAL_CODE (AIFM 24/1)</t>
  </si>
  <si>
    <t>Unique reference identifying each AIFM allocated by the national competent authority of the reporting Member State of the AIFM to which the AIFM reports under AIFMD</t>
  </si>
  <si>
    <t>AIF_NATIONAL_CODE (AIF 24/1)</t>
  </si>
  <si>
    <t>AIF National Code</t>
  </si>
  <si>
    <t>Old AIF National Code</t>
  </si>
  <si>
    <t>The AIFM input record describes the AIFM (AIFM 24/1)</t>
  </si>
  <si>
    <t>Code indicating the contents of the AIFM reporting.
The AIFM content types admitted are:
  - 1 for "24(1) reporting contents for all AIFs managed"
  - 2 for "3(3) (d) reporting  contents for all AIFs managed"
  - 3 for "24(1) reporting contents for all AIFs marketed in the Member State"</t>
  </si>
  <si>
    <t>The reporting period year (2013, 2014…).</t>
  </si>
  <si>
    <t>C
M when AIFM 10 or AIFM 11 are filled in.</t>
  </si>
  <si>
    <t>Jurisdiction in which the AIFM is established (Country code standard ISO-3166-1)</t>
  </si>
  <si>
    <t>Alternative Investment Fund manager name. (no standard)
It is strongly recommended to provide the full name corresponding to the allocated LEI code (or BIC code if any and LEI not available).</t>
  </si>
  <si>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</si>
  <si>
    <t>The AIF input record describes the AIF (AIF 24/1)</t>
  </si>
  <si>
    <t>For first filing will be INIT</t>
  </si>
  <si>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</si>
  <si>
    <t>C
M when AIF 10 or AIF 11 are filled in.
F otherwise.</t>
  </si>
  <si>
    <t>Flag indicating whether the reporting is the last reporting. To be filled in when the AIF has been liquidated or merged during the reporting period.
true for last AIF reporting file.
false otherwise</t>
  </si>
  <si>
    <t>The legal name of the AIF (no standard).
In the case of umbrella funds, the names of the umbrella fund and the sub-funds should be reported.</t>
  </si>
  <si>
    <t>true for empty file (no information to report for the reporting period)
false otherwise
The AIFCompleteDescription block will not be filled in when the AIF no reporting flag is true.</t>
  </si>
  <si>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</si>
  <si>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ISIN code (ISO 6166 standard)</t>
  </si>
  <si>
    <t>CUSIP code</t>
  </si>
  <si>
    <t>SEDOL code</t>
  </si>
  <si>
    <t>Bloomberg ticker symbol</t>
  </si>
  <si>
    <t>Reuters Identifier Code (RIC)</t>
  </si>
  <si>
    <t>European Central Bank code</t>
  </si>
  <si>
    <t>Currency code (3-character currency code according to the ISO 4217 ) used for reporting the information. Only one currency should be reported. This means that AIFs with several share classes denominated in different currencies should have only one base currency.</t>
  </si>
  <si>
    <t>Total Net Asset Value (NAV) of the AIF in base currency</t>
  </si>
  <si>
    <t>The country of the first main funding source (counterparty of the liability) using the country code standard ISO-3166-1.</t>
  </si>
  <si>
    <t>The country of the second main funding source (counterparty of the liability) using the country code standard ISO-3166-1.</t>
  </si>
  <si>
    <t>The country of the third main funding source (counterparty of the liability) using the country code standard ISO-3166-1.</t>
  </si>
  <si>
    <t>Position size type</t>
  </si>
  <si>
    <r>
      <t xml:space="preserve">See tab: </t>
    </r>
    <r>
      <rPr>
        <b/>
        <i/>
        <sz val="8"/>
        <rFont val="Calibri"/>
        <family val="2"/>
        <scheme val="minor"/>
      </rPr>
      <t>Annex II Table 4-7</t>
    </r>
  </si>
  <si>
    <t>The AIF_EXTERNAL input record describes AIF which are reported by an external company. This data is only used on form AIFM 24(1).</t>
  </si>
  <si>
    <t>AIFM - Assumption description</t>
  </si>
  <si>
    <t>Question number for which assumption is provided.</t>
  </si>
  <si>
    <t>Assumption description</t>
  </si>
  <si>
    <t>Free description for assumption.</t>
  </si>
  <si>
    <t>AIF - Assumption description</t>
  </si>
  <si>
    <t>The position input record contains positions of an AIF at end of the reporting period (AIF 24/1)</t>
  </si>
  <si>
    <t>Sub Asset type of position</t>
  </si>
  <si>
    <t>No standard.
It is strongly recommended to provide the instrument short name as provided by Swift under ISO18774 when available.</t>
  </si>
  <si>
    <t>106, 115</t>
  </si>
  <si>
    <t>69, 107, 116</t>
  </si>
  <si>
    <t>C
M for Instrument code type equal to "AII"
F otherwise</t>
  </si>
  <si>
    <t>This is a single character field identifying whether the instrument is an option (O) or a future (F)</t>
  </si>
  <si>
    <t>The long/short position flag admitted are:
-          “L” for long
-          “S” for short</t>
  </si>
  <si>
    <t>Instrument position value in base currency</t>
  </si>
  <si>
    <t>This is the gross exposure or regulatory AUM value.
Used for AIF question numbers: 76, 86-93, 94-112,114-117, 121-124, 128-130.</t>
  </si>
  <si>
    <t>Used for AIF question numbers: 78-85, 165, 171</t>
  </si>
  <si>
    <t>C
O for PositionType equal to “S”
F otherwise</t>
  </si>
  <si>
    <t>For short positions, indication of whether the position is used to hedge a position with a similar economic exposure.</t>
  </si>
  <si>
    <t>"CP" for Counterparties and "CCP" for Central Counterparties</t>
  </si>
  <si>
    <t>CCP only for reporting parties which are a direct clearer</t>
  </si>
  <si>
    <t>100,110</t>
  </si>
  <si>
    <t>101,111</t>
  </si>
  <si>
    <t>102,112</t>
  </si>
  <si>
    <t>Region can have the following values:
AFRICA  
ASIAPACIFIC  
EUROPENONEEA
EUROPEEEA  
MIDDLEEAST
NORTHAMERICA
SOUTHAMERICA
SUPRANATIONAL</t>
  </si>
  <si>
    <t>C
Optional for Sub-asset types "DER_FEX_INVT", "DER_FEX_HEDG" and "DER_IRD_INTR"
F otherwise</t>
  </si>
  <si>
    <t>The external position input record contains positions of an External AIF at end of the reporting period. This data is only used on form AIFM 24(1).</t>
  </si>
  <si>
    <t>Four character MIC of the market that admits the derivative to trading.</t>
  </si>
  <si>
    <t>This is the gross exposure or reg AUM value</t>
  </si>
  <si>
    <t>The sub-asset type codes admitted are listed in Annex II - Table 2 (sub-asset types for turnover)</t>
  </si>
  <si>
    <t>The market value of turnover in each relevant sub-asset type over the reporting months expressed in base currency filled in without decimal places.</t>
  </si>
  <si>
    <t>C
Forbidden for sub-asset type different from DER_EQD_EQD, 
DER_FID_FID, DER_CDS_CDS, DER_FEX_INV, DER_FEX_HED, DER_IRD_IRD, DER_CTY_CTY, DER_OTH_OTH</t>
  </si>
  <si>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</si>
  <si>
    <t>Share Classes of AIF, only required in case of multiple share classes (AIF 24/1)</t>
  </si>
  <si>
    <t>Prime broker(s) of AIF (AIF 24/1)</t>
  </si>
  <si>
    <t>Entity name. (no standard)
It is strongly recommended to provide the full name corresponding to the allocated LEI code (or BIC code if any and LEI not available).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</si>
  <si>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</si>
  <si>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Strategy(s)  of AIF</t>
  </si>
  <si>
    <t>The field is mandatory for strategy codes "OTHR_HFND", "OTHR_PEQF", "OTHR_REST", "OTHR_FOFS" or "OTHR_OTHF".</t>
  </si>
  <si>
    <t>C
M for AIF predominant type “Private Equity funds”
F otherwise</t>
  </si>
  <si>
    <t>Entity name. (no standard)
It is strongly recommended to provide the full name corresponding to the allocated LEI code (or BIC code if any and LEI not available).
The field is mandatory for AIF predominant type “Private Equity funds” and forbidden otherwise.</t>
  </si>
  <si>
    <t>C
O for AIF predominant type “Private Equity funds”
F otherwise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</si>
  <si>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</si>
  <si>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</si>
  <si>
    <t>C
M for transaction type equal to "OTHR"
F otherwise</t>
  </si>
  <si>
    <t>Free text.
The field is mandatory for transaction type equal to “OTHR”</t>
  </si>
  <si>
    <t>C
M for AIF predominant type “PEQF”
F otherwise</t>
  </si>
  <si>
    <t>Rate expressed as a percentage.
The field is mandatory for AIF predominant type “Private Equity funds” and forbidden otherwise.</t>
  </si>
  <si>
    <t>Risk metrics</t>
  </si>
  <si>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</si>
  <si>
    <t>C
O for risk measure type equal to "NET_EQTY_DELTA" and "NET_FX_DELTA" and "NET_CTY_DELTA"
F otherwise</t>
  </si>
  <si>
    <t>C
M for risk measure values equal to 0</t>
  </si>
  <si>
    <t>Counterparty risk profile - This describes the risk profile of the counterparties</t>
  </si>
  <si>
    <t>Estimated % in terms of market value of securities traded on regulated exchange markets.
Rate expressed as a percentage.</t>
  </si>
  <si>
    <t>Percentage of market value for securities traded on OTC markets</t>
  </si>
  <si>
    <t>Estimated % in terms of trade volumes of derivatives that are traded on regulated exchange markets.
Rate expressed as a percentage.</t>
  </si>
  <si>
    <t>Percentage of trade volumes for derivatives traded on OTC markets</t>
  </si>
  <si>
    <t>Estimated % in terms of trade volumes of derivatives transactions that are cleared by a CCP.
Rate expressed as a percentage.</t>
  </si>
  <si>
    <t>Estimated % in terms of market value of repo trades that are cleared by a CCP.
Rate expressed as a percentage.</t>
  </si>
  <si>
    <t>Estimated % in terms of market value of repo trades that are cleared bilateraly.
Rate expressed as a percentage.</t>
  </si>
  <si>
    <t>Estimated % in terms of market value of repo trades that are cleared via tri party repos.
Rate expressed as a percentage.</t>
  </si>
  <si>
    <t>Value of collateral posted in the form of cash and cash equivalent expressed in base currency filled in without decimal places.</t>
  </si>
  <si>
    <t>Value of collateral posted in the form of other securities (excluding cash and cash equivalent) expressed in base currency filled in without decimal places.</t>
  </si>
  <si>
    <t>Other Collateral amount posted to all counterparties</t>
  </si>
  <si>
    <t>Value of other collateral and credit support posted (including face amount of letters of credit and similar third party credit support) expressed in base currency filled in without decimal places.</t>
  </si>
  <si>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</si>
  <si>
    <t>The percentage of portfolio capable of being liquidated within 1 day or less.
The total sum of the percentage of the fund’s portfolio that is capable of being liquidated within each of the liquidity periods specified should equal 100%.</t>
  </si>
  <si>
    <t>The percentage of portfolio capable of being liquidated in 2 to 7 days.
The total sum of the percentage of the fund’s portfolio that is capable of being liquidated within each of the liquidity periods specified should equal 100%.</t>
  </si>
  <si>
    <t>The percentage of portfolio capable of being liquidated in 8 to 30 days.
The total sum of the percentage of the fund’s portfolio that is capable of being liquidated within each of the liquidity periods specified should equal 100%.</t>
  </si>
  <si>
    <t>The percentage of portfolio capable of being liquidated in 31 to 90 days.
The total sum of the percentage of the fund’s portfolio that is capable of being liquidated within each of the liquidity periods specified should equal 100%.</t>
  </si>
  <si>
    <t>The percentage of portfolio capable of being liquidated in 91 to 180 days.
The total sum of the percentage of the fund’s portfolio that is capable of being liquidated within each of the liquidity periods specified should equal 100%.</t>
  </si>
  <si>
    <t>The percentage of portfolio capable of being liquidated in 181 to 365 days.
The total sum of the percentage of the fund’s portfolio that is capable of being liquidated within each of the liquidity periods specified should equal 100%.</t>
  </si>
  <si>
    <t>The percentage of portfolio capable of being liquidated in more than 365 days.
The total sum of the percentage of the fund’s portfolio that is capable of being liquidated within each of the liquidity periods specified should equal 100%.</t>
  </si>
  <si>
    <t>Investor liquidity - This describes how easily an investor can redeme investment (withdraw from fund)</t>
  </si>
  <si>
    <t>Breakdown of the NAV divided among the 1 day or less period depending on  the shortest period within which the invested funds could be withdrawn or investors could receive redemption payments. The total should equal 100%.</t>
  </si>
  <si>
    <t>Breakdown of the NAV divided among the “2 to 7 days” period depending on  the shortest period within which the invested funds could be withdrawn or investors could receive redemption payments. The total should equal 100%.</t>
  </si>
  <si>
    <t>Breakdown of the NAV divided among the “8 to 30 days” period depending on  the shortest period within which the invested funds could be withdrawn or investors could receive redemption payments. The total should equal 100%.</t>
  </si>
  <si>
    <t>Breakdown of the NAV divided among the “31 to 90 days” period depending on  the shortest period within which the invested funds could be withdrawn or investors could receive redemption payments. The total should equal 100%.</t>
  </si>
  <si>
    <t>Breakdown of the NAV divided among the “91 to 180 days” period depending on  the shortest period within which the invested funds could be withdrawn or investors could receive redemption payments. The total should equal 100%.</t>
  </si>
  <si>
    <t>Breakdown of the NAV divided among the “181 to 365 days” period depending on  the shortest period within which the invested funds could be withdrawn or investors could receive redemption payments. The total should equal 100%.</t>
  </si>
  <si>
    <t>Breakdown of the NAV divided among the “more than 365 days” period depending on  the shortest period within which the invested funds could be withdrawn or investors could receive redemption payments. The total should equal 100%.</t>
  </si>
  <si>
    <t>Investor redemption rules - Most funds have rules on how easily an investor can withdraw capital from a fund</t>
  </si>
  <si>
    <t>The NAV percentage of the AIF's assets that are currently subject to side pockets arrangements.
Rate expressed as a percentage.</t>
  </si>
  <si>
    <t>The NAV percentage of the AIF's assets that are currently subject to Gates arrangements.
Rate expressed as a percentage.</t>
  </si>
  <si>
    <t>The NAV percentage of the AIF's assets that are currently subject to suspension of dealing arrangements.
Rate expressed as a percentage.</t>
  </si>
  <si>
    <t>Free text for other arrangement for managing illiquid assets.</t>
  </si>
  <si>
    <t>The NAV percentage of the AIF's assets that are currently subject to other arrangements for managing illiquid assets.
Rate expressed as a percentage.</t>
  </si>
  <si>
    <t>The NAV percentage of the AIF's assets that are currently subject to the special arrangements arising fron their illiquid nature under Article 23.4 of the AIFMD.
Rate expressed as a percentage.</t>
  </si>
  <si>
    <t>Flag indicating whether there are any different disclosure/reporting to investors
true or false</t>
  </si>
  <si>
    <t>Flag indicating whether there are any different investor liquidity terms
true or false</t>
  </si>
  <si>
    <t>Flag indicating whether there are any different fee terms for investors
true or false</t>
  </si>
  <si>
    <t>Flag indicating whether there are any other preferential treatment
true or false</t>
  </si>
  <si>
    <t>Investor  - Breakdown of investor types (individual investor not needed but type of investor, % of NAV ownership required)</t>
  </si>
  <si>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</si>
  <si>
    <t>Investor group NAV rate</t>
  </si>
  <si>
    <t>The percentage of NAV for each typology of investors.</t>
  </si>
  <si>
    <t>Financing Liquidity - describes liquidity of financing buckets of a fund (how long certain financing is available for)</t>
  </si>
  <si>
    <t>The amount of borrowing by and cash financing available to the AIF (including all drawn and undrawn, committed and uncommitted lines of credit as well as any term financing.
Amount expressed in base currency filled in without decimal places.</t>
  </si>
  <si>
    <t>Breakdown of the total financing amount divided among the 1 day or less period depending on  the longest period for which the creditor is contractually committed to provide such financing. The total should equal 100%.</t>
  </si>
  <si>
    <t>Breakdown of the total financing amount divided among the “2 to 7 days” period depending on  the longest period for which the creditor is contractually committed to provide such financing. The total should equal 100%.</t>
  </si>
  <si>
    <t>Breakdown of the total financing amount divided among the “8 to 30 days” period depending on  the longest period for which the creditor is contractually committed to provide such financing. The total should equal 100%.</t>
  </si>
  <si>
    <t>Breakdown of the total financing amount divided among the “91 to 180 days” period depending on  the longest period for which the creditor is contractually committed to provide such financing. The total should equal 100%.</t>
  </si>
  <si>
    <t>Breakdown of the total financing amount divided among the “181 to 365 days” period depending on  the longest period for which the creditor is contractually committed to provide such financing. The total should equal 100%.</t>
  </si>
  <si>
    <t>Breakdown of the total financing amount divided among the “more than 365 days” period depending on  the longest period for which the creditor is contractually committed to provide such financing. The total should equal 100%.</t>
  </si>
  <si>
    <t>Historical Risk Profile - For months that the fund is reporting for need to detail fund returns, NAV changes, subscriptions, redemptions)</t>
  </si>
  <si>
    <t>Redemptions in base currency</t>
  </si>
  <si>
    <t>Stress Test - details any stress tests a fund has performed on portfolio</t>
  </si>
  <si>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</si>
  <si>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</si>
  <si>
    <t xml:space="preserve">Finance - details any financing the fund has received through cash, rehypothecation, collaterised loans etc), also details leverage under gross and commitment methods. Only required if fund needs to fill in 24(4) </t>
  </si>
  <si>
    <t>C
F for rehypothecation flag false
O otherwise</t>
  </si>
  <si>
    <t xml:space="preserve">Percentage of the amounts of collateral and other credit support (that the AIF has posted to counterparties) that have been rehypothecated by counterparties.
Rate expressed as a percentage. </t>
  </si>
  <si>
    <t>Value of borrowings of cash or securities by unsecured cash borrowing.
Amount expressed in base currency filled in without decimal places.</t>
  </si>
  <si>
    <t>Value of borrowings of cash or securities by collateralised/secured cash borrowing - via prime broker.
Amount expressed in base currency filled in without decimal places.</t>
  </si>
  <si>
    <t>Value of borrowings of cash or securities by collateralised/secured cash borrowing - via reverse repo.
Amount expressed in base currency filled in without decimal places.</t>
  </si>
  <si>
    <t>Value of borrowings of cash or securities by collateralised/secured cash borrowing - via other.
Amount expressed in base currency filled in without decimal places.</t>
  </si>
  <si>
    <t>Value of borrowing embedded in financial instruments by exchange traded derivatives (gross exposure less margin posted).
Amount expressed in base currency filled in without decimal places.</t>
  </si>
  <si>
    <t>Value of borrowing embedded in financial instruments by OTC derivatives (gross exposure less margin posted).
Amount expressed in base currency filled in without decimal places.</t>
  </si>
  <si>
    <t>Value of securities borrowed for short positions.
Amount expressed in base currency filled in without decimal places.</t>
  </si>
  <si>
    <t>Leverage value of the AIF under gross method espressed as a percentage of the NAV.</t>
  </si>
  <si>
    <t>Leverage value of the AIF under commitment method espressed as a percentage of the NAV.</t>
  </si>
  <si>
    <t>Custom FX rates to overwrite or complement ECB FX rates, used in both AIF and AIFM report.  Optional record, by default standard ECB rates are used (AIF 24/1)</t>
  </si>
  <si>
    <t>Date of the FX rate. yyyy-mm-dd (ISO 8601 Date Format)</t>
  </si>
  <si>
    <t>Currency code (3-character currency code according to the ISO 4217)</t>
  </si>
  <si>
    <t>Conversion rate filled in with 4 decimal places. Rate in the non-eur currency. E.g. 2019-03-31 JPY: 124.45</t>
  </si>
  <si>
    <t>Rate type (ECB or OTH)</t>
  </si>
  <si>
    <t>2 types are admitted:
-          “ECB” when the rate is a euro reference rate as published by the ECB
-          “OTH” in other cases</t>
  </si>
  <si>
    <t>Description for non-ECB rates</t>
  </si>
  <si>
    <t>Name of the source of the euro reference rate indicated in field 50
-          Free text for “OTH” type when the corresponding euro reference rate is not published by the ECB
-          Empty for “ECB” type when the corresponding euro reference rate is published by the ECB</t>
  </si>
  <si>
    <t>Master AIF name</t>
  </si>
  <si>
    <t>Master AIF national identifier - Reporting Member State</t>
  </si>
  <si>
    <t>Master AIF national identifier - National code</t>
  </si>
  <si>
    <t>Prime Broker LEI code</t>
  </si>
  <si>
    <t>Prime Broker BIC code</t>
  </si>
  <si>
    <t>% Voting rights</t>
  </si>
  <si>
    <r>
      <t>Registered AIFM (</t>
    </r>
    <r>
      <rPr>
        <b/>
        <sz val="8"/>
        <rFont val="Calibri"/>
        <family val="2"/>
        <scheme val="minor"/>
      </rPr>
      <t>Light</t>
    </r>
    <r>
      <rPr>
        <sz val="8"/>
        <rFont val="Calibri"/>
        <family val="2"/>
        <scheme val="minor"/>
      </rPr>
      <t>)</t>
    </r>
  </si>
  <si>
    <t>Net Asset Value (NAV)</t>
  </si>
  <si>
    <t>Position value (Article 2 AIFMD)</t>
  </si>
  <si>
    <t>To ensure future expandability, no data may be present other than the fields specified below (i.e. no extras columns to the right).</t>
  </si>
  <si>
    <t>In the input data, any row that has no data in the first column or has data starting with a "#" in the first column is ignored. These rows are meant for documentation purposes only.</t>
  </si>
  <si>
    <t>If using an Excel document for input, sheet names starting with a "#" are ignored. These sheets are meant for documentation purposes only.</t>
  </si>
  <si>
    <t xml:space="preserve">Instrument position value expressed in base currency (as calculated under Article 2 AIFMD - Not 3, see Q&amp;A Answer 39). </t>
  </si>
  <si>
    <t>Net Asset Value (NAV) in AIF Base Currency</t>
  </si>
  <si>
    <t>C
M for Master AIF national identifier - Reporting Member State (43) filled in
O otherwise</t>
  </si>
  <si>
    <t>Unique reference identifying the master AIF allocated by the national competent authority to which the AIFM of the master AIF (s) reports under AIFMD.
The field is mandatory when the master AIF national identifier - Reporting Member State is filled in.</t>
  </si>
  <si>
    <t>NAV</t>
  </si>
  <si>
    <t>CP_CCP</t>
  </si>
  <si>
    <t>ESMA ID or Custom ID</t>
  </si>
  <si>
    <t>input_format_type</t>
  </si>
  <si>
    <t>input_format_version</t>
  </si>
  <si>
    <t>input_format_options</t>
  </si>
  <si>
    <t>CNC</t>
  </si>
  <si>
    <t>MONTH</t>
  </si>
  <si>
    <t>Old AIF Reporting Member State</t>
  </si>
  <si>
    <t>AIF Reporting Member State</t>
  </si>
  <si>
    <t>AIFM Reporting Member State</t>
  </si>
  <si>
    <t>Old AIFM Reporting Member State</t>
  </si>
  <si>
    <t>#AIF_EXTERNAL</t>
  </si>
  <si>
    <t>Borrow Source - Five largest sources of borrowed cash or securities (short positions)</t>
  </si>
  <si>
    <t>Counterparty Type</t>
  </si>
  <si>
    <t>C
M for Old AIFM Reporting Member State filled in</t>
  </si>
  <si>
    <t>C
M for Old AIFM National Code filled in</t>
  </si>
  <si>
    <t>C
M for Old AIF National Code filled in</t>
  </si>
  <si>
    <t>C
M for Old AIF Reporting Member State filled in</t>
  </si>
  <si>
    <t>Unique reference identifying each AIF allocated by the national competent authority of the reporting Member State of the AIFM to which the AIFM reports under AIFMD</t>
  </si>
  <si>
    <t>Former national identification code to provide when the national identification code of the AIFM changes (for the first reporting following the change of the national code and any subsequent reporting).</t>
  </si>
  <si>
    <t>Former national identification code to provide when the national identification code of the AIF changes (for the first reporting following the change of the national code and any subsequent reporting).</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</si>
  <si>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</si>
  <si>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</si>
  <si>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</si>
  <si>
    <t>The date the AIF started business (yyyy-mm-dd (ISO 8601 Date Format)).
The inception date should not be after the start date of the reporting period.</t>
  </si>
  <si>
    <t xml:space="preserve">Expected annual investment return/IRR in normal market conditions (in %)
Rate expressed as a percentage. 
When there is no expected annual return/IRR in normal market conditions to report, AIFMs should report the value ‘NA’ for non-applicable.
</t>
  </si>
  <si>
    <t>In this reporting template, leave empty to report 'NA'.</t>
  </si>
  <si>
    <t>X1</t>
  </si>
  <si>
    <t>X2</t>
  </si>
  <si>
    <t>Where available, unique reference allocated by the national competent authority to which the AIFM reports under AIFMD identifying each share class.</t>
  </si>
  <si>
    <t>Where available, the ISIN code (ISO 6166 standard) identifying each share class.</t>
  </si>
  <si>
    <t>Where available, the CUSIP code identifying each share class.</t>
  </si>
  <si>
    <t>Where available, the SEDOL code identifying each share class.</t>
  </si>
  <si>
    <t>Where available, the Bloomberg ticker symbol identifying each share class.</t>
  </si>
  <si>
    <t>Where available, the Reuters Identifier Code (RIC) identifying each share class.</t>
  </si>
  <si>
    <t>The name of the share class.</t>
  </si>
  <si>
    <t>EEA/EU Country code standard ISO-3166-1 of the Member State to which the AIFM reports the AIFMD reporting.</t>
  </si>
  <si>
    <t>EEA/EU Country code standard ISO-3166-1 of the reporting Member State to which the AIFM reports under AIFMD when the national code identifying the AIF has been modified.</t>
  </si>
  <si>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</si>
  <si>
    <t>EEA/EU Country code standard ISO-3166-1 of the reporting Member State to which the AIFM of the master AIF(s) reports under AIFMD.</t>
  </si>
  <si>
    <t>PO</t>
  </si>
  <si>
    <t>XS</t>
  </si>
  <si>
    <t>Amount expressed in Base currency.</t>
  </si>
  <si>
    <t>Special Arrangements - details whether the fund has provided any special arrangements for a particular share class or investor.</t>
  </si>
  <si>
    <t>C
M when "Other arrangement percentage" (201) is filled in,
O otherwise.</t>
  </si>
  <si>
    <t>C
M when "Other Arrangement Type" (200) is filled in,
O otherwise.</t>
  </si>
  <si>
    <t>#END OF TEMPLATE FOR REGISTERED/LIGHT/3(3)(d) FUNDS</t>
  </si>
  <si>
    <t>The market codes types admitted are:
    - MIC for markets with MIC codes
    - OTC for OTC derivatives
    - XXX for transactions traded without market</t>
  </si>
  <si>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</si>
  <si>
    <t>Custom AIF Identification</t>
  </si>
  <si>
    <t>Custom AIF Identification to link AIF records to the correct AIF</t>
  </si>
  <si>
    <t>Custom AIF Identification to link External AIF records to the correct External AIF</t>
  </si>
  <si>
    <t>#START QUESTIONS FOR MANAGER (AIFM) REPORT</t>
  </si>
  <si>
    <t>#START QUESTIONS FOR FUND (AIF) REPORT</t>
  </si>
  <si>
    <t>C
Mandatory for AIF Content types 2 and 4 (AIF field 5)
ignored otherwise.</t>
  </si>
  <si>
    <t xml:space="preserve">Currency code (3-character currency code according to the ISO 4217) of the exposure.
</t>
  </si>
  <si>
    <t>Gross exposure amount for Sub-asset types "DER_FEX_INVT", "DER_FEX_HEDG" and "DER_IRD_INTR" expressed in base currency.
Only needed if different from "Position value (Article 2 AIFMD)" (76).
If not present, "Position value (Article 2 AIFMD)" (76) is used.</t>
  </si>
  <si>
    <t>C
Mandatory when present in www.gleif.org</t>
  </si>
  <si>
    <t>C
Optional for AIF Content types 2 and 4 (AIF field 5),
ignored otherwise.</t>
  </si>
  <si>
    <t>Total number of open positions.
Only needed if different from the number of POSITION records.
If empty, the total number of POSITION records per AIF is used.
Optional for AIF Content types 2 and 4 (AIF field 5), ignored otherwise.</t>
  </si>
  <si>
    <t>C
Mandatory for AIF Content types 1,3 and 5 (AIF field 5),
optional otherwise.</t>
  </si>
  <si>
    <r>
      <t xml:space="preserve">Rate expressed as a percentage.
If empty, the percentage is taken from the INVESTOR record with Investor Group Type "HHLD". 
Field </t>
    </r>
    <r>
      <rPr>
        <b/>
        <sz val="8"/>
        <rFont val="Calibri"/>
        <family val="2"/>
        <scheme val="minor"/>
      </rPr>
      <t>119</t>
    </r>
    <r>
      <rPr>
        <sz val="8"/>
        <rFont val="Calibri"/>
        <family val="2"/>
        <scheme val="minor"/>
      </rPr>
      <t xml:space="preserve"> "Investor Concentration percentage by professional clients" is caculated as 100 - this percentage.</t>
    </r>
  </si>
  <si>
    <t>CONTENT TYPE</t>
  </si>
  <si>
    <t>AIFM (MANAGER)</t>
  </si>
  <si>
    <t>AIF (FUND)</t>
  </si>
  <si>
    <r>
      <t xml:space="preserve">AIFM Content Type
</t>
    </r>
    <r>
      <rPr>
        <u/>
        <sz val="8"/>
        <color rgb="FFFFFF00"/>
        <rFont val="Calibri"/>
        <family val="2"/>
        <scheme val="minor"/>
      </rPr>
      <t>AIFM</t>
    </r>
    <r>
      <rPr>
        <sz val="8"/>
        <color rgb="FFFFFF00"/>
        <rFont val="Calibri"/>
        <family val="2"/>
        <scheme val="minor"/>
      </rPr>
      <t xml:space="preserve"> (Field 5)</t>
    </r>
  </si>
  <si>
    <r>
      <t xml:space="preserve">AIF Content Type
</t>
    </r>
    <r>
      <rPr>
        <u/>
        <sz val="8"/>
        <color rgb="FFFFFF00"/>
        <rFont val="Calibri"/>
        <family val="2"/>
        <scheme val="minor"/>
      </rPr>
      <t>AIF</t>
    </r>
    <r>
      <rPr>
        <sz val="8"/>
        <color rgb="FFFFFF00"/>
        <rFont val="Calibri"/>
        <family val="2"/>
        <scheme val="minor"/>
      </rPr>
      <t xml:space="preserve"> (Field 5)</t>
    </r>
  </si>
  <si>
    <r>
      <t xml:space="preserve">AIFM reporting code
</t>
    </r>
    <r>
      <rPr>
        <b/>
        <u/>
        <sz val="8"/>
        <color rgb="FFFFFF00"/>
        <rFont val="Calibri"/>
        <family val="2"/>
        <scheme val="minor"/>
      </rPr>
      <t>AIFM</t>
    </r>
    <r>
      <rPr>
        <b/>
        <sz val="8"/>
        <color rgb="FFFFFF00"/>
        <rFont val="Calibri"/>
        <family val="2"/>
        <scheme val="minor"/>
      </rPr>
      <t xml:space="preserve"> (Field 16)</t>
    </r>
  </si>
  <si>
    <r>
      <t xml:space="preserve">AIF reporting code
</t>
    </r>
    <r>
      <rPr>
        <b/>
        <u/>
        <sz val="8"/>
        <color rgb="FFFFFF00"/>
        <rFont val="Calibri"/>
        <family val="2"/>
        <scheme val="minor"/>
      </rPr>
      <t>AIF</t>
    </r>
    <r>
      <rPr>
        <b/>
        <sz val="8"/>
        <color rgb="FFFFFF00"/>
        <rFont val="Calibri"/>
        <family val="2"/>
        <scheme val="minor"/>
      </rPr>
      <t xml:space="preserve"> (Field 20)</t>
    </r>
  </si>
  <si>
    <r>
      <t xml:space="preserve">Reporting frequency
</t>
    </r>
    <r>
      <rPr>
        <b/>
        <u/>
        <sz val="8"/>
        <color rgb="FFFFFF00"/>
        <rFont val="Calibri"/>
        <family val="2"/>
        <scheme val="minor"/>
      </rPr>
      <t>AIF</t>
    </r>
    <r>
      <rPr>
        <b/>
        <sz val="8"/>
        <color rgb="FFFFFF00"/>
        <rFont val="Calibri"/>
        <family val="2"/>
        <scheme val="minor"/>
      </rPr>
      <t xml:space="preserve"> (field 8)</t>
    </r>
  </si>
  <si>
    <r>
      <t>See tab: #DOC R</t>
    </r>
    <r>
      <rPr>
        <b/>
        <i/>
        <sz val="8"/>
        <rFont val="Calibri"/>
        <family val="2"/>
        <scheme val="minor"/>
      </rPr>
      <t>eporting Code</t>
    </r>
  </si>
  <si>
    <r>
      <t xml:space="preserve">This relates the frequency of the reporting for the fund.   
</t>
    </r>
    <r>
      <rPr>
        <b/>
        <sz val="8"/>
        <rFont val="Calibri"/>
        <family val="2"/>
        <scheme val="minor"/>
      </rPr>
      <t xml:space="preserve">See tab: #DOC </t>
    </r>
    <r>
      <rPr>
        <b/>
        <i/>
        <sz val="8"/>
        <rFont val="Calibri"/>
        <family val="2"/>
        <scheme val="minor"/>
      </rPr>
      <t>Reporting Obligation</t>
    </r>
  </si>
  <si>
    <t>See tab: #DOC Annex II Tables</t>
  </si>
  <si>
    <r>
      <t xml:space="preserve">See tab: #DOC </t>
    </r>
    <r>
      <rPr>
        <b/>
        <i/>
        <sz val="8"/>
        <rFont val="Calibri"/>
        <family val="2"/>
        <scheme val="minor"/>
      </rPr>
      <t xml:space="preserve">Annex II Tables - Table 1 </t>
    </r>
    <r>
      <rPr>
        <b/>
        <sz val="8"/>
        <rFont val="Calibri"/>
        <family val="2"/>
        <scheme val="minor"/>
      </rPr>
      <t>for allowed values</t>
    </r>
  </si>
  <si>
    <r>
      <t xml:space="preserve">See tab: #DOC </t>
    </r>
    <r>
      <rPr>
        <b/>
        <i/>
        <sz val="8"/>
        <rFont val="Calibri"/>
        <family val="2"/>
        <scheme val="minor"/>
      </rPr>
      <t xml:space="preserve">Annex II Tables - Table 2 </t>
    </r>
    <r>
      <rPr>
        <b/>
        <sz val="8"/>
        <rFont val="Calibri"/>
        <family val="2"/>
        <scheme val="minor"/>
      </rPr>
      <t>for allowed values</t>
    </r>
  </si>
  <si>
    <r>
      <t xml:space="preserve">See tab: #DOC </t>
    </r>
    <r>
      <rPr>
        <b/>
        <i/>
        <sz val="8"/>
        <rFont val="Calibri"/>
        <family val="2"/>
        <scheme val="minor"/>
      </rPr>
      <t xml:space="preserve">Annex II Tables - Table 3 </t>
    </r>
    <r>
      <rPr>
        <b/>
        <sz val="8"/>
        <rFont val="Calibri"/>
        <family val="2"/>
        <scheme val="minor"/>
      </rPr>
      <t>for allowed values</t>
    </r>
  </si>
  <si>
    <r>
      <t xml:space="preserve">See tab: #DOC </t>
    </r>
    <r>
      <rPr>
        <b/>
        <i/>
        <sz val="8"/>
        <rFont val="Calibri"/>
        <family val="2"/>
        <scheme val="minor"/>
      </rPr>
      <t xml:space="preserve">Annex II Tables - Table 5 </t>
    </r>
    <r>
      <rPr>
        <b/>
        <sz val="8"/>
        <rFont val="Calibri"/>
        <family val="2"/>
        <scheme val="minor"/>
      </rPr>
      <t>for allowed values</t>
    </r>
  </si>
  <si>
    <r>
      <t xml:space="preserve">These metrics are position type dependent - 
</t>
    </r>
    <r>
      <rPr>
        <b/>
        <sz val="8"/>
        <rFont val="Calibri"/>
        <family val="2"/>
        <scheme val="minor"/>
      </rPr>
      <t xml:space="preserve">See tab: #DOC Annex II Tables - Table </t>
    </r>
    <r>
      <rPr>
        <b/>
        <i/>
        <sz val="8"/>
        <rFont val="Calibri"/>
        <family val="2"/>
        <scheme val="minor"/>
      </rPr>
      <t>risk</t>
    </r>
    <r>
      <rPr>
        <b/>
        <sz val="8"/>
        <rFont val="Calibri"/>
        <family val="2"/>
        <scheme val="minor"/>
      </rPr>
      <t xml:space="preserve"> </t>
    </r>
    <r>
      <rPr>
        <sz val="8"/>
        <rFont val="Calibri"/>
        <family val="2"/>
        <scheme val="minor"/>
      </rPr>
      <t>for which risk method to apply</t>
    </r>
  </si>
  <si>
    <r>
      <t xml:space="preserve">See tab: #DOC </t>
    </r>
    <r>
      <rPr>
        <b/>
        <i/>
        <sz val="8"/>
        <rFont val="Calibri"/>
        <family val="2"/>
        <scheme val="minor"/>
      </rPr>
      <t xml:space="preserve">Annex II Tables - Table 6 </t>
    </r>
    <r>
      <rPr>
        <b/>
        <sz val="8"/>
        <rFont val="Calibri"/>
        <family val="2"/>
        <scheme val="minor"/>
      </rPr>
      <t>for allowed values</t>
    </r>
  </si>
  <si>
    <t>CANCEL</t>
  </si>
  <si>
    <t>AllCountries</t>
  </si>
  <si>
    <t>Flag indicating whether the reporting is the last reporting. To be filled in when the AIFM has been liquidated or merged during the reporting period.
true for last AIFM reporting file.
false otherwise</t>
  </si>
  <si>
    <r>
      <rPr>
        <b/>
        <u/>
        <sz val="8"/>
        <color theme="0"/>
        <rFont val="Calibri"/>
        <family val="2"/>
        <scheme val="minor"/>
      </rPr>
      <t>M</t>
    </r>
    <r>
      <rPr>
        <b/>
        <sz val="8"/>
        <color theme="0"/>
        <rFont val="Calibri"/>
        <family val="2"/>
        <scheme val="minor"/>
      </rPr>
      <t>andatory/</t>
    </r>
    <r>
      <rPr>
        <b/>
        <u/>
        <sz val="8"/>
        <color theme="0"/>
        <rFont val="Calibri"/>
        <family val="2"/>
        <scheme val="minor"/>
      </rPr>
      <t>O</t>
    </r>
    <r>
      <rPr>
        <b/>
        <sz val="8"/>
        <color theme="0"/>
        <rFont val="Calibri"/>
        <family val="2"/>
        <scheme val="minor"/>
      </rPr>
      <t>ptional/</t>
    </r>
    <r>
      <rPr>
        <b/>
        <u/>
        <sz val="8"/>
        <color theme="0"/>
        <rFont val="Calibri"/>
        <family val="2"/>
        <scheme val="minor"/>
      </rPr>
      <t>C</t>
    </r>
    <r>
      <rPr>
        <b/>
        <sz val="8"/>
        <color theme="0"/>
        <rFont val="Calibri"/>
        <family val="2"/>
        <scheme val="minor"/>
      </rPr>
      <t>onditional/Legacy</t>
    </r>
  </si>
  <si>
    <t>Legacy</t>
  </si>
  <si>
    <t>Legacy, not needed anymore. Now determined based on Reporting Period Type and Reporting Period Year.
The start date of the reporting period should begin on  the first calendar of January, April, July or October.</t>
  </si>
  <si>
    <t xml:space="preserve">Legacy, not needed anymore. Now determined based on AIFM Jurisdiction.
Flag indicating whether the AIFM is domiciled in the EEA.
true for EEA AIFMs
false for non-EEA AIFMs  </t>
  </si>
  <si>
    <t>Legacy, not needed anymore. Now determined based on AIFM Jurisdiction.
Flag indicating whether the AIF is domiciled in the EEA or the EU.
true for EEA or EU AIFs
false for non-EEA or EU AIFs</t>
  </si>
  <si>
    <t>Legacy, not needed anymore. Now determined based on Reporting Period Type and Reporting Period Year.
The start date of the reporting period should begin on  the first calendar day of January, April, July or October.</t>
  </si>
  <si>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</si>
  <si>
    <t>Optional</t>
  </si>
  <si>
    <t>Optional. If left empty, the system calculates this as the sum of the POSITION records field Instrument position value [76].
Value in base currency of the AIF of Assets under management (AuM) for the AIF, using the method set out in Articles 2 and 10 of the Regulation 231/2013.</t>
  </si>
  <si>
    <t>Optional. If left empty, the system calculates this as the sum of the POSITION records field Net Asset Value [NAV].
The total Total Net Asset Value (NAV) of the AIF expressed in base currency.</t>
  </si>
  <si>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</si>
  <si>
    <t>Reporting Period Start Date (Legacy)</t>
  </si>
  <si>
    <t>Reporting Period End Date (Legacy)</t>
  </si>
  <si>
    <t>AIF No Reporting Flag (Nothing to report)</t>
  </si>
  <si>
    <t>(Click here to download the latest template)</t>
  </si>
  <si>
    <t>Flag indicating whether the contract between the AIFM and the counterparty allow the counterparty to re-hypothecate collateral for a given AIF. true when the contract allows, false otherwise.</t>
  </si>
  <si>
    <t>Legacy, not needed anymore. Now determined as 100 - [field 148], only when a value is present in field 148.
Estimated % in terms of market value of securities traded on OTC markets.
Rate expressed as a percentage.</t>
  </si>
  <si>
    <t>Legacy, not needed anymore. Now determined as 100 - [field 150], only when a value is present in field 150.
Estimated % in terms of trade volumes of derivatives that are traded on OTC markets.
Rate expressed as a percentage.</t>
  </si>
  <si>
    <t>Percentage of market value for securities traded on regulated exchanges (non-OTC)</t>
  </si>
  <si>
    <t>Percentage of trade volumes for derivatives traded on regulated exchanges (non-OTC)</t>
  </si>
  <si>
    <t>Percentage of market value for securities traded on regulated markets (non-OTC)</t>
  </si>
  <si>
    <t>Percentage of trade volumes for derivatives traded on regulated markets (non-OTC)</t>
  </si>
  <si>
    <t>Turnover</t>
  </si>
  <si>
    <t>The RISK record is optional for AIFs with content type 2 and 4, and forbidden otherwise.</t>
  </si>
  <si>
    <t>The DOMINANT_INFLUENCE record is optional for AIFs with private equity and content type 2 and 4, and forbidden otherwise.</t>
  </si>
  <si>
    <t>The TURNOVER record is optional for AIFs with content type 2 and 4, and forbidden otherwise.</t>
  </si>
  <si>
    <t>The COUNTERPARTY_RISK_PROFILE record is optional for AIFs with content type 2 and 4, and forbidden otherwise.</t>
  </si>
  <si>
    <t>The INVESTOR_REDEMPTION record is optional for AIFs with content type 2 and 4, and forbidden otherwise.</t>
  </si>
  <si>
    <t>The SPECIAL_ARRANGEMENT record is optional for AIFs with content type 2 and 4, and forbidden otherwise.</t>
  </si>
  <si>
    <t>The INVESTOR record is mandatory for AIFs with content type 2 and 4, and forbidden otherwise.</t>
  </si>
  <si>
    <t>The FINANCING_LIQUIDITY record is optional for AIFs with content type 2 and 4, and forbidden otherwise.</t>
  </si>
  <si>
    <t>The STRESS_TEST record is mandatory for AIFs with content type 2 and 4, and forbidden otherwise.</t>
  </si>
  <si>
    <t>The FINANCE record is mandatory for AIFs with content type 2, 4 and 5, and forbidden otherwise.</t>
  </si>
  <si>
    <t>11 Character BIC code of the entity (ISO 9362 standard)</t>
  </si>
  <si>
    <t>11 Character BIC code (ISO 9362 standard)</t>
  </si>
  <si>
    <t>11 Character BIC code (ISO 9362 standard)
The field is forbidden for AIF predominant type different from “Private Equity funds”.</t>
  </si>
  <si>
    <t>C
M for AII Derivative Type equal to "O"
F otherwise</t>
  </si>
  <si>
    <t>The strike price of an option or other financial instrument.
The system automatically reports 0 in case of a future</t>
  </si>
  <si>
    <t>Instrument Net Asset Value (NAV) at Reporting Period End Date expressed in base currency.
Considered to be equal to the Position value [76] when not filled in.</t>
  </si>
  <si>
    <t>This is a single character field identifying whether the option (if it is an option) is a put (P)or a call (C).
The system automatically reports 'F' in case of a future</t>
  </si>
  <si>
    <t xml:space="preserve">Instrument position value expressed in base currency (as calculated under Article 2 AIFMD - Not Article 3, see Q&amp;A Answer 39). </t>
  </si>
  <si>
    <t>(Legacy) Reporting Period Start Date</t>
  </si>
  <si>
    <t>(Legacy) AIFM EEA Flag</t>
  </si>
  <si>
    <t>(Legacy) AIF EEA Flag</t>
  </si>
  <si>
    <t>(Legacy) Instrument Code Type</t>
  </si>
  <si>
    <t>(Legacy) Percentage of trade volumes for derivatives traded on OTC</t>
  </si>
  <si>
    <t>(Legacy) Percentage of market value for securities traded on OTC</t>
  </si>
  <si>
    <t>(Legacy) Percentage of trade volumes for derivatives cleared bilaterally</t>
  </si>
  <si>
    <t>Legacy, not needed anymore. Now determined as 100 - [field 152], only when a value is present in field 152.
Estimated % in terms of trade volumes of derivatives transactions that are cleared bilateraly.
Rate expressed as a percentage.</t>
  </si>
  <si>
    <t>Do not enter "MULT_" strategy codes, these are added automatically when needed.</t>
  </si>
  <si>
    <t>The investment strategy types admitted are listed in Annex II - Table 3.
Do not enter "MULT_" strategy codes, these are added automatically when needed.</t>
  </si>
  <si>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</si>
  <si>
    <t>Subscriptions in base currency during the month.</t>
  </si>
  <si>
    <t>Redemptions in base currency during the month.</t>
  </si>
  <si>
    <t>Gross investment returns or IRR of the AIF for the month (in %, gross of management and performance fees).
Rate expressed as a percentage.</t>
  </si>
  <si>
    <t>Net investment returns or IRR of the AIF for the month (in %, gross of management and performance fees).
Rate expressed as a percentage.</t>
  </si>
  <si>
    <t>Month-to-month change in NAV including the impact of subscriptions and redemptions for the month.
Rate expressed as a percentage.</t>
  </si>
  <si>
    <t>The HISTORICAL_RISK_PROFILE record is mandatory for AIFs with content type 2 and 4, and forbidden otherwise.</t>
  </si>
  <si>
    <t>The PORTFOLIO_LIQUIDITY_PROFILE record is mandatory for AIFs with content type 2 and 4, and forbidden otherwise.</t>
  </si>
  <si>
    <t>The INVESTOR_LIQUIDITY_PROFILE record is mandatory for AIFs with content type 2 and 4, and forbidden otherwise.</t>
  </si>
  <si>
    <t>(Legacy) Withdrawal redemption rights flag</t>
  </si>
  <si>
    <t>(Legacy) Investor preferential treatment Flag</t>
  </si>
  <si>
    <t>Legacy, not needed anymore. Now determined based on fields 194-196.
Flag indicating whether the AIF provides investors with withdrawal/redemption rights in the ordinary course.
true or false</t>
  </si>
  <si>
    <t>Legacy, not needed anymore. Now determined based on fields 204-207.
Flag indicating whether there are any investors who obtain preferential treatment or the right to preferential treatment.
true or false</t>
  </si>
  <si>
    <t>All fields that accept true/false also accept yes/no (e.g. AIF Last reporting flag [AIF 13]). Matterhorn automatically converts yes/no into true/false. The app shows the ESMA standard true/false.</t>
  </si>
  <si>
    <t>Investor Redemption Notice Period in days</t>
  </si>
  <si>
    <t>Investor Redemption Lock Up Period in days</t>
  </si>
  <si>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</si>
  <si>
    <t>The notice period required by investors for redemptions in days.
If there are multiple classes of shares or units, the notice period reported is the asset weighted notice period.</t>
  </si>
  <si>
    <t>The investor lock-up period in days.
If there are multiple classes of shares or units, the notice period reported is the asset weighted lock-up period.</t>
  </si>
  <si>
    <r>
      <rPr>
        <b/>
        <sz val="8"/>
        <color theme="1"/>
        <rFont val="Calibri"/>
        <family val="2"/>
        <scheme val="minor"/>
      </rPr>
      <t>Please note:</t>
    </r>
    <r>
      <rPr>
        <sz val="8"/>
        <color theme="1"/>
        <rFont val="Calibri"/>
        <family val="2"/>
        <scheme val="minor"/>
      </rPr>
      <t xml:space="preserve"> older versions of the template can still be processed, only update if you prefer the latest documentation.</t>
    </r>
  </si>
  <si>
    <t>The codes to report a change in the AIFM reporting obligation frequency are contained in Annex II - Table 8 and 10, available via our Help page.</t>
  </si>
  <si>
    <t>The codes to report a change in the AIFM reporting obligation contents are contained in Annex II - Table 8, available via our Help page.</t>
  </si>
  <si>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</si>
  <si>
    <t>The codes to report a change in the AIF reporting obligation frequency are contained in Annex II - Table 9 and 10, available via our Help page.</t>
  </si>
  <si>
    <t>The codes to report a change in the AIF reporting obligation contents are contained in Annex II - Table 9, available via our Help page.</t>
  </si>
  <si>
    <t>Code indicating the reporting category of the AIF.
See tab "#DOC Reporting Code" for a combined view.
The original ESMA table Annex II - Table 9 is available via our Help page.</t>
  </si>
  <si>
    <t>(Legacy) Reporting Period End Date</t>
  </si>
  <si>
    <t>C
M for risk measure type equal to "NET_DV01" and "NET_CS01"
F otherwise</t>
  </si>
  <si>
    <t>The BORROW_SOURCE record is optional for AIFs with content type 4 and 5, and forbidden otherwise.</t>
  </si>
  <si>
    <t>Number of month: 1-12.
Make a separate row per month. Only for months within the reporting period (i.e. Q1 =&gt; 1, 2 &amp; 3).
Any missing months are amended with records with all zero values.</t>
  </si>
  <si>
    <t>Exercise/maturity/expiry/delivery/prompt date of a derivative contract.</t>
  </si>
  <si>
    <t>AII Exercise/maturity/expiry/delivery/prompt date</t>
  </si>
  <si>
    <t>AII exercise/maturity/expiry/delivery/prompt date</t>
  </si>
  <si>
    <t>FX_DATE</t>
  </si>
  <si>
    <t xml:space="preserve">Market Identifier Code (MIC) </t>
  </si>
  <si>
    <t>The MIC code (ISO 10383) for the trading venue.
Mandatory for Instrument Code Type (66) equal to "AII" or Market Code Type (106 / 115) equal to "MIC". Forbiden otherwise.</t>
  </si>
  <si>
    <t xml:space="preserve">C
M for Instrument code type (66) equal to "AII" or Market Code Type (106 / 115) equal to "MIC"
F otherwise
</t>
  </si>
  <si>
    <t>Legacy, not needed anymore. Now determined based on Reporting Period Type and Reporting Period Year.
The end date of the reporting period may be the last calendar day of March, June, September or December.</t>
  </si>
  <si>
    <t>The ISIN code of the instrument (ISO 6166 standard) when available.</t>
  </si>
  <si>
    <t>C
M when AII Exchange Product Code [70] is present
F otherwise</t>
  </si>
  <si>
    <t>A code that is uniquely associated with a particular underlying instrument and settlement type and other characteristics of the contract, when available. It is between one and 12 characters in length.
Forbidden when Instrument ISIN Code [68] is present.</t>
  </si>
  <si>
    <t>The market type codes admitted are:
    - MIC for markets with MIC codes
    - OTC for OTC derivatives
    - XXX for transactions traded without market</t>
  </si>
  <si>
    <t>Market Type Code</t>
  </si>
  <si>
    <t>Mandatory</t>
  </si>
  <si>
    <t>NAV rate expressed as a percentage for each reported investment strategy.
For each AIF the total of all strategies should be 100.</t>
  </si>
  <si>
    <t>Conditional
M for strategy codes "OTHR_HFND", "OTHR_PEQF", "OTHR_REST", "OTHR_FOFS" or "OTHR_OTHF".
Forbidden otherwise</t>
  </si>
  <si>
    <t>C
Mandatory for reference rate type equal "OTH"
F otherwise</t>
  </si>
  <si>
    <t>Conditional</t>
  </si>
  <si>
    <t>Gross exposure of financial and/or legal structures controlled by the AIF as defined in Recital 78 of the AIFMD expressed in base currency.</t>
  </si>
  <si>
    <t>Entity name (no standard).
It is strongly recommended to provide the full name corresponding to the allocated LEI code (or BIC code if any and LEI not available).</t>
  </si>
  <si>
    <t>Received leverage amount expressed in base currency.</t>
  </si>
  <si>
    <t>Expected annual investment return percentage</t>
  </si>
  <si>
    <t>Risk measure value in base currency</t>
  </si>
  <si>
    <t>Risk measure value for Vega exposure at current market levels in base currency</t>
  </si>
  <si>
    <t>Risk measure value for Vega exposure at market levels 10% lower in base currency</t>
  </si>
  <si>
    <t>Risk measure value for Vega exposure at market levels 10% higher in base currency</t>
  </si>
  <si>
    <t>VAR Value as a percentage</t>
  </si>
  <si>
    <t>Allowed values are:
- HISTO for Historical simulation
- CARLO for Monte Carlo simulation
- PARAM for Parametric
This field mandory for risk measure type equal to "VAR" and forbidden otherwise.</t>
  </si>
  <si>
    <t>This field is mandatory for risk measure type equal to "NET_EQTY_DELTA" and "NET_FX_DELTA" and "NET_CTY_DELTA" and forbidden otherwise. Expressed in base currency.</t>
  </si>
  <si>
    <t>This field is mandatory for risk measure type equal to "NET_DV01" and "NET_CS01" and forbidden otherwise. Expressed in base currency.</t>
  </si>
  <si>
    <t>This field is mandatory for risk measure type equal to "VEGA_EXPO" and forbidden otherwise. Expressed in base currency.</t>
  </si>
  <si>
    <t>This field is mandatory for risk measure type equal to "VAR" and forbidden otherwise. Expressed as a percentage.</t>
  </si>
  <si>
    <t>C
M for risk measure type equal to "VEGA_EXPO"
F otherwise</t>
  </si>
  <si>
    <t>C
M for risk measure type equal to "VAR"
F otherwise</t>
  </si>
  <si>
    <t>Free description.
The field is mandatory for  risk measure values equal to 0 and optional otherwise.</t>
  </si>
  <si>
    <t>Fixed income</t>
  </si>
  <si>
    <t>Risk measure value for Net DV01 and CS01 for bucket &lt; 5 years in base currency</t>
  </si>
  <si>
    <t>Risk measure value Net DV01 and CS01 for for bucket 5-15 years in base currency</t>
  </si>
  <si>
    <t>Risk measure value Net DV01 and CS01 for for bucket &gt; 15 years in base currency</t>
  </si>
  <si>
    <t>Mandatory when 'AIFM Reporting Member State' [AIFM 1] is 'LU', forbidden otherwise.
Currently only used for the Luxembourg file name convention, as "Identification number of the sender".</t>
  </si>
  <si>
    <t>Legacy, not needed anymore. Now determined based on Reporting Period Type and Reporting Period Year.
The end date of the reporting period may be the last calendar day of March, June, September or December,
or (only when the Last Reporting Flag [13] is set) the last day the AIFM exists.</t>
  </si>
  <si>
    <t>(Legacy) Reporting Period Year</t>
  </si>
  <si>
    <t>Legacy, not needed anymore. Now copied from AIFM field 9.
The reporting period year (2013, 2014…).</t>
  </si>
  <si>
    <t>(Legacy) Reporting Period Type</t>
  </si>
  <si>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</si>
  <si>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For 1st quarter of the calendar year</t>
  </si>
  <si>
    <t>For 2nd quarter of the calendar year</t>
  </si>
  <si>
    <t>For 3rd quarter of the calendar year</t>
  </si>
  <si>
    <t>For 4th quarter of the calendar year</t>
  </si>
  <si>
    <t>For 1st half of the calendar year</t>
  </si>
  <si>
    <t>For 2nd half of the calendar year</t>
  </si>
  <si>
    <t>For the calendar year</t>
  </si>
  <si>
    <t>For period from 1st quarter to 3rd quarter</t>
  </si>
  <si>
    <t>For period from 2nd quarter to 4th quarter</t>
  </si>
  <si>
    <r>
      <t>Code (</t>
    </r>
    <r>
      <rPr>
        <b/>
        <sz val="8"/>
        <color rgb="FFFFFF00"/>
        <rFont val="Calibri"/>
        <family val="2"/>
        <scheme val="minor"/>
      </rPr>
      <t>field 8</t>
    </r>
    <r>
      <rPr>
        <b/>
        <sz val="8"/>
        <color theme="0"/>
        <rFont val="Calibri"/>
        <family val="2"/>
        <scheme val="minor"/>
      </rPr>
      <t>)</t>
    </r>
  </si>
  <si>
    <t>Period Types</t>
  </si>
  <si>
    <t xml:space="preserve">3 status are admitted:
- “MASTER” for master AIF
- “FEEDER” for feeder AIF 
- “NONE” or empty in other cases </t>
  </si>
  <si>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</si>
  <si>
    <t>The filling types admitted are:
  - AMND for "amendment to one reporting previously submitted"
  - INIT or empty for "initial reporting for the reporting period"
  - CANCEL for "cancel one reporting previously submitted"</t>
  </si>
  <si>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</si>
  <si>
    <t>SEC_SBD_UKBM</t>
  </si>
  <si>
    <t>SEC_SBD_UKBY</t>
  </si>
  <si>
    <t>EU bonds with a 0-1 year term to maturity - Can only be used when reporting to an EU/EEA country.</t>
  </si>
  <si>
    <t>EU bonds with a 1+ year term to maturity - Can only be used when reporting to an EU/EEA country.</t>
  </si>
  <si>
    <t>UK bonds with a 0-1 year term to maturity - Only relevant when reporting to the UK.</t>
  </si>
  <si>
    <t>UK bonds with a 1+ year term to maturity - Only relevant  when reporting to the UK.</t>
  </si>
  <si>
    <t>#START QUESTIONS FOR FUND (AIF) REPORT(S)</t>
  </si>
  <si>
    <t>No standard.
It is strongly recommended to provide the full name as provided by Swift for master AIF(s) that have a BIC or LEI code.</t>
  </si>
  <si>
    <t>(Legacy) Master feeder status</t>
  </si>
  <si>
    <t>58, 57</t>
  </si>
  <si>
    <t>75, 124</t>
  </si>
  <si>
    <t>48, 76, 86-93, 98, 108, 117, 123-124, 129-130</t>
  </si>
  <si>
    <t>53, 78-85, 165, 171</t>
  </si>
  <si>
    <t>100, 110, 162, 168</t>
  </si>
  <si>
    <t>101, 111, 163, 169</t>
  </si>
  <si>
    <t>102, 112, 164, 170</t>
  </si>
  <si>
    <t>219-278</t>
  </si>
  <si>
    <t>148, 149</t>
  </si>
  <si>
    <t>120, 119</t>
  </si>
  <si>
    <t>150, 151</t>
  </si>
  <si>
    <t>152, 153</t>
  </si>
  <si>
    <t>194, 193</t>
  </si>
  <si>
    <t>195, 193</t>
  </si>
  <si>
    <t>196, 193</t>
  </si>
  <si>
    <t>204, 203</t>
  </si>
  <si>
    <t>205, 203</t>
  </si>
  <si>
    <t>206, 203</t>
  </si>
  <si>
    <t>207, 203</t>
  </si>
  <si>
    <t>8, 6, 7</t>
  </si>
  <si>
    <t>9, 6, 7</t>
  </si>
  <si>
    <t>21, 19</t>
  </si>
  <si>
    <t>17, 20</t>
  </si>
  <si>
    <t>67, 42</t>
  </si>
  <si>
    <t>1, 43</t>
  </si>
  <si>
    <t>17, 44</t>
  </si>
  <si>
    <t>65, 41, 95, 96, 104, 121</t>
  </si>
  <si>
    <t>Controlled Structure - Gross exposure of financial and, as the case may be, or legal structures controlled by the AIF as defined in Recital 78 of the AIFMD</t>
  </si>
  <si>
    <t>The CONTROLLED_STRUCTURE record is optional for AIFs with content type 2, 4 and 5, and forbidden otherwise.</t>
  </si>
  <si>
    <t>(Legacy) The Master(s) of the AIF (Mandatory if "Master feeder status" (field 41) is "FEEDER", forbidden otherwise)</t>
  </si>
  <si>
    <t>Dominant influence(s) - Optional for AIFs with private equity and content type 2 and 4, and forbidden otherwise.</t>
  </si>
  <si>
    <t>C
M for “PEQF” predominant AIF type
ignored otherwise</t>
  </si>
  <si>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ignored otherwise.</t>
  </si>
  <si>
    <t>AFRICA</t>
  </si>
  <si>
    <t>ASIAPACIFIC</t>
  </si>
  <si>
    <t># Copyright Matterhorn Reporting Services.</t>
  </si>
  <si>
    <t>The total number of transactions carried out using a high frequency algorithmic trading technique, as defined in the forthcoming revised Markets in Financial Instruments Directive (MiFID II).
Reported as 0 to the FSMA (BE) when not filled in.</t>
  </si>
  <si>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
Reported as 0 to the FSMA (BE) when not filled in.</t>
  </si>
  <si>
    <t>#STRATEGYv2</t>
  </si>
  <si>
    <t>STRATEGYv2</t>
  </si>
  <si>
    <t>Investor Concentration NAV percentage by retail investors</t>
  </si>
  <si>
    <t>#AIFM fieldnumbers →</t>
  </si>
  <si>
    <t>#AIF fieldnumbers →</t>
  </si>
  <si>
    <t>Sub-Asset Type of Turnover</t>
  </si>
  <si>
    <t>Market Value of Turnover</t>
  </si>
  <si>
    <t>Notional Value of Turnover</t>
  </si>
  <si>
    <t>Sub-Asset Type of Position</t>
  </si>
  <si>
    <t>Sub-Asset Type for Positions</t>
  </si>
  <si>
    <t>Sub-Asset Type for Turnover</t>
  </si>
  <si>
    <r>
      <t xml:space="preserve">Code
</t>
    </r>
    <r>
      <rPr>
        <b/>
        <sz val="8"/>
        <color rgb="FFFFFF00"/>
        <rFont val="Calibri"/>
        <family val="2"/>
        <scheme val="minor"/>
      </rPr>
      <t>POSITION (field 65)
POSITION_COMPACT (field 65)
POSITION_EXTERNAL (field 65)</t>
    </r>
  </si>
  <si>
    <t>All</t>
  </si>
  <si>
    <r>
      <t>EU AIF (of an Registered AIFM)  (</t>
    </r>
    <r>
      <rPr>
        <b/>
        <sz val="8"/>
        <rFont val="Arial"/>
        <family val="2"/>
      </rPr>
      <t>light</t>
    </r>
    <r>
      <rPr>
        <sz val="8"/>
        <rFont val="Arial"/>
        <family val="2"/>
      </rPr>
      <t>)</t>
    </r>
  </si>
  <si>
    <t># Source:</t>
  </si>
  <si>
    <t>ESMA Consultation paper</t>
  </si>
  <si>
    <t>Unsecured cash borrowing amount</t>
  </si>
  <si>
    <t>Collaterised/secured cash borrowing via prime broker amount</t>
  </si>
  <si>
    <t>Collaterised/secured cash borrowing via reverse repo amount</t>
  </si>
  <si>
    <t>Collaterised/secured cash borrowing via other amount</t>
  </si>
  <si>
    <t>Mandatory when Counterparty Name [100] is present, forbidden otherwise.</t>
  </si>
  <si>
    <t>Optional when Counterparty Name [100] is present, forbidden otherwise.</t>
  </si>
  <si>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t>
  </si>
  <si>
    <t>102/112: 11 Character BIC code of the entity (ISO 9362 standard)   The BIC code cannot be filled if the counterparty name is not filled in.</t>
  </si>
  <si>
    <t>100/110: Entity name. (no standard) It is strongly recommended to provide the full name corresponding to the allocated LEI code (or BIC code if any and LEI not available).</t>
  </si>
  <si>
    <t>AIF Domicile</t>
  </si>
  <si>
    <t>AIF Inception Date</t>
  </si>
  <si>
    <t>AIF LEI Code</t>
  </si>
  <si>
    <t>AIF ISIN Code</t>
  </si>
  <si>
    <t>AIF CUSIP Code</t>
  </si>
  <si>
    <t>AIF Sedol Code</t>
  </si>
  <si>
    <t>AIF Bloomberg Code</t>
  </si>
  <si>
    <t>AIF Reuters Code</t>
  </si>
  <si>
    <t>AIF ECB Code</t>
  </si>
  <si>
    <t>AIF Base Currency</t>
  </si>
  <si>
    <t>Share Class National Code</t>
  </si>
  <si>
    <t>Share Class ISIN Code</t>
  </si>
  <si>
    <t>Share Class SEDOL Code</t>
  </si>
  <si>
    <t>Share Class CUSIP Code</t>
  </si>
  <si>
    <t>Share Class Bloomberg Code</t>
  </si>
  <si>
    <t>Share class Reuters Code</t>
  </si>
  <si>
    <t>Share Class Name</t>
  </si>
  <si>
    <t># 2024-04-29</t>
  </si>
  <si>
    <t>AIF Reporting Code</t>
  </si>
  <si>
    <t>AIFM No Reporting Flag (Nothing to report)</t>
  </si>
  <si>
    <t>Darby International Capital LLC</t>
  </si>
  <si>
    <t>02694-0001</t>
  </si>
  <si>
    <t>Private Debt Equity</t>
  </si>
  <si>
    <t>Darby Fund III Holdings LP</t>
  </si>
  <si>
    <t>Darby Fund III Holdings Mexico, A. En P.</t>
  </si>
  <si>
    <t>YES</t>
  </si>
  <si>
    <t>#It is expected that the loan investments will be sold in the future in privately-negotiated transaction</t>
  </si>
  <si>
    <t xml:space="preserve">#Any volatility experienced in global public markets has no significant impact on the investments.
</t>
  </si>
  <si>
    <t>#Closed ended and unleveraged funds are not in scope of the AIFMD liquidity stress test requirements</t>
  </si>
  <si>
    <t>Cash at Bank</t>
  </si>
  <si>
    <t>Other liabilities</t>
  </si>
  <si>
    <t>Other Assets</t>
  </si>
  <si>
    <t xml:space="preserve"> Darby Latin American Private Debt Fund III</t>
  </si>
  <si>
    <t>#MASTER_FEEDER</t>
  </si>
  <si>
    <t>AIF ID</t>
  </si>
  <si>
    <t>Master AIF Name</t>
  </si>
  <si>
    <t>Master AIF national identifier Country</t>
  </si>
  <si>
    <t>Master AIF national identifier National code</t>
  </si>
  <si>
    <t>#AIFM FIELDNUMBERS</t>
  </si>
  <si>
    <t>0000071453</t>
  </si>
  <si>
    <t>#IRR Pref calc, verschiedene tabs pro quartal</t>
  </si>
  <si>
    <t>#Operational Risk Profile, sub + red, nav change ausrechnen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</si>
</sst>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0\ &quot;€&quot;;\-#,##0\ &quot;€&quot;"/>
    <numFmt numFmtId="41" formatCode="_-* #,##0_-;\-* #,##0_-;_-* &quot;-&quot;_-;_-@_-"/>
    <numFmt numFmtId="44" formatCode="_-* #,##0.00\ &quot;€&quot;_-;\-* #,##0.00\ &quot;€&quot;_-;_-* &quot;-&quot;??\ &quot;€&quot;_-;_-@_-"/>
    <numFmt numFmtId="43" formatCode="_-* #,##0.00_-;\-* #,##0.00_-;_-* &quot;-&quot;??_-;_-@_-"/>
    <numFmt numFmtId="164" formatCode="&quot;£&quot;#,##0.00;\-&quot;£&quot;#,##0.00"/>
    <numFmt numFmtId="165" formatCode="_-&quot;£&quot;* #,##0.00_-;\-&quot;£&quot;* #,##0.00_-;_-&quot;£&quot;* &quot;-&quot;??_-;_-@_-"/>
    <numFmt numFmtId="166" formatCode="_ * #,##0.00_ ;_ * \-#,##0.00_ ;_ * &quot;-&quot;??_ ;_ @_ "/>
    <numFmt numFmtId="167" formatCode="#,##0.0000"/>
    <numFmt numFmtId="168" formatCode="yyyy\-mm\-dd;@"/>
    <numFmt numFmtId="169" formatCode="&quot;$&quot;#,##0_);\(&quot;$&quot;#,##0\)"/>
    <numFmt numFmtId="170" formatCode="_(&quot;$&quot;* #,##0_);_(&quot;$&quot;* \(#,##0\);_(&quot;$&quot;* &quot;-&quot;_);_(@_)"/>
    <numFmt numFmtId="171" formatCode="0.0_)\%;\(0.0\)\%;0.0_)\%;@_)_%"/>
    <numFmt numFmtId="172" formatCode="#,##0.0_)_%;\(#,##0.0\)_%;0.0_)_%;@_)_%"/>
    <numFmt numFmtId="173" formatCode="#,##0.0_);\(#,##0.0\);#,##0.0_);@_)"/>
    <numFmt numFmtId="174" formatCode="&quot;$&quot;_(#,##0.00_);&quot;$&quot;\(#,##0.00\);&quot;$&quot;_(0.00_);@_)"/>
    <numFmt numFmtId="175" formatCode="#,##0.00_);\(#,##0.00\);0.00_);@_)"/>
    <numFmt numFmtId="176" formatCode="\€_(#,##0.00_);\€\(#,##0.00\);\€_(0.00_);@_)"/>
    <numFmt numFmtId="177" formatCode="#,##0_)\x;\(#,##0\)\x;0_)\x;@_)_x"/>
    <numFmt numFmtId="178" formatCode="#,##0_)_x;\(#,##0\)_x;0_)_x;@_)_x"/>
    <numFmt numFmtId="179" formatCode="\¥\ #,##0_);[Red]\(\¥\ #,##0\)"/>
    <numFmt numFmtId="180" formatCode="[$-40C]d\ mmmm\ yyyy;@"/>
    <numFmt numFmtId="181" formatCode="[$€-2]\ #,##0;[Red]\-[$€-2]\ #,##0"/>
    <numFmt numFmtId="182" formatCode="0.000%"/>
    <numFmt numFmtId="183" formatCode="&quot;€&quot;#,##0_);[Red]\(&quot;€&quot;#,##0\);&quot;-&quot;"/>
    <numFmt numFmtId="184" formatCode="#,##0.0_);\(#,##0.0\)"/>
    <numFmt numFmtId="185" formatCode="mmmm\ d"/>
    <numFmt numFmtId="186" formatCode="0.000000"/>
    <numFmt numFmtId="187" formatCode="0.000_)"/>
    <numFmt numFmtId="188" formatCode="_-* #,##0.00\ _€_-;\-* #,##0.00\ _€_-;_-* &quot;-&quot;??\ _€_-;_-@_-"/>
    <numFmt numFmtId="189" formatCode="###,###,_-;[Red]\(###,###,\);[Blue]\-\ ;@"/>
    <numFmt numFmtId="190" formatCode="#,##0\ ;\(#,##0\)"/>
    <numFmt numFmtId="191" formatCode="m/d/yy\ h:mm"/>
    <numFmt numFmtId="192" formatCode="\G\é\n\é\r\a\l"/>
    <numFmt numFmtId="193" formatCode="_-[$€-2]* #,##0.00_-;\-[$€-2]* #,##0.00_-;_-[$€-2]* &quot;-&quot;??_-"/>
    <numFmt numFmtId="194" formatCode="_-[$€]* #,##0.00_-;\-[$€]* #,##0.00_-;_-[$€]* &quot;-&quot;??_-;_-@_-"/>
    <numFmt numFmtId="195" formatCode="dd\-mmm\-yy\ hh:mm:ss"/>
    <numFmt numFmtId="196" formatCode="_-* #,##0.00\ _D_M_-;\-* #,##0.00\ _D_M_-;_-* &quot;-&quot;??\ _D_M_-;_-@_-"/>
    <numFmt numFmtId="197" formatCode="[$-409]d\-mmm\-yyyy;@"/>
    <numFmt numFmtId="198" formatCode="_-* #,##0\ _F_-;\-* #,##0\ _F_-;_-* &quot;-&quot;\ _F_-;_-@_-"/>
    <numFmt numFmtId="199" formatCode="_-* #,##0.00\ _F_-;\-* #,##0.00\ _F_-;_-* &quot;-&quot;??\ _F_-;_-@_-"/>
    <numFmt numFmtId="200" formatCode="_-* #,##0\ _F_-;* \(#,##0\)\ _F_-;_-* &quot;-&quot;??\ _F_-;_-@_-"/>
    <numFmt numFmtId="201" formatCode="_-* #,##0\ &quot;F&quot;_-;\-* #,##0\ &quot;F&quot;_-;_-* &quot;-&quot;\ &quot;F&quot;_-;_-@_-"/>
    <numFmt numFmtId="202" formatCode="_-* #,##0.00\ &quot;F&quot;_-;\-* #,##0.00\ &quot;F&quot;_-;_-* &quot;-&quot;??\ &quot;F&quot;_-;_-@_-"/>
    <numFmt numFmtId="203" formatCode="\$#,##0\ ;\(\$#,##0\)"/>
    <numFmt numFmtId="204" formatCode="0.00_)"/>
    <numFmt numFmtId="205" formatCode="_(* #,##0.000000_);_(* \(#,##0.000000\);_(* &quot;-&quot;??_);_(@_)"/>
    <numFmt numFmtId="206" formatCode="&quot;&quot;#,##0.00&quot;&quot;;&quot;&quot;\-#,##0.00&quot;&quot;"/>
  </numFmts>
  <fonts count="117">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8" tint="-0.249977111117893"/>
      <name val="Calibri"/>
      <family val="2"/>
      <scheme val="minor"/>
    </font>
    <font>
      <b/>
      <sz val="8"/>
      <color theme="4" tint="-0.249977111117893"/>
      <name val="Calibri"/>
      <family val="2"/>
      <scheme val="minor"/>
    </font>
    <font>
      <u/>
      <sz val="11"/>
      <color theme="10"/>
      <name val="Calibri"/>
      <family val="2"/>
      <scheme val="minor"/>
    </font>
    <font>
      <b/>
      <sz val="12"/>
      <color theme="0"/>
      <name val="Calibri"/>
      <family val="2"/>
      <scheme val="minor"/>
    </font>
    <font>
      <sz val="12"/>
      <name val="Calibri"/>
      <family val="2"/>
      <scheme val="minor"/>
    </font>
    <font>
      <b/>
      <sz val="8"/>
      <color rgb="FFFFFF00"/>
      <name val="Calibri"/>
      <family val="2"/>
      <scheme val="minor"/>
    </font>
    <font>
      <b/>
      <sz val="8"/>
      <name val="Arial"/>
      <family val="2"/>
    </font>
    <font>
      <sz val="8"/>
      <name val="Arial"/>
      <family val="2"/>
    </font>
    <font>
      <sz val="8"/>
      <color rgb="FF000000"/>
      <name val="Calibri"/>
      <family val="2"/>
      <scheme val="minor"/>
    </font>
    <font>
      <sz val="8"/>
      <color rgb="FFFFFF00"/>
      <name val="Calibri"/>
      <family val="2"/>
      <scheme val="minor"/>
    </font>
    <font>
      <sz val="8"/>
      <color theme="1"/>
      <name val="Lucida Grande"/>
    </font>
    <font>
      <sz val="8"/>
      <color theme="8" tint="-0.249977111117893"/>
      <name val="Calibri"/>
      <family val="2"/>
      <scheme val="minor"/>
    </font>
    <font>
      <b/>
      <u/>
      <sz val="8"/>
      <color theme="0"/>
      <name val="Calibri"/>
      <family val="2"/>
      <scheme val="minor"/>
    </font>
    <font>
      <b/>
      <i/>
      <sz val="8"/>
      <name val="Calibri"/>
      <family val="2"/>
      <scheme val="minor"/>
    </font>
    <font>
      <sz val="8"/>
      <color theme="8"/>
      <name val="Calibri"/>
      <family val="2"/>
      <scheme val="minor"/>
    </font>
    <font>
      <b/>
      <sz val="10"/>
      <color rgb="FFFFFF00"/>
      <name val="Calibri"/>
      <family val="2"/>
      <scheme val="minor"/>
    </font>
    <font>
      <u/>
      <sz val="10"/>
      <color rgb="FFFFFF00"/>
      <name val="Calibri"/>
      <family val="2"/>
      <scheme val="minor"/>
    </font>
    <font>
      <b/>
      <sz val="10"/>
      <name val="Calibri"/>
      <family val="2"/>
      <scheme val="minor"/>
    </font>
    <font>
      <sz val="8"/>
      <color rgb="FF262626"/>
      <name val="Calibri"/>
      <family val="2"/>
      <scheme val="minor"/>
    </font>
    <font>
      <b/>
      <sz val="8"/>
      <color theme="1" tint="0.249977111117893"/>
      <name val="Calibri"/>
      <family val="2"/>
      <scheme val="minor"/>
    </font>
    <font>
      <b/>
      <u/>
      <sz val="8"/>
      <color rgb="FF7030A0"/>
      <name val="Calibri"/>
      <family val="2"/>
      <scheme val="minor"/>
    </font>
    <font>
      <b/>
      <sz val="11"/>
      <color theme="0"/>
      <name val="Calibri"/>
      <family val="2"/>
      <scheme val="minor"/>
    </font>
    <font>
      <u/>
      <sz val="8"/>
      <color rgb="FFFFFF00"/>
      <name val="Calibri"/>
      <family val="2"/>
      <scheme val="minor"/>
    </font>
    <font>
      <b/>
      <u/>
      <sz val="8"/>
      <color rgb="FFFFFF0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
      <sz val="11"/>
      <color theme="1"/>
      <name val="Calibri"/>
      <family val="2"/>
      <scheme val="minor"/>
    </font>
    <font>
      <sz val="11"/>
      <color rgb="FF000000"/>
      <name val="Calibri"/>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1"/>
      <color indexed="10"/>
      <name val="–¾’©"/>
      <charset val="128"/>
    </font>
    <font>
      <sz val="11"/>
      <color indexed="8"/>
      <name val="Calibri"/>
      <family val="2"/>
    </font>
    <font>
      <sz val="11"/>
      <color indexed="8"/>
      <name val="Frutiger 55 Roman"/>
      <family val="2"/>
    </font>
    <font>
      <sz val="11"/>
      <color indexed="9"/>
      <name val="Calibri"/>
      <family val="2"/>
    </font>
    <font>
      <sz val="11"/>
      <color indexed="9"/>
      <name val="Frutiger 55 Roman"/>
      <family val="2"/>
    </font>
    <font>
      <sz val="10"/>
      <color indexed="9"/>
      <name val="Univers 45 Light"/>
      <family val="2"/>
    </font>
    <font>
      <sz val="10"/>
      <name val="Geneva"/>
      <family val="2"/>
    </font>
    <font>
      <b/>
      <sz val="10"/>
      <color indexed="9"/>
      <name val="Trebuchet MS"/>
      <family val="2"/>
    </font>
    <font>
      <sz val="10"/>
      <name val="AvantGarde"/>
      <family val="2"/>
    </font>
    <font>
      <sz val="11"/>
      <color indexed="10"/>
      <name val="Calibri"/>
      <family val="2"/>
    </font>
    <font>
      <sz val="11"/>
      <color indexed="20"/>
      <name val="Frutiger 55 Roman"/>
      <family val="2"/>
    </font>
    <font>
      <sz val="10"/>
      <name val="Times New Roman"/>
      <family val="1"/>
    </font>
    <font>
      <sz val="10"/>
      <color indexed="12"/>
      <name val="Arial"/>
      <family val="2"/>
    </font>
    <font>
      <sz val="10"/>
      <name val="Helv"/>
    </font>
    <font>
      <b/>
      <sz val="12"/>
      <name val="Times New Roman"/>
      <family val="1"/>
    </font>
    <font>
      <b/>
      <sz val="11"/>
      <color indexed="52"/>
      <name val="Calibri"/>
      <family val="2"/>
    </font>
    <font>
      <b/>
      <sz val="11"/>
      <color indexed="52"/>
      <name val="Frutiger 55 Roman"/>
      <family val="2"/>
    </font>
    <font>
      <sz val="11"/>
      <color indexed="52"/>
      <name val="Calibri"/>
      <family val="2"/>
    </font>
    <font>
      <b/>
      <sz val="11"/>
      <color indexed="9"/>
      <name val="Frutiger 55 Roman"/>
      <family val="2"/>
    </font>
    <font>
      <sz val="10"/>
      <name val="Book Antiqua"/>
      <family val="1"/>
    </font>
    <font>
      <b/>
      <sz val="10"/>
      <name val="Arial Unicode MS"/>
      <family val="2"/>
    </font>
    <font>
      <sz val="12"/>
      <name val="Arial"/>
      <family val="2"/>
    </font>
    <font>
      <b/>
      <sz val="8"/>
      <color indexed="12"/>
      <name val="Arial"/>
      <family val="2"/>
    </font>
    <font>
      <b/>
      <sz val="8"/>
      <color indexed="14"/>
      <name val="Arial"/>
      <family val="2"/>
    </font>
    <font>
      <b/>
      <sz val="8"/>
      <color indexed="52"/>
      <name val="Arial"/>
      <family val="2"/>
    </font>
    <font>
      <b/>
      <sz val="8"/>
      <color indexed="10"/>
      <name val="Arial"/>
      <family val="2"/>
    </font>
    <font>
      <b/>
      <sz val="8"/>
      <color indexed="57"/>
      <name val="Arial"/>
      <family val="2"/>
    </font>
    <font>
      <b/>
      <sz val="8"/>
      <color indexed="46"/>
      <name val="Arial"/>
      <family val="2"/>
    </font>
    <font>
      <b/>
      <sz val="10"/>
      <color indexed="48"/>
      <name val="Arial"/>
      <family val="2"/>
    </font>
    <font>
      <b/>
      <sz val="10"/>
      <name val="Times New Roman"/>
      <family val="1"/>
    </font>
    <font>
      <b/>
      <sz val="10"/>
      <name val="Arial"/>
      <family val="2"/>
    </font>
    <font>
      <sz val="10"/>
      <name val="MS Sans Serif"/>
      <family val="2"/>
    </font>
    <font>
      <b/>
      <sz val="10"/>
      <color indexed="10"/>
      <name val="Arial"/>
      <family val="2"/>
    </font>
    <font>
      <sz val="12"/>
      <name val="Tms Rmn"/>
    </font>
    <font>
      <b/>
      <sz val="18"/>
      <color indexed="24"/>
      <name val="Arial"/>
      <family val="2"/>
    </font>
    <font>
      <b/>
      <sz val="12"/>
      <color indexed="24"/>
      <name val="Arial"/>
      <family val="2"/>
    </font>
    <font>
      <sz val="11"/>
      <color indexed="62"/>
      <name val="Calibri"/>
      <family val="2"/>
    </font>
    <font>
      <i/>
      <sz val="11"/>
      <color indexed="23"/>
      <name val="Frutiger 55 Roman"/>
      <family val="2"/>
    </font>
    <font>
      <sz val="10"/>
      <color indexed="24"/>
      <name val="Arial"/>
      <family val="2"/>
    </font>
    <font>
      <sz val="11"/>
      <color indexed="17"/>
      <name val="Frutiger 55 Roman"/>
      <family val="2"/>
    </font>
    <font>
      <b/>
      <sz val="10"/>
      <name val="Helv"/>
    </font>
    <font>
      <b/>
      <sz val="12"/>
      <name val="Arial"/>
      <family val="2"/>
    </font>
    <font>
      <b/>
      <sz val="15"/>
      <color indexed="10"/>
      <name val="Frutiger 55 Roman"/>
      <family val="2"/>
    </font>
    <font>
      <b/>
      <sz val="13"/>
      <color indexed="10"/>
      <name val="Frutiger 55 Roman"/>
      <family val="2"/>
    </font>
    <font>
      <i/>
      <sz val="12"/>
      <name val="Arial"/>
      <family val="2"/>
    </font>
    <font>
      <b/>
      <sz val="11"/>
      <color indexed="10"/>
      <name val="Frutiger 55 Roman"/>
      <family val="2"/>
    </font>
    <font>
      <b/>
      <i/>
      <sz val="1"/>
      <name val="Helvetica"/>
      <family val="2"/>
    </font>
    <font>
      <u/>
      <sz val="11"/>
      <color indexed="12"/>
      <name val="Frutiger 55 Roman"/>
      <family val="2"/>
    </font>
    <font>
      <sz val="11"/>
      <color indexed="62"/>
      <name val="Frutiger 55 Roman"/>
      <family val="2"/>
    </font>
    <font>
      <sz val="11"/>
      <color indexed="20"/>
      <name val="Calibri"/>
      <family val="2"/>
    </font>
    <font>
      <i/>
      <sz val="10"/>
      <name val="Helv"/>
    </font>
    <font>
      <b/>
      <i/>
      <sz val="10"/>
      <name val="Times New Roman"/>
      <family val="1"/>
    </font>
    <font>
      <sz val="10"/>
      <color indexed="8"/>
      <name val="Univers 45 Light"/>
      <family val="2"/>
    </font>
    <font>
      <sz val="12"/>
      <name val="AvantGarde"/>
      <family val="2"/>
    </font>
    <font>
      <sz val="11"/>
      <color indexed="52"/>
      <name val="Frutiger 55 Roman"/>
      <family val="2"/>
    </font>
    <font>
      <sz val="8"/>
      <color indexed="18"/>
      <name val="Arial"/>
      <family val="2"/>
    </font>
    <font>
      <sz val="12"/>
      <color indexed="14"/>
      <name val="Arial"/>
      <family val="2"/>
    </font>
    <font>
      <sz val="9"/>
      <name val="Arial"/>
      <family val="2"/>
    </font>
    <font>
      <sz val="11"/>
      <color indexed="60"/>
      <name val="Frutiger 55 Roman"/>
      <family val="2"/>
    </font>
    <font>
      <sz val="11"/>
      <color indexed="60"/>
      <name val="Calibri"/>
      <family val="2"/>
    </font>
    <font>
      <b/>
      <i/>
      <sz val="16"/>
      <name val="Helv"/>
    </font>
    <font>
      <sz val="10"/>
      <name val="Arial Unicode MS"/>
      <family val="2"/>
    </font>
    <font>
      <sz val="10"/>
      <name val="Univers 45 Light"/>
      <family val="2"/>
    </font>
    <font>
      <sz val="12"/>
      <color indexed="8"/>
      <name val="Frutiger 55 Roman"/>
      <family val="2"/>
    </font>
    <font>
      <b/>
      <sz val="11"/>
      <color indexed="63"/>
      <name val="Frutiger 55 Roman"/>
      <family val="2"/>
    </font>
    <font>
      <sz val="9"/>
      <name val="Palatino"/>
      <family val="1"/>
    </font>
    <font>
      <sz val="11"/>
      <color rgb="FF000000"/>
      <name val="Segoe UI"/>
      <family val="2"/>
    </font>
  </fonts>
  <fills count="48">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2"/>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2065187536243"/>
        <bgColor indexed="64"/>
      </patternFill>
    </fill>
    <fill>
      <patternFill patternType="solid">
        <fgColor rgb="FF7030A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2"/>
      </patternFill>
    </fill>
    <fill>
      <patternFill patternType="solid">
        <fgColor indexed="26"/>
      </patternFill>
    </fill>
    <fill>
      <patternFill patternType="solid">
        <fgColor indexed="29"/>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7"/>
      </patternFill>
    </fill>
    <fill>
      <patternFill patternType="solid">
        <fgColor indexed="10"/>
      </patternFill>
    </fill>
    <fill>
      <patternFill patternType="solid">
        <fgColor indexed="44"/>
        <bgColor indexed="64"/>
      </patternFill>
    </fill>
    <fill>
      <patternFill patternType="solid">
        <fgColor indexed="26"/>
        <bgColor indexed="64"/>
      </patternFill>
    </fill>
    <fill>
      <patternFill patternType="solid">
        <fgColor indexed="18"/>
        <bgColor indexed="64"/>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55"/>
        <bgColor indexed="64"/>
      </patternFill>
    </fill>
    <fill>
      <patternFill patternType="solid">
        <fgColor indexed="43"/>
        <bgColor indexed="64"/>
      </patternFill>
    </fill>
    <fill>
      <patternFill patternType="solid">
        <fgColor indexed="9"/>
        <bgColor indexed="64"/>
      </patternFill>
    </fill>
  </fills>
  <borders count="7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thin">
        <color auto="1"/>
      </left>
      <right/>
      <top/>
      <bottom/>
      <diagonal/>
    </border>
    <border>
      <left/>
      <right/>
      <top style="hair">
        <color indexed="8"/>
      </top>
      <bottom style="hair">
        <color indexed="8"/>
      </bottom>
      <diagonal/>
    </border>
    <border>
      <left/>
      <right/>
      <top/>
      <bottom style="medium">
        <color indexed="18"/>
      </bottom>
      <diagonal/>
    </border>
    <border>
      <left style="thin">
        <color indexed="64"/>
      </left>
      <right/>
      <top style="thin">
        <color indexed="64"/>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double">
        <color indexed="64"/>
      </left>
      <right style="double">
        <color indexed="64"/>
      </right>
      <top style="double">
        <color indexed="64"/>
      </top>
      <bottom style="double">
        <color indexed="64"/>
      </bottom>
      <diagonal/>
    </border>
    <border>
      <left style="thin">
        <color indexed="22"/>
      </left>
      <right style="thin">
        <color indexed="22"/>
      </right>
      <top style="thin">
        <color indexed="22"/>
      </top>
      <bottom style="thin">
        <color indexed="22"/>
      </bottom>
      <diagonal/>
    </border>
    <border>
      <left/>
      <right/>
      <top style="double">
        <color indexed="64"/>
      </top>
      <bottom style="double">
        <color indexed="64"/>
      </bottom>
      <diagonal/>
    </border>
    <border>
      <left/>
      <right/>
      <top style="thin">
        <color indexed="64"/>
      </top>
      <bottom/>
      <diagonal/>
    </border>
    <border>
      <left/>
      <right/>
      <top style="thin">
        <color indexed="64"/>
      </top>
      <bottom style="thin">
        <color indexed="64"/>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63"/>
      </left>
      <right style="thin">
        <color indexed="63"/>
      </right>
      <top style="thin">
        <color indexed="63"/>
      </top>
      <bottom style="thin">
        <color indexed="63"/>
      </bottom>
      <diagonal/>
    </border>
  </borders>
  <cellStyleXfs count="4879">
    <xf numFmtId="0" fontId="0" fillId="0" borderId="0"/>
    <xf numFmtId="0" fontId="1" fillId="2" borderId="1" applyNumberFormat="0" applyAlignment="0" applyProtection="0"/>
    <xf numFmtId="0" fontId="4" fillId="0" borderId="0"/>
    <xf numFmtId="0" fontId="8" fillId="0" borderId="0"/>
    <xf numFmtId="0" fontId="9" fillId="0" borderId="0"/>
    <xf numFmtId="0" fontId="17" fillId="0" borderId="0" applyNumberFormat="0" applyFill="0" applyBorder="0" applyAlignment="0" applyProtection="0"/>
    <xf numFmtId="166" fontId="42" fillId="0" borderId="0" applyFont="0" applyFill="0" applyBorder="0" applyAlignment="0" applyProtection="0"/>
    <xf numFmtId="0" fontId="43" fillId="0" borderId="0" applyBorder="0"/>
    <xf numFmtId="43" fontId="43" fillId="0" borderId="0" applyFont="0" applyFill="0" applyBorder="0" applyAlignment="0" applyProtection="0"/>
    <xf numFmtId="0" fontId="8" fillId="0" borderId="0"/>
    <xf numFmtId="43" fontId="8" fillId="0" borderId="0" applyFont="0" applyFill="0" applyBorder="0" applyAlignment="0" applyProtection="0"/>
    <xf numFmtId="0" fontId="9" fillId="0" borderId="0"/>
    <xf numFmtId="171" fontId="9" fillId="0" borderId="0" applyFont="0" applyFill="0" applyBorder="0" applyAlignment="0" applyProtection="0"/>
    <xf numFmtId="172" fontId="9" fillId="0" borderId="0" applyFont="0" applyFill="0" applyBorder="0" applyAlignment="0" applyProtection="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173" fontId="9" fillId="0" borderId="0" applyFont="0" applyFill="0" applyBorder="0" applyAlignment="0" applyProtection="0"/>
    <xf numFmtId="0" fontId="9" fillId="0" borderId="0">
      <alignment horizontal="left" wrapText="1"/>
    </xf>
    <xf numFmtId="0" fontId="9" fillId="0" borderId="0">
      <alignment horizontal="left" wrapText="1"/>
    </xf>
    <xf numFmtId="0" fontId="9" fillId="0" borderId="0">
      <alignment horizontal="left" wrapText="1"/>
    </xf>
    <xf numFmtId="174" fontId="9" fillId="0" borderId="0" applyFont="0" applyFill="0" applyBorder="0" applyAlignment="0" applyProtection="0"/>
    <xf numFmtId="175" fontId="9" fillId="0" borderId="0" applyFont="0" applyFill="0" applyBorder="0" applyAlignment="0" applyProtection="0"/>
    <xf numFmtId="0" fontId="9" fillId="0" borderId="0">
      <alignment horizontal="left" wrapText="1"/>
    </xf>
    <xf numFmtId="176" fontId="9" fillId="0" borderId="0" applyFont="0" applyFill="0" applyBorder="0" applyAlignment="0" applyProtection="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9" fillId="0" borderId="0">
      <alignment horizontal="left" wrapText="1"/>
    </xf>
    <xf numFmtId="0" fontId="9" fillId="0" borderId="0">
      <alignment horizontal="left" wrapText="1"/>
    </xf>
    <xf numFmtId="0" fontId="9" fillId="0" borderId="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4" fillId="0" borderId="0" applyNumberFormat="0" applyFill="0" applyBorder="0" applyAlignment="0" applyProtection="0"/>
    <xf numFmtId="0" fontId="9" fillId="19" borderId="0" applyNumberFormat="0" applyFont="0" applyAlignment="0" applyProtection="0"/>
    <xf numFmtId="0" fontId="9" fillId="0" borderId="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177" fontId="9" fillId="0" borderId="0" applyFont="0" applyFill="0" applyBorder="0" applyAlignment="0" applyProtection="0"/>
    <xf numFmtId="178" fontId="9" fillId="0" borderId="0" applyFont="0" applyFill="0" applyBorder="0" applyProtection="0">
      <alignment horizontal="right"/>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9" fillId="0" borderId="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5" fillId="0" borderId="0" applyNumberFormat="0" applyFill="0" applyBorder="0" applyProtection="0">
      <alignment vertical="top"/>
    </xf>
    <xf numFmtId="0" fontId="9" fillId="0" borderId="0">
      <alignment horizontal="left" wrapText="1"/>
    </xf>
    <xf numFmtId="0" fontId="4" fillId="0" borderId="0">
      <alignment vertical="top"/>
    </xf>
    <xf numFmtId="0" fontId="4" fillId="0" borderId="0">
      <alignment vertical="top"/>
    </xf>
    <xf numFmtId="0" fontId="9" fillId="0" borderId="0">
      <alignment horizontal="left" wrapText="1"/>
    </xf>
    <xf numFmtId="0" fontId="46" fillId="0" borderId="54" applyNumberFormat="0" applyFill="0" applyAlignment="0" applyProtection="0"/>
    <xf numFmtId="0" fontId="47" fillId="0" borderId="55" applyNumberFormat="0" applyFill="0" applyProtection="0">
      <alignment horizontal="center"/>
    </xf>
    <xf numFmtId="0" fontId="47" fillId="0" borderId="0" applyNumberFormat="0" applyFill="0" applyBorder="0" applyProtection="0">
      <alignment horizontal="left"/>
    </xf>
    <xf numFmtId="0" fontId="48" fillId="0" borderId="0" applyNumberFormat="0" applyFill="0" applyBorder="0" applyProtection="0">
      <alignment horizontal="centerContinuous"/>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9" fillId="0" borderId="0" applyFont="0" applyFill="0" applyBorder="0" applyAlignment="0" applyProtection="0"/>
    <xf numFmtId="179" fontId="49" fillId="0" borderId="0" applyFont="0" applyFill="0" applyBorder="0" applyAlignment="0" applyProtection="0"/>
    <xf numFmtId="0" fontId="9" fillId="0" borderId="0">
      <alignment vertical="center"/>
    </xf>
    <xf numFmtId="180" fontId="9" fillId="0" borderId="0">
      <alignment vertical="center"/>
    </xf>
    <xf numFmtId="0" fontId="50" fillId="0" borderId="0"/>
    <xf numFmtId="0" fontId="9" fillId="0" borderId="0"/>
    <xf numFmtId="0" fontId="9" fillId="0" borderId="0"/>
    <xf numFmtId="181" fontId="51" fillId="20" borderId="0" applyNumberFormat="0" applyBorder="0" applyAlignment="0" applyProtection="0"/>
    <xf numFmtId="181" fontId="51" fillId="21" borderId="0" applyNumberFormat="0" applyBorder="0" applyAlignment="0" applyProtection="0"/>
    <xf numFmtId="181" fontId="51" fillId="22" borderId="0" applyNumberFormat="0" applyBorder="0" applyAlignment="0" applyProtection="0"/>
    <xf numFmtId="181" fontId="51" fillId="23" borderId="0" applyNumberFormat="0" applyBorder="0" applyAlignment="0" applyProtection="0"/>
    <xf numFmtId="181" fontId="51" fillId="24" borderId="0" applyNumberFormat="0" applyBorder="0" applyAlignment="0" applyProtection="0"/>
    <xf numFmtId="181" fontId="51" fillId="25" borderId="0" applyNumberFormat="0" applyBorder="0" applyAlignment="0" applyProtection="0"/>
    <xf numFmtId="0" fontId="51" fillId="20" borderId="0" applyNumberFormat="0" applyBorder="0" applyAlignment="0" applyProtection="0"/>
    <xf numFmtId="181" fontId="51" fillId="20" borderId="0" applyNumberFormat="0" applyBorder="0" applyAlignment="0" applyProtection="0"/>
    <xf numFmtId="0" fontId="51" fillId="21" borderId="0" applyNumberFormat="0" applyBorder="0" applyAlignment="0" applyProtection="0"/>
    <xf numFmtId="181" fontId="51" fillId="21" borderId="0" applyNumberFormat="0" applyBorder="0" applyAlignment="0" applyProtection="0"/>
    <xf numFmtId="0" fontId="51" fillId="22" borderId="0" applyNumberFormat="0" applyBorder="0" applyAlignment="0" applyProtection="0"/>
    <xf numFmtId="181" fontId="51" fillId="22" borderId="0" applyNumberFormat="0" applyBorder="0" applyAlignment="0" applyProtection="0"/>
    <xf numFmtId="0" fontId="51" fillId="23" borderId="0" applyNumberFormat="0" applyBorder="0" applyAlignment="0" applyProtection="0"/>
    <xf numFmtId="181" fontId="51" fillId="23" borderId="0" applyNumberFormat="0" applyBorder="0" applyAlignment="0" applyProtection="0"/>
    <xf numFmtId="0" fontId="51" fillId="24" borderId="0" applyNumberFormat="0" applyBorder="0" applyAlignment="0" applyProtection="0"/>
    <xf numFmtId="181" fontId="51" fillId="24" borderId="0" applyNumberFormat="0" applyBorder="0" applyAlignment="0" applyProtection="0"/>
    <xf numFmtId="0" fontId="51" fillId="25" borderId="0" applyNumberFormat="0" applyBorder="0" applyAlignment="0" applyProtection="0"/>
    <xf numFmtId="181" fontId="51" fillId="25" borderId="0" applyNumberFormat="0" applyBorder="0" applyAlignment="0" applyProtection="0"/>
    <xf numFmtId="180" fontId="52" fillId="26" borderId="0" applyNumberFormat="0" applyBorder="0" applyAlignment="0" applyProtection="0"/>
    <xf numFmtId="180" fontId="52" fillId="26" borderId="0" applyNumberFormat="0" applyBorder="0" applyAlignment="0" applyProtection="0"/>
    <xf numFmtId="180" fontId="52" fillId="27" borderId="0" applyNumberFormat="0" applyBorder="0" applyAlignment="0" applyProtection="0"/>
    <xf numFmtId="180" fontId="52" fillId="26" borderId="0" applyNumberFormat="0" applyBorder="0" applyAlignment="0" applyProtection="0"/>
    <xf numFmtId="180" fontId="52" fillId="28" borderId="0" applyNumberFormat="0" applyBorder="0" applyAlignment="0" applyProtection="0"/>
    <xf numFmtId="180" fontId="52" fillId="29" borderId="0" applyNumberFormat="0" applyBorder="0" applyAlignment="0" applyProtection="0"/>
    <xf numFmtId="181" fontId="51" fillId="20" borderId="0" applyNumberFormat="0" applyBorder="0" applyAlignment="0" applyProtection="0"/>
    <xf numFmtId="181" fontId="51" fillId="21" borderId="0" applyNumberFormat="0" applyBorder="0" applyAlignment="0" applyProtection="0"/>
    <xf numFmtId="181" fontId="51" fillId="22" borderId="0" applyNumberFormat="0" applyBorder="0" applyAlignment="0" applyProtection="0"/>
    <xf numFmtId="181" fontId="51" fillId="23" borderId="0" applyNumberFormat="0" applyBorder="0" applyAlignment="0" applyProtection="0"/>
    <xf numFmtId="181" fontId="51" fillId="24" borderId="0" applyNumberFormat="0" applyBorder="0" applyAlignment="0" applyProtection="0"/>
    <xf numFmtId="181" fontId="51" fillId="25" borderId="0" applyNumberFormat="0" applyBorder="0" applyAlignment="0" applyProtection="0"/>
    <xf numFmtId="181" fontId="51" fillId="30" borderId="0" applyNumberFormat="0" applyBorder="0" applyAlignment="0" applyProtection="0"/>
    <xf numFmtId="181" fontId="51" fillId="29" borderId="0" applyNumberFormat="0" applyBorder="0" applyAlignment="0" applyProtection="0"/>
    <xf numFmtId="181" fontId="51" fillId="31" borderId="0" applyNumberFormat="0" applyBorder="0" applyAlignment="0" applyProtection="0"/>
    <xf numFmtId="181" fontId="51" fillId="23" borderId="0" applyNumberFormat="0" applyBorder="0" applyAlignment="0" applyProtection="0"/>
    <xf numFmtId="181" fontId="51" fillId="30" borderId="0" applyNumberFormat="0" applyBorder="0" applyAlignment="0" applyProtection="0"/>
    <xf numFmtId="181" fontId="51" fillId="32" borderId="0" applyNumberFormat="0" applyBorder="0" applyAlignment="0" applyProtection="0"/>
    <xf numFmtId="0" fontId="51" fillId="30" borderId="0" applyNumberFormat="0" applyBorder="0" applyAlignment="0" applyProtection="0"/>
    <xf numFmtId="181" fontId="51" fillId="30" borderId="0" applyNumberFormat="0" applyBorder="0" applyAlignment="0" applyProtection="0"/>
    <xf numFmtId="0" fontId="51" fillId="29" borderId="0" applyNumberFormat="0" applyBorder="0" applyAlignment="0" applyProtection="0"/>
    <xf numFmtId="181" fontId="51" fillId="29" borderId="0" applyNumberFormat="0" applyBorder="0" applyAlignment="0" applyProtection="0"/>
    <xf numFmtId="0" fontId="51" fillId="31" borderId="0" applyNumberFormat="0" applyBorder="0" applyAlignment="0" applyProtection="0"/>
    <xf numFmtId="181" fontId="51" fillId="31" borderId="0" applyNumberFormat="0" applyBorder="0" applyAlignment="0" applyProtection="0"/>
    <xf numFmtId="0" fontId="51" fillId="23" borderId="0" applyNumberFormat="0" applyBorder="0" applyAlignment="0" applyProtection="0"/>
    <xf numFmtId="181" fontId="51" fillId="23" borderId="0" applyNumberFormat="0" applyBorder="0" applyAlignment="0" applyProtection="0"/>
    <xf numFmtId="0" fontId="51" fillId="30" borderId="0" applyNumberFormat="0" applyBorder="0" applyAlignment="0" applyProtection="0"/>
    <xf numFmtId="181" fontId="51" fillId="30" borderId="0" applyNumberFormat="0" applyBorder="0" applyAlignment="0" applyProtection="0"/>
    <xf numFmtId="0" fontId="51" fillId="32" borderId="0" applyNumberFormat="0" applyBorder="0" applyAlignment="0" applyProtection="0"/>
    <xf numFmtId="181" fontId="51" fillId="32" borderId="0" applyNumberFormat="0" applyBorder="0" applyAlignment="0" applyProtection="0"/>
    <xf numFmtId="180" fontId="52" fillId="27" borderId="0" applyNumberFormat="0" applyBorder="0" applyAlignment="0" applyProtection="0"/>
    <xf numFmtId="180" fontId="52" fillId="25" borderId="0" applyNumberFormat="0" applyBorder="0" applyAlignment="0" applyProtection="0"/>
    <xf numFmtId="180" fontId="52" fillId="25" borderId="0" applyNumberFormat="0" applyBorder="0" applyAlignment="0" applyProtection="0"/>
    <xf numFmtId="180" fontId="52" fillId="26" borderId="0" applyNumberFormat="0" applyBorder="0" applyAlignment="0" applyProtection="0"/>
    <xf numFmtId="180" fontId="52" fillId="19" borderId="0" applyNumberFormat="0" applyBorder="0" applyAlignment="0" applyProtection="0"/>
    <xf numFmtId="180" fontId="52" fillId="29" borderId="0" applyNumberFormat="0" applyBorder="0" applyAlignment="0" applyProtection="0"/>
    <xf numFmtId="181" fontId="51" fillId="30" borderId="0" applyNumberFormat="0" applyBorder="0" applyAlignment="0" applyProtection="0"/>
    <xf numFmtId="181" fontId="51" fillId="29" borderId="0" applyNumberFormat="0" applyBorder="0" applyAlignment="0" applyProtection="0"/>
    <xf numFmtId="181" fontId="51" fillId="31" borderId="0" applyNumberFormat="0" applyBorder="0" applyAlignment="0" applyProtection="0"/>
    <xf numFmtId="181" fontId="51" fillId="23" borderId="0" applyNumberFormat="0" applyBorder="0" applyAlignment="0" applyProtection="0"/>
    <xf numFmtId="181" fontId="51" fillId="30" borderId="0" applyNumberFormat="0" applyBorder="0" applyAlignment="0" applyProtection="0"/>
    <xf numFmtId="181" fontId="51" fillId="32" borderId="0" applyNumberFormat="0" applyBorder="0" applyAlignment="0" applyProtection="0"/>
    <xf numFmtId="181" fontId="53" fillId="33" borderId="0" applyNumberFormat="0" applyBorder="0" applyAlignment="0" applyProtection="0"/>
    <xf numFmtId="181" fontId="53" fillId="29" borderId="0" applyNumberFormat="0" applyBorder="0" applyAlignment="0" applyProtection="0"/>
    <xf numFmtId="181" fontId="53" fillId="31" borderId="0" applyNumberFormat="0" applyBorder="0" applyAlignment="0" applyProtection="0"/>
    <xf numFmtId="181" fontId="53" fillId="34" borderId="0" applyNumberFormat="0" applyBorder="0" applyAlignment="0" applyProtection="0"/>
    <xf numFmtId="181" fontId="53" fillId="35" borderId="0" applyNumberFormat="0" applyBorder="0" applyAlignment="0" applyProtection="0"/>
    <xf numFmtId="181" fontId="53" fillId="36" borderId="0" applyNumberFormat="0" applyBorder="0" applyAlignment="0" applyProtection="0"/>
    <xf numFmtId="0" fontId="53" fillId="33" borderId="0" applyNumberFormat="0" applyBorder="0" applyAlignment="0" applyProtection="0"/>
    <xf numFmtId="181" fontId="53" fillId="33" borderId="0" applyNumberFormat="0" applyBorder="0" applyAlignment="0" applyProtection="0"/>
    <xf numFmtId="0" fontId="53" fillId="29" borderId="0" applyNumberFormat="0" applyBorder="0" applyAlignment="0" applyProtection="0"/>
    <xf numFmtId="181" fontId="53" fillId="29" borderId="0" applyNumberFormat="0" applyBorder="0" applyAlignment="0" applyProtection="0"/>
    <xf numFmtId="0" fontId="53" fillId="31" borderId="0" applyNumberFormat="0" applyBorder="0" applyAlignment="0" applyProtection="0"/>
    <xf numFmtId="181" fontId="53" fillId="31" borderId="0" applyNumberFormat="0" applyBorder="0" applyAlignment="0" applyProtection="0"/>
    <xf numFmtId="0" fontId="53" fillId="34" borderId="0" applyNumberFormat="0" applyBorder="0" applyAlignment="0" applyProtection="0"/>
    <xf numFmtId="181" fontId="53" fillId="34" borderId="0" applyNumberFormat="0" applyBorder="0" applyAlignment="0" applyProtection="0"/>
    <xf numFmtId="0" fontId="53" fillId="35" borderId="0" applyNumberFormat="0" applyBorder="0" applyAlignment="0" applyProtection="0"/>
    <xf numFmtId="181" fontId="53" fillId="35" borderId="0" applyNumberFormat="0" applyBorder="0" applyAlignment="0" applyProtection="0"/>
    <xf numFmtId="0" fontId="53" fillId="36" borderId="0" applyNumberFormat="0" applyBorder="0" applyAlignment="0" applyProtection="0"/>
    <xf numFmtId="181" fontId="53" fillId="36" borderId="0" applyNumberFormat="0" applyBorder="0" applyAlignment="0" applyProtection="0"/>
    <xf numFmtId="180" fontId="54" fillId="35" borderId="0" applyNumberFormat="0" applyBorder="0" applyAlignment="0" applyProtection="0"/>
    <xf numFmtId="180" fontId="54" fillId="25" borderId="0" applyNumberFormat="0" applyBorder="0" applyAlignment="0" applyProtection="0"/>
    <xf numFmtId="180" fontId="54" fillId="36" borderId="0" applyNumberFormat="0" applyBorder="0" applyAlignment="0" applyProtection="0"/>
    <xf numFmtId="180" fontId="54" fillId="27" borderId="0" applyNumberFormat="0" applyBorder="0" applyAlignment="0" applyProtection="0"/>
    <xf numFmtId="180" fontId="54" fillId="37" borderId="0" applyNumberFormat="0" applyBorder="0" applyAlignment="0" applyProtection="0"/>
    <xf numFmtId="180" fontId="54" fillId="29" borderId="0" applyNumberFormat="0" applyBorder="0" applyAlignment="0" applyProtection="0"/>
    <xf numFmtId="181" fontId="53" fillId="33" borderId="0" applyNumberFormat="0" applyBorder="0" applyAlignment="0" applyProtection="0"/>
    <xf numFmtId="181" fontId="53" fillId="29" borderId="0" applyNumberFormat="0" applyBorder="0" applyAlignment="0" applyProtection="0"/>
    <xf numFmtId="181" fontId="53" fillId="31" borderId="0" applyNumberFormat="0" applyBorder="0" applyAlignment="0" applyProtection="0"/>
    <xf numFmtId="181" fontId="53" fillId="34" borderId="0" applyNumberFormat="0" applyBorder="0" applyAlignment="0" applyProtection="0"/>
    <xf numFmtId="181" fontId="53" fillId="35" borderId="0" applyNumberFormat="0" applyBorder="0" applyAlignment="0" applyProtection="0"/>
    <xf numFmtId="181" fontId="53" fillId="36" borderId="0" applyNumberFormat="0" applyBorder="0" applyAlignment="0" applyProtection="0"/>
    <xf numFmtId="180" fontId="54" fillId="35" borderId="0" applyNumberFormat="0" applyBorder="0" applyAlignment="0" applyProtection="0"/>
    <xf numFmtId="180" fontId="54" fillId="36" borderId="0" applyNumberFormat="0" applyBorder="0" applyAlignment="0" applyProtection="0"/>
    <xf numFmtId="180" fontId="54" fillId="37" borderId="0" applyNumberFormat="0" applyBorder="0" applyAlignment="0" applyProtection="0"/>
    <xf numFmtId="180" fontId="54" fillId="27" borderId="0" applyNumberFormat="0" applyBorder="0" applyAlignment="0" applyProtection="0"/>
    <xf numFmtId="180" fontId="54" fillId="37" borderId="0" applyNumberFormat="0" applyBorder="0" applyAlignment="0" applyProtection="0"/>
    <xf numFmtId="180" fontId="54" fillId="38" borderId="0" applyNumberFormat="0" applyBorder="0" applyAlignment="0" applyProtection="0"/>
    <xf numFmtId="181" fontId="55" fillId="37" borderId="0" applyNumberFormat="0" applyBorder="0" applyAlignment="0" applyProtection="0"/>
    <xf numFmtId="15" fontId="9" fillId="39" borderId="13" applyNumberFormat="0" applyFont="0" applyAlignment="0">
      <alignment horizontal="center"/>
    </xf>
    <xf numFmtId="182" fontId="56" fillId="40" borderId="56" applyBorder="0">
      <alignment horizontal="center"/>
    </xf>
    <xf numFmtId="181" fontId="57" fillId="41" borderId="0" applyNumberFormat="0" applyFont="0" applyFill="0" applyBorder="0" applyAlignment="0" applyProtection="0"/>
    <xf numFmtId="181" fontId="58" fillId="0" borderId="0" applyNumberFormat="0"/>
    <xf numFmtId="181" fontId="58" fillId="0" borderId="0" applyNumberFormat="0"/>
    <xf numFmtId="181" fontId="58" fillId="0" borderId="0" applyNumberFormat="0"/>
    <xf numFmtId="0" fontId="59" fillId="0" borderId="0" applyNumberFormat="0" applyFill="0" applyBorder="0" applyAlignment="0" applyProtection="0"/>
    <xf numFmtId="181" fontId="59" fillId="0" borderId="0" applyNumberFormat="0" applyFill="0" applyBorder="0" applyAlignment="0" applyProtection="0"/>
    <xf numFmtId="180" fontId="60" fillId="21" borderId="0" applyNumberFormat="0" applyBorder="0" applyAlignment="0" applyProtection="0"/>
    <xf numFmtId="183" fontId="61" fillId="0" borderId="0" applyFont="0" applyFill="0" applyBorder="0" applyAlignment="0" applyProtection="0"/>
    <xf numFmtId="184" fontId="62" fillId="0" borderId="0" applyNumberFormat="0" applyFill="0" applyBorder="0" applyAlignment="0" applyProtection="0"/>
    <xf numFmtId="0" fontId="63" fillId="0" borderId="0" applyNumberFormat="0">
      <protection locked="0"/>
    </xf>
    <xf numFmtId="0" fontId="64" fillId="0" borderId="57" applyNumberFormat="0" applyFill="0" applyAlignment="0" applyProtection="0"/>
    <xf numFmtId="0" fontId="49" fillId="0" borderId="0" applyFont="0" applyFill="0" applyBorder="0" applyAlignment="0" applyProtection="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0" fontId="65" fillId="27" borderId="58" applyNumberFormat="0" applyAlignment="0" applyProtection="0"/>
    <xf numFmtId="181" fontId="65" fillId="27" borderId="58" applyNumberFormat="0" applyAlignment="0" applyProtection="0"/>
    <xf numFmtId="181" fontId="65" fillId="27" borderId="58" applyNumberFormat="0" applyAlignment="0" applyProtection="0"/>
    <xf numFmtId="181" fontId="65" fillId="27" borderId="58" applyNumberFormat="0" applyAlignment="0" applyProtection="0"/>
    <xf numFmtId="0" fontId="65" fillId="27" borderId="58" applyNumberFormat="0" applyAlignment="0" applyProtection="0"/>
    <xf numFmtId="180" fontId="66" fillId="27" borderId="58" applyNumberFormat="0" applyAlignment="0" applyProtection="0"/>
    <xf numFmtId="0" fontId="67" fillId="0" borderId="59" applyNumberFormat="0" applyFill="0" applyAlignment="0" applyProtection="0"/>
    <xf numFmtId="181" fontId="67" fillId="0" borderId="59" applyNumberFormat="0" applyFill="0" applyAlignment="0" applyProtection="0"/>
    <xf numFmtId="180" fontId="68" fillId="42" borderId="60" applyNumberFormat="0" applyAlignment="0" applyProtection="0"/>
    <xf numFmtId="186" fontId="49" fillId="0" borderId="0"/>
    <xf numFmtId="187" fontId="69" fillId="0" borderId="0"/>
    <xf numFmtId="186" fontId="49" fillId="0" borderId="0"/>
    <xf numFmtId="187" fontId="69" fillId="0" borderId="0"/>
    <xf numFmtId="186" fontId="49" fillId="0" borderId="0"/>
    <xf numFmtId="187" fontId="69" fillId="0" borderId="0"/>
    <xf numFmtId="186" fontId="49" fillId="0" borderId="0"/>
    <xf numFmtId="187" fontId="69" fillId="0" borderId="0"/>
    <xf numFmtId="186" fontId="49" fillId="0" borderId="0"/>
    <xf numFmtId="187" fontId="69" fillId="0" borderId="0"/>
    <xf numFmtId="186" fontId="49" fillId="0" borderId="0"/>
    <xf numFmtId="187" fontId="69" fillId="0" borderId="0"/>
    <xf numFmtId="186" fontId="49" fillId="0" borderId="0"/>
    <xf numFmtId="187" fontId="69" fillId="0" borderId="0"/>
    <xf numFmtId="186" fontId="49" fillId="0" borderId="0"/>
    <xf numFmtId="187" fontId="69" fillId="0" borderId="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85" fontId="9"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49" fontId="70" fillId="43" borderId="61"/>
    <xf numFmtId="49" fontId="70" fillId="43" borderId="61"/>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9" fontId="70" fillId="43" borderId="61"/>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49" fontId="70" fillId="43" borderId="61"/>
    <xf numFmtId="43" fontId="9" fillId="0" borderId="0" applyFont="0" applyFill="0" applyBorder="0" applyAlignment="0" applyProtection="0"/>
    <xf numFmtId="43" fontId="51"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52" fillId="0" borderId="0" applyFont="0" applyFill="0" applyBorder="0" applyAlignment="0" applyProtection="0"/>
    <xf numFmtId="49" fontId="70" fillId="43" borderId="61"/>
    <xf numFmtId="49" fontId="70" fillId="43" borderId="61"/>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49" fontId="70" fillId="43" borderId="61"/>
    <xf numFmtId="43" fontId="9" fillId="0" borderId="0" applyFont="0" applyFill="0" applyBorder="0" applyAlignment="0" applyProtection="0"/>
    <xf numFmtId="49" fontId="70" fillId="43" borderId="61"/>
    <xf numFmtId="49" fontId="70" fillId="43" borderId="61"/>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8" fontId="5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8"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88"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88" fontId="52" fillId="0" borderId="0" applyFont="0" applyFill="0" applyBorder="0" applyAlignment="0" applyProtection="0"/>
    <xf numFmtId="188" fontId="52"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3" fontId="71" fillId="0" borderId="0" applyFont="0" applyFill="0" applyBorder="0" applyAlignment="0" applyProtection="0">
      <alignment vertical="top"/>
    </xf>
    <xf numFmtId="0"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0" fontId="9" fillId="28" borderId="62" applyNumberFormat="0" applyFont="0" applyAlignment="0" applyProtection="0"/>
    <xf numFmtId="181" fontId="72" fillId="0" borderId="0"/>
    <xf numFmtId="181" fontId="73" fillId="0" borderId="0"/>
    <xf numFmtId="181" fontId="21" fillId="0" borderId="0"/>
    <xf numFmtId="181" fontId="74" fillId="0" borderId="0"/>
    <xf numFmtId="181" fontId="75" fillId="0" borderId="0"/>
    <xf numFmtId="181" fontId="76" fillId="0" borderId="0"/>
    <xf numFmtId="181" fontId="77" fillId="0" borderId="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70" fontId="9" fillId="0" borderId="0" applyFont="0" applyFill="0" applyBorder="0" applyAlignment="0" applyProtection="0"/>
    <xf numFmtId="18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9" fontId="71" fillId="0" borderId="0" applyFont="0" applyFill="0" applyBorder="0" applyAlignment="0" applyProtection="0">
      <alignment vertical="top"/>
    </xf>
    <xf numFmtId="5" fontId="71" fillId="0" borderId="0" applyFont="0" applyFill="0" applyBorder="0" applyAlignment="0" applyProtection="0">
      <alignment vertical="top"/>
    </xf>
    <xf numFmtId="0" fontId="49" fillId="0" borderId="0" applyFont="0" applyFill="0" applyBorder="0" applyAlignment="0" applyProtection="0"/>
    <xf numFmtId="190" fontId="78" fillId="0" borderId="0">
      <protection locked="0"/>
    </xf>
    <xf numFmtId="190" fontId="9" fillId="44" borderId="13">
      <protection locked="0"/>
    </xf>
    <xf numFmtId="14" fontId="56" fillId="0" borderId="0" applyFont="0" applyFill="0" applyBorder="0" applyAlignment="0"/>
    <xf numFmtId="181" fontId="71" fillId="0" borderId="0" applyFont="0" applyFill="0" applyBorder="0" applyAlignment="0" applyProtection="0">
      <alignment vertical="top"/>
    </xf>
    <xf numFmtId="14" fontId="79" fillId="0" borderId="0"/>
    <xf numFmtId="14" fontId="4" fillId="0" borderId="0" applyFill="0" applyBorder="0" applyAlignment="0"/>
    <xf numFmtId="15" fontId="80" fillId="0" borderId="0" applyFont="0" applyFill="0" applyBorder="0" applyAlignment="0" applyProtection="0"/>
    <xf numFmtId="14" fontId="9" fillId="0" borderId="0"/>
    <xf numFmtId="191" fontId="9" fillId="0" borderId="0" applyFont="0" applyFill="0" applyBorder="0" applyAlignment="0" applyProtection="0">
      <alignment wrapText="1"/>
    </xf>
    <xf numFmtId="38" fontId="81" fillId="0" borderId="63">
      <alignment vertical="center"/>
    </xf>
    <xf numFmtId="38" fontId="81" fillId="0" borderId="63">
      <alignment vertical="center"/>
    </xf>
    <xf numFmtId="38" fontId="81" fillId="0" borderId="63">
      <alignment vertical="center"/>
    </xf>
    <xf numFmtId="190" fontId="82" fillId="0" borderId="64"/>
    <xf numFmtId="0" fontId="83" fillId="0" borderId="0" applyNumberFormat="0" applyFill="0" applyBorder="0" applyAlignment="0" applyProtection="0"/>
    <xf numFmtId="0" fontId="83" fillId="0" borderId="0" applyNumberFormat="0" applyFill="0" applyBorder="0" applyAlignment="0" applyProtection="0"/>
    <xf numFmtId="181" fontId="83" fillId="0" borderId="0" applyNumberFormat="0" applyFill="0" applyBorder="0" applyAlignment="0" applyProtection="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92" fontId="84" fillId="0" borderId="0" applyNumberFormat="0" applyFill="0" applyBorder="0" applyAlignment="0" applyProtection="0"/>
    <xf numFmtId="192" fontId="85" fillId="0" borderId="0" applyNumberFormat="0" applyFill="0" applyBorder="0" applyAlignment="0" applyProtection="0"/>
    <xf numFmtId="0"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0" fontId="86" fillId="25" borderId="58" applyNumberFormat="0" applyAlignment="0" applyProtection="0"/>
    <xf numFmtId="193" fontId="9" fillId="0" borderId="0" applyFont="0" applyFill="0" applyBorder="0" applyAlignment="0" applyProtection="0"/>
    <xf numFmtId="44" fontId="22"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94" fontId="9" fillId="0" borderId="0" applyFont="0" applyFill="0" applyBorder="0" applyAlignment="0" applyProtection="0"/>
    <xf numFmtId="181" fontId="9" fillId="0" borderId="0" applyFont="0" applyFill="0" applyBorder="0" applyAlignment="0" applyProtection="0"/>
    <xf numFmtId="181" fontId="51" fillId="0" borderId="0"/>
    <xf numFmtId="0" fontId="51" fillId="0" borderId="0"/>
    <xf numFmtId="180" fontId="87" fillId="0" borderId="0" applyNumberFormat="0" applyFill="0" applyBorder="0" applyAlignment="0" applyProtection="0"/>
    <xf numFmtId="3" fontId="88" fillId="0" borderId="0" applyFont="0" applyFill="0" applyBorder="0" applyAlignment="0" applyProtection="0"/>
    <xf numFmtId="2" fontId="71" fillId="0" borderId="0" applyFont="0" applyFill="0" applyBorder="0" applyAlignment="0" applyProtection="0">
      <alignment vertical="top"/>
    </xf>
    <xf numFmtId="4" fontId="62" fillId="0" borderId="0"/>
    <xf numFmtId="195" fontId="9" fillId="0" borderId="0" applyFont="0" applyFill="0" applyBorder="0" applyAlignment="0" applyProtection="0"/>
    <xf numFmtId="180" fontId="89" fillId="22" borderId="0" applyNumberFormat="0" applyBorder="0" applyAlignment="0" applyProtection="0"/>
    <xf numFmtId="38" fontId="22" fillId="43" borderId="0" applyNumberFormat="0" applyBorder="0" applyAlignment="0" applyProtection="0"/>
    <xf numFmtId="0" fontId="80" fillId="45" borderId="65" applyAlignment="0" applyProtection="0"/>
    <xf numFmtId="0" fontId="80" fillId="45" borderId="65" applyAlignment="0" applyProtection="0"/>
    <xf numFmtId="0" fontId="90" fillId="0" borderId="0" applyNumberFormat="0">
      <protection locked="0"/>
    </xf>
    <xf numFmtId="0" fontId="91" fillId="0" borderId="23" applyNumberFormat="0" applyAlignment="0" applyProtection="0">
      <alignment horizontal="left" vertical="center"/>
    </xf>
    <xf numFmtId="0" fontId="91" fillId="0" borderId="65">
      <alignment horizontal="left" vertical="center"/>
    </xf>
    <xf numFmtId="0" fontId="91" fillId="0" borderId="65">
      <alignment horizontal="left" vertical="center"/>
    </xf>
    <xf numFmtId="0" fontId="91" fillId="0" borderId="65">
      <alignment horizontal="left" vertical="center"/>
    </xf>
    <xf numFmtId="180" fontId="92" fillId="0" borderId="66" applyNumberFormat="0" applyFill="0" applyAlignment="0" applyProtection="0"/>
    <xf numFmtId="181" fontId="71" fillId="0" borderId="0" applyNumberFormat="0" applyFill="0" applyBorder="0" applyAlignment="0" applyProtection="0">
      <alignment vertical="top"/>
    </xf>
    <xf numFmtId="180" fontId="93" fillId="0" borderId="67" applyNumberFormat="0" applyFill="0" applyAlignment="0" applyProtection="0"/>
    <xf numFmtId="181" fontId="94" fillId="0" borderId="0" applyNumberFormat="0" applyFill="0" applyBorder="0" applyAlignment="0" applyProtection="0">
      <alignment vertical="top"/>
    </xf>
    <xf numFmtId="180" fontId="95" fillId="0" borderId="68" applyNumberFormat="0" applyFill="0" applyAlignment="0" applyProtection="0"/>
    <xf numFmtId="180" fontId="95" fillId="0" borderId="0" applyNumberFormat="0" applyFill="0" applyBorder="0" applyAlignment="0" applyProtection="0"/>
    <xf numFmtId="181" fontId="96" fillId="0" borderId="0" applyNumberFormat="0" applyFill="0" applyBorder="0" applyAlignment="0" applyProtection="0"/>
    <xf numFmtId="181" fontId="96" fillId="0" borderId="0" applyNumberFormat="0" applyFill="0" applyBorder="0" applyAlignment="0" applyProtection="0"/>
    <xf numFmtId="37" fontId="80" fillId="0" borderId="0"/>
    <xf numFmtId="0" fontId="97" fillId="0" borderId="0" applyNumberFormat="0" applyFill="0" applyBorder="0" applyAlignment="0" applyProtection="0"/>
    <xf numFmtId="180" fontId="97" fillId="0" borderId="0" applyNumberFormat="0" applyFill="0" applyBorder="0" applyAlignment="0" applyProtection="0"/>
    <xf numFmtId="10" fontId="22" fillId="40" borderId="13" applyNumberFormat="0" applyBorder="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0" fontId="98"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81" fontId="86" fillId="25" borderId="58" applyNumberFormat="0" applyAlignment="0" applyProtection="0"/>
    <xf numFmtId="15" fontId="9" fillId="46" borderId="13" applyNumberFormat="0" applyFont="0" applyAlignment="0">
      <protection locked="0"/>
    </xf>
    <xf numFmtId="0" fontId="99" fillId="21" borderId="0" applyNumberFormat="0" applyBorder="0" applyAlignment="0" applyProtection="0"/>
    <xf numFmtId="181" fontId="99" fillId="21" borderId="0" applyNumberFormat="0" applyBorder="0" applyAlignment="0" applyProtection="0"/>
    <xf numFmtId="0" fontId="100" fillId="0" borderId="0" applyNumberFormat="0">
      <protection locked="0"/>
    </xf>
    <xf numFmtId="0" fontId="101" fillId="0" borderId="0"/>
    <xf numFmtId="184" fontId="9" fillId="47" borderId="0" applyBorder="0" applyProtection="0"/>
    <xf numFmtId="184" fontId="9" fillId="47" borderId="0" applyBorder="0" applyProtection="0"/>
    <xf numFmtId="43"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43"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43" fontId="102" fillId="0" borderId="0" applyFont="0" applyFill="0" applyBorder="0" applyAlignment="0" applyProtection="0"/>
    <xf numFmtId="181" fontId="103" fillId="0" borderId="0" applyNumberFormat="0" applyFill="0" applyBorder="0" applyProtection="0">
      <alignment horizontal="justify" vertical="top"/>
    </xf>
    <xf numFmtId="181" fontId="103" fillId="0" borderId="0" applyNumberFormat="0" applyFill="0" applyBorder="0" applyProtection="0">
      <alignment horizontal="justify" vertical="top"/>
    </xf>
    <xf numFmtId="181" fontId="103" fillId="0" borderId="0" applyNumberFormat="0" applyFill="0" applyBorder="0" applyProtection="0">
      <alignment horizontal="justify" vertical="top"/>
    </xf>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85" fontId="9" fillId="0" borderId="0" applyFill="0" applyBorder="0" applyAlignment="0"/>
    <xf numFmtId="180" fontId="104" fillId="0" borderId="59" applyNumberFormat="0" applyFill="0" applyAlignment="0" applyProtection="0"/>
    <xf numFmtId="0" fontId="105" fillId="0" borderId="0"/>
    <xf numFmtId="0" fontId="106" fillId="0" borderId="0"/>
    <xf numFmtId="0" fontId="9" fillId="0" borderId="0" applyNumberFormat="0" applyFill="0" applyBorder="0" applyAlignment="0" applyProtection="0"/>
    <xf numFmtId="181" fontId="9" fillId="0" borderId="0" applyNumberFormat="0" applyFill="0" applyBorder="0" applyAlignment="0" applyProtection="0"/>
    <xf numFmtId="181" fontId="22" fillId="0" borderId="0" applyNumberFormat="0" applyFill="0" applyBorder="0" applyAlignment="0" applyProtection="0"/>
    <xf numFmtId="181" fontId="9" fillId="0" borderId="0" applyNumberFormat="0" applyFill="0" applyBorder="0" applyAlignment="0" applyProtection="0"/>
    <xf numFmtId="181" fontId="9" fillId="0" borderId="0" applyNumberFormat="0" applyFill="0" applyBorder="0" applyAlignment="0" applyProtection="0"/>
    <xf numFmtId="181" fontId="9" fillId="0" borderId="0"/>
    <xf numFmtId="181" fontId="9" fillId="0" borderId="0"/>
    <xf numFmtId="181" fontId="9" fillId="0" borderId="0" applyNumberFormat="0" applyFill="0" applyBorder="0" applyAlignment="0" applyProtection="0"/>
    <xf numFmtId="181" fontId="9" fillId="0" borderId="0"/>
    <xf numFmtId="181" fontId="9" fillId="0" borderId="0"/>
    <xf numFmtId="0" fontId="9" fillId="0" borderId="0" applyNumberFormat="0" applyFill="0" applyBorder="0" applyAlignment="0" applyProtection="0"/>
    <xf numFmtId="0" fontId="9" fillId="0" borderId="0" applyNumberFormat="0" applyFill="0" applyBorder="0" applyAlignment="0" applyProtection="0"/>
    <xf numFmtId="181" fontId="9" fillId="0" borderId="0" applyNumberFormat="0" applyFill="0" applyBorder="0" applyAlignment="0" applyProtection="0"/>
    <xf numFmtId="181" fontId="9" fillId="0" borderId="0" applyNumberFormat="0" applyFill="0" applyBorder="0" applyAlignment="0" applyProtection="0"/>
    <xf numFmtId="0" fontId="9" fillId="0" borderId="0" applyNumberFormat="0" applyFill="0" applyBorder="0" applyAlignment="0" applyProtection="0"/>
    <xf numFmtId="181" fontId="9" fillId="0" borderId="0"/>
    <xf numFmtId="197" fontId="22" fillId="43" borderId="13">
      <alignment horizontal="right"/>
    </xf>
    <xf numFmtId="197" fontId="22" fillId="0" borderId="13">
      <alignment horizontal="right"/>
    </xf>
    <xf numFmtId="19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43" fontId="9" fillId="0" borderId="0" applyFont="0" applyFill="0" applyBorder="0" applyAlignment="0" applyProtection="0"/>
    <xf numFmtId="188" fontId="9" fillId="0" borderId="0" applyFont="0" applyFill="0" applyBorder="0" applyAlignment="0" applyProtection="0"/>
    <xf numFmtId="199" fontId="9"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9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52" fillId="0" borderId="0" applyFont="0" applyFill="0" applyBorder="0" applyAlignment="0" applyProtection="0"/>
    <xf numFmtId="188" fontId="9" fillId="0" borderId="0" applyFont="0" applyFill="0" applyBorder="0" applyAlignment="0" applyProtection="0"/>
    <xf numFmtId="188" fontId="52" fillId="0" borderId="0" applyFont="0" applyFill="0" applyBorder="0" applyAlignment="0" applyProtection="0"/>
    <xf numFmtId="188" fontId="9" fillId="0" borderId="0" applyFont="0" applyFill="0" applyBorder="0" applyAlignment="0" applyProtection="0"/>
    <xf numFmtId="43" fontId="10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8" fontId="52" fillId="0" borderId="0" applyFont="0" applyFill="0" applyBorder="0" applyAlignment="0" applyProtection="0"/>
    <xf numFmtId="19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99" fontId="9" fillId="0" borderId="0" applyFont="0" applyFill="0" applyBorder="0" applyAlignment="0" applyProtection="0"/>
    <xf numFmtId="188" fontId="52"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200" fontId="9" fillId="0" borderId="0">
      <alignment vertical="center"/>
    </xf>
    <xf numFmtId="188" fontId="9" fillId="0" borderId="0" applyFont="0" applyFill="0" applyBorder="0" applyAlignment="0" applyProtection="0"/>
    <xf numFmtId="201" fontId="9" fillId="0" borderId="0" applyFont="0" applyFill="0" applyBorder="0" applyAlignment="0" applyProtection="0"/>
    <xf numFmtId="44" fontId="4" fillId="0" borderId="0" applyFont="0" applyFill="0" applyBorder="0" applyAlignment="0" applyProtection="0"/>
    <xf numFmtId="44" fontId="52"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202" fontId="9" fillId="0" borderId="0" applyFont="0" applyFill="0" applyBorder="0" applyAlignment="0" applyProtection="0"/>
    <xf numFmtId="203" fontId="88" fillId="0" borderId="0" applyFont="0" applyFill="0" applyBorder="0" applyAlignment="0" applyProtection="0"/>
    <xf numFmtId="180" fontId="108" fillId="19" borderId="0" applyNumberFormat="0" applyBorder="0" applyAlignment="0" applyProtection="0"/>
    <xf numFmtId="0" fontId="109" fillId="19" borderId="0" applyNumberFormat="0" applyBorder="0" applyAlignment="0" applyProtection="0"/>
    <xf numFmtId="181" fontId="109" fillId="19" borderId="0" applyNumberFormat="0" applyBorder="0" applyAlignment="0" applyProtection="0"/>
    <xf numFmtId="204" fontId="110" fillId="0" borderId="0"/>
    <xf numFmtId="205" fontId="9" fillId="0" borderId="0"/>
    <xf numFmtId="204" fontId="69" fillId="0" borderId="0"/>
    <xf numFmtId="180" fontId="9" fillId="0" borderId="0"/>
    <xf numFmtId="180"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5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9" fillId="0" borderId="0"/>
    <xf numFmtId="18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0" fontId="9" fillId="0" borderId="0"/>
    <xf numFmtId="180" fontId="9" fillId="0" borderId="0"/>
    <xf numFmtId="0" fontId="9" fillId="0" borderId="0"/>
    <xf numFmtId="0" fontId="9" fillId="0" borderId="0"/>
    <xf numFmtId="0" fontId="52" fillId="0" borderId="0"/>
    <xf numFmtId="0" fontId="52" fillId="0" borderId="0"/>
    <xf numFmtId="0" fontId="52" fillId="0" borderId="0"/>
    <xf numFmtId="181" fontId="9" fillId="0" borderId="0"/>
    <xf numFmtId="181" fontId="9" fillId="0" borderId="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180" fontId="9" fillId="0" borderId="0"/>
    <xf numFmtId="18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alignment vertical="top"/>
    </xf>
    <xf numFmtId="0" fontId="4" fillId="0" borderId="0">
      <alignment vertical="top"/>
    </xf>
    <xf numFmtId="0" fontId="4" fillId="0" borderId="0"/>
    <xf numFmtId="0" fontId="9" fillId="0" borderId="0"/>
    <xf numFmtId="0" fontId="4" fillId="0" borderId="0"/>
    <xf numFmtId="0" fontId="4" fillId="0" borderId="0"/>
    <xf numFmtId="180" fontId="9" fillId="0" borderId="0"/>
    <xf numFmtId="18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9" fillId="0" borderId="0"/>
    <xf numFmtId="18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1" fontId="9" fillId="0" borderId="0"/>
    <xf numFmtId="181"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52" fillId="0" borderId="0"/>
    <xf numFmtId="0" fontId="9" fillId="0" borderId="0"/>
    <xf numFmtId="180" fontId="9" fillId="0" borderId="0"/>
    <xf numFmtId="181" fontId="9" fillId="0" borderId="0"/>
    <xf numFmtId="181" fontId="9" fillId="0" borderId="0"/>
    <xf numFmtId="181" fontId="9" fillId="0" borderId="0" applyNumberFormat="0" applyFill="0" applyBorder="0" applyAlignment="0" applyProtection="0"/>
    <xf numFmtId="0" fontId="111" fillId="0" borderId="0"/>
    <xf numFmtId="180" fontId="111" fillId="0" borderId="0"/>
    <xf numFmtId="181" fontId="9" fillId="0" borderId="0"/>
    <xf numFmtId="181" fontId="9" fillId="0" borderId="0"/>
    <xf numFmtId="0" fontId="9" fillId="0" borderId="0"/>
    <xf numFmtId="0" fontId="9" fillId="0" borderId="0"/>
    <xf numFmtId="181" fontId="112" fillId="0" borderId="0"/>
    <xf numFmtId="0" fontId="9" fillId="0" borderId="0"/>
    <xf numFmtId="0" fontId="9" fillId="0" borderId="0"/>
    <xf numFmtId="180" fontId="9" fillId="0" borderId="0"/>
    <xf numFmtId="180" fontId="9" fillId="0" borderId="0"/>
    <xf numFmtId="0" fontId="9" fillId="0" borderId="0"/>
    <xf numFmtId="0" fontId="81" fillId="0" borderId="0"/>
    <xf numFmtId="180" fontId="81" fillId="0" borderId="0"/>
    <xf numFmtId="181"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9" fillId="0" borderId="0"/>
    <xf numFmtId="181" fontId="9" fillId="0" borderId="0"/>
    <xf numFmtId="181" fontId="9"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180" fontId="9"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113"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9" fillId="0" borderId="0"/>
    <xf numFmtId="0" fontId="9" fillId="0" borderId="0"/>
    <xf numFmtId="0" fontId="102" fillId="0" borderId="0"/>
    <xf numFmtId="181" fontId="51"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0" fontId="9" fillId="0" borderId="0"/>
    <xf numFmtId="180" fontId="9" fillId="0" borderId="0"/>
    <xf numFmtId="0" fontId="4" fillId="0" borderId="0">
      <alignment vertical="top"/>
    </xf>
    <xf numFmtId="0" fontId="52" fillId="0" borderId="0"/>
    <xf numFmtId="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0" fontId="52"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0" fontId="9" fillId="0" borderId="0"/>
    <xf numFmtId="180" fontId="9" fillId="0" borderId="0"/>
    <xf numFmtId="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181" fontId="4" fillId="0" borderId="0"/>
    <xf numFmtId="0" fontId="52" fillId="0" borderId="0"/>
    <xf numFmtId="180" fontId="52" fillId="0" borderId="0"/>
    <xf numFmtId="180" fontId="52" fillId="0" borderId="0"/>
    <xf numFmtId="181" fontId="4"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1" fontId="4"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1" fontId="4" fillId="0" borderId="0"/>
    <xf numFmtId="0" fontId="52" fillId="0" borderId="0"/>
    <xf numFmtId="0" fontId="52" fillId="0" borderId="0"/>
    <xf numFmtId="0" fontId="52" fillId="0" borderId="0"/>
    <xf numFmtId="180" fontId="52" fillId="0" borderId="0"/>
    <xf numFmtId="180" fontId="52" fillId="0" borderId="0"/>
    <xf numFmtId="181" fontId="4" fillId="0" borderId="0"/>
    <xf numFmtId="0" fontId="52" fillId="0" borderId="0"/>
    <xf numFmtId="180" fontId="52" fillId="0" borderId="0"/>
    <xf numFmtId="180" fontId="52" fillId="0" borderId="0"/>
    <xf numFmtId="181" fontId="4"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1" fontId="4" fillId="0" borderId="0"/>
    <xf numFmtId="0" fontId="52" fillId="0" borderId="0"/>
    <xf numFmtId="0" fontId="52" fillId="0" borderId="0"/>
    <xf numFmtId="180" fontId="52" fillId="0" borderId="0"/>
    <xf numFmtId="180" fontId="52" fillId="0" borderId="0"/>
    <xf numFmtId="0" fontId="52" fillId="0" borderId="0"/>
    <xf numFmtId="180" fontId="52" fillId="0" borderId="0"/>
    <xf numFmtId="0" fontId="4"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180" fontId="52" fillId="0" borderId="0"/>
    <xf numFmtId="0" fontId="4"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4"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1" fillId="0" borderId="0"/>
    <xf numFmtId="180" fontId="111" fillId="0" borderId="0"/>
    <xf numFmtId="0" fontId="4" fillId="0" borderId="0">
      <alignment vertical="top"/>
    </xf>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180" fontId="9" fillId="0" borderId="0"/>
    <xf numFmtId="0" fontId="9" fillId="0" borderId="0"/>
    <xf numFmtId="180" fontId="9" fillId="0" borderId="0"/>
    <xf numFmtId="0" fontId="9" fillId="0" borderId="0"/>
    <xf numFmtId="0" fontId="9" fillId="0" borderId="0"/>
    <xf numFmtId="180" fontId="9" fillId="0" borderId="0"/>
    <xf numFmtId="180" fontId="9" fillId="0" borderId="0"/>
    <xf numFmtId="0" fontId="52" fillId="0" borderId="0"/>
    <xf numFmtId="0" fontId="9" fillId="0" borderId="0"/>
    <xf numFmtId="0" fontId="111" fillId="0" borderId="0"/>
    <xf numFmtId="180" fontId="111" fillId="0" borderId="0"/>
    <xf numFmtId="180" fontId="9" fillId="0" borderId="0"/>
    <xf numFmtId="0" fontId="111" fillId="0" borderId="0"/>
    <xf numFmtId="180" fontId="111" fillId="0" borderId="0"/>
    <xf numFmtId="180" fontId="52" fillId="0" borderId="0"/>
    <xf numFmtId="181" fontId="9" fillId="0" borderId="0" applyNumberFormat="0" applyFill="0" applyBorder="0" applyAlignment="0" applyProtection="0"/>
    <xf numFmtId="181" fontId="52" fillId="0" borderId="0"/>
    <xf numFmtId="0" fontId="52" fillId="0" borderId="0"/>
    <xf numFmtId="0" fontId="52" fillId="0" borderId="0"/>
    <xf numFmtId="180" fontId="52" fillId="0" borderId="0"/>
    <xf numFmtId="180" fontId="52" fillId="0" borderId="0"/>
    <xf numFmtId="0" fontId="9" fillId="0" borderId="0"/>
    <xf numFmtId="0" fontId="9" fillId="0" borderId="0"/>
    <xf numFmtId="180" fontId="9" fillId="0" borderId="0"/>
    <xf numFmtId="180" fontId="9" fillId="0" borderId="0"/>
    <xf numFmtId="0" fontId="111" fillId="0" borderId="0"/>
    <xf numFmtId="0" fontId="111" fillId="0" borderId="0"/>
    <xf numFmtId="180" fontId="111" fillId="0" borderId="0"/>
    <xf numFmtId="180" fontId="111" fillId="0" borderId="0"/>
    <xf numFmtId="0" fontId="52" fillId="0" borderId="0"/>
    <xf numFmtId="180" fontId="52" fillId="0" borderId="0"/>
    <xf numFmtId="0" fontId="52" fillId="0" borderId="0"/>
    <xf numFmtId="180" fontId="52"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111" fillId="0" borderId="0"/>
    <xf numFmtId="180" fontId="111"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0" fontId="52"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0" fontId="52"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0" fontId="9" fillId="0" borderId="0"/>
    <xf numFmtId="180" fontId="9"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9" fillId="0" borderId="0"/>
    <xf numFmtId="180" fontId="9"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9" fillId="0" borderId="0"/>
    <xf numFmtId="181" fontId="9"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0" fontId="9" fillId="0" borderId="0"/>
    <xf numFmtId="180" fontId="9" fillId="0" borderId="0"/>
    <xf numFmtId="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0" fontId="52" fillId="0" borderId="0"/>
    <xf numFmtId="0" fontId="52" fillId="0" borderId="0"/>
    <xf numFmtId="0" fontId="52" fillId="0" borderId="0"/>
    <xf numFmtId="0" fontId="52" fillId="0" borderId="0"/>
    <xf numFmtId="180" fontId="52" fillId="0" borderId="0"/>
    <xf numFmtId="180" fontId="52" fillId="0" borderId="0"/>
    <xf numFmtId="181" fontId="4" fillId="0" borderId="0"/>
    <xf numFmtId="0" fontId="52" fillId="0" borderId="0"/>
    <xf numFmtId="180" fontId="52" fillId="0" borderId="0"/>
    <xf numFmtId="180" fontId="52" fillId="0" borderId="0"/>
    <xf numFmtId="181" fontId="4" fillId="0" borderId="0"/>
    <xf numFmtId="0" fontId="52"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1" fontId="4" fillId="0" borderId="0"/>
    <xf numFmtId="0" fontId="52" fillId="0" borderId="0"/>
    <xf numFmtId="0" fontId="52" fillId="0" borderId="0"/>
    <xf numFmtId="180" fontId="52" fillId="0" borderId="0"/>
    <xf numFmtId="180" fontId="52" fillId="0" borderId="0"/>
    <xf numFmtId="0" fontId="52" fillId="0" borderId="0"/>
    <xf numFmtId="180" fontId="52" fillId="0" borderId="0"/>
    <xf numFmtId="180" fontId="52" fillId="0" borderId="0"/>
    <xf numFmtId="181" fontId="4" fillId="0" borderId="0"/>
    <xf numFmtId="181" fontId="52"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0" fontId="9" fillId="0" borderId="0"/>
    <xf numFmtId="180" fontId="9" fillId="0" borderId="0"/>
    <xf numFmtId="181" fontId="9" fillId="0" borderId="0" applyNumberFormat="0" applyFill="0" applyBorder="0" applyAlignment="0" applyProtection="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0" fontId="9" fillId="0" borderId="0"/>
    <xf numFmtId="180"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1" fontId="9" fillId="0" borderId="0"/>
    <xf numFmtId="180" fontId="52"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181" fontId="9" fillId="28" borderId="62" applyNumberFormat="0" applyFont="0" applyAlignment="0" applyProtection="0"/>
    <xf numFmtId="37" fontId="9" fillId="0" borderId="0"/>
    <xf numFmtId="180" fontId="114" fillId="27" borderId="69" applyNumberFormat="0" applyAlignment="0" applyProtection="0"/>
    <xf numFmtId="181" fontId="115" fillId="0" borderId="0" applyNumberFormat="0" applyFill="0" applyBorder="0" applyAlignment="0" applyProtection="0">
      <alignment horizontal="right" vertical="center"/>
    </xf>
    <xf numFmtId="181" fontId="115" fillId="0" borderId="0" applyNumberFormat="0" applyFill="0" applyBorder="0" applyAlignment="0" applyProtection="0">
      <alignment horizontal="right" vertical="center"/>
    </xf>
    <xf numFmtId="185" fontId="9" fillId="0" borderId="0" applyFont="0" applyFill="0" applyBorder="0" applyAlignment="0" applyProtection="0"/>
    <xf numFmtId="164" fontId="61"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5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9" fontId="8" fillId="0" borderId="0" applyFont="0" applyFill="0" applyBorder="0" applyAlignment="0" applyProtection="0"/>
    <xf numFmtId="9" fontId="43"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0" fontId="42" fillId="0" borderId="0"/>
    <xf numFmtId="43" fontId="8" fillId="0" borderId="0" applyFont="0" applyFill="0" applyBorder="0" applyAlignment="0" applyProtection="0"/>
    <xf numFmtId="0" fontId="42" fillId="0" borderId="0"/>
    <xf numFmtId="0" fontId="42" fillId="0" borderId="0"/>
    <xf numFmtId="0" fontId="8" fillId="0" borderId="0"/>
    <xf numFmtId="43" fontId="8"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1"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5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22"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2" fillId="0" borderId="0" applyFont="0" applyFill="0" applyBorder="0" applyAlignment="0" applyProtection="0"/>
    <xf numFmtId="43" fontId="9" fillId="0" borderId="0" applyFont="0" applyFill="0" applyBorder="0" applyAlignment="0" applyProtection="0"/>
    <xf numFmtId="43" fontId="10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4" fillId="0" borderId="0" applyFont="0" applyFill="0" applyBorder="0" applyAlignment="0" applyProtection="0"/>
    <xf numFmtId="44" fontId="52"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cellStyleXfs>
  <cellXfs count="266">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3" xfId="0" applyFont="1" applyFill="1" applyBorder="1"/>
    <xf numFmtId="0" fontId="7" fillId="3" borderId="3" xfId="0" applyFont="1" applyFill="1" applyBorder="1" applyAlignment="1">
      <alignment horizontal="center"/>
    </xf>
    <xf numFmtId="0" fontId="7" fillId="3" borderId="4" xfId="0" applyFont="1" applyFill="1" applyBorder="1"/>
    <xf numFmtId="0" fontId="5" fillId="4" borderId="0" xfId="0" applyFont="1" applyFill="1"/>
    <xf numFmtId="0" fontId="3" fillId="4" borderId="0" xfId="0" applyFont="1" applyFill="1" applyAlignment="1">
      <alignment horizontal="center"/>
    </xf>
    <xf numFmtId="0" fontId="3" fillId="4" borderId="0" xfId="0" applyFont="1" applyFill="1"/>
    <xf numFmtId="0" fontId="3" fillId="4" borderId="6" xfId="0" applyFont="1" applyFill="1" applyBorder="1" applyAlignment="1">
      <alignment horizontal="center"/>
    </xf>
    <xf numFmtId="0" fontId="10" fillId="3" borderId="0" xfId="0" applyFont="1" applyFill="1"/>
    <xf numFmtId="0" fontId="3" fillId="3" borderId="0" xfId="0" applyFont="1" applyFill="1" applyAlignment="1">
      <alignment horizontal="center"/>
    </xf>
    <xf numFmtId="0" fontId="11" fillId="0" borderId="0" xfId="0" applyFont="1" applyAlignment="1">
      <alignment horizontal="left"/>
    </xf>
    <xf numFmtId="0" fontId="12" fillId="0" borderId="0" xfId="0" applyFont="1" applyAlignment="1">
      <alignment horizontal="left"/>
    </xf>
    <xf numFmtId="0" fontId="0" fillId="4" borderId="0" xfId="0" applyFill="1"/>
    <xf numFmtId="0" fontId="19" fillId="0" borderId="0" xfId="0" applyFont="1" applyAlignment="1">
      <alignment wrapText="1"/>
    </xf>
    <xf numFmtId="0" fontId="11" fillId="0" borderId="0" xfId="0" applyFont="1"/>
    <xf numFmtId="0" fontId="7" fillId="3" borderId="17" xfId="0" applyFont="1" applyFill="1" applyBorder="1" applyAlignment="1">
      <alignment horizontal="center" vertical="top" wrapText="1"/>
    </xf>
    <xf numFmtId="0" fontId="7" fillId="3" borderId="20" xfId="0" applyFont="1" applyFill="1" applyBorder="1" applyAlignment="1">
      <alignment horizontal="left" vertical="top" wrapText="1"/>
    </xf>
    <xf numFmtId="0" fontId="7" fillId="3" borderId="22" xfId="0" applyFont="1" applyFill="1" applyBorder="1" applyAlignment="1">
      <alignment horizontal="center" vertical="top" wrapText="1"/>
    </xf>
    <xf numFmtId="0" fontId="7" fillId="3" borderId="23" xfId="0" applyFont="1" applyFill="1" applyBorder="1" applyAlignment="1">
      <alignment horizontal="left" vertical="top" wrapText="1"/>
    </xf>
    <xf numFmtId="0" fontId="7" fillId="3" borderId="24" xfId="0" applyFont="1" applyFill="1" applyBorder="1" applyAlignment="1">
      <alignment horizontal="center" vertical="top" wrapText="1"/>
    </xf>
    <xf numFmtId="0" fontId="7" fillId="3" borderId="25" xfId="0" applyFont="1" applyFill="1" applyBorder="1" applyAlignment="1">
      <alignment horizontal="center" vertical="top" wrapText="1"/>
    </xf>
    <xf numFmtId="0" fontId="7" fillId="3" borderId="26" xfId="0" applyFont="1" applyFill="1" applyBorder="1" applyAlignment="1">
      <alignment horizontal="center" vertical="top" wrapText="1"/>
    </xf>
    <xf numFmtId="0" fontId="12" fillId="0" borderId="0" xfId="0" applyFont="1" applyAlignment="1">
      <alignment horizontal="left" vertical="top"/>
    </xf>
    <xf numFmtId="0" fontId="12" fillId="0" borderId="27" xfId="0" applyFont="1" applyBorder="1" applyAlignment="1">
      <alignment horizontal="center" vertical="center"/>
    </xf>
    <xf numFmtId="0" fontId="11" fillId="0" borderId="28" xfId="0" applyFont="1" applyBorder="1" applyAlignment="1">
      <alignment wrapText="1"/>
    </xf>
    <xf numFmtId="0" fontId="21" fillId="4" borderId="30" xfId="0" applyFont="1" applyFill="1" applyBorder="1" applyAlignment="1">
      <alignment horizontal="center" vertical="center"/>
    </xf>
    <xf numFmtId="0" fontId="22" fillId="4" borderId="31" xfId="0" applyFont="1" applyFill="1" applyBorder="1" applyAlignment="1">
      <alignment wrapText="1"/>
    </xf>
    <xf numFmtId="0" fontId="11" fillId="9" borderId="30" xfId="0" applyFont="1" applyFill="1" applyBorder="1" applyAlignment="1">
      <alignment horizontal="center" wrapText="1"/>
    </xf>
    <xf numFmtId="0" fontId="11" fillId="9" borderId="2" xfId="0" applyFont="1" applyFill="1" applyBorder="1" applyAlignment="1">
      <alignment horizontal="center" wrapText="1"/>
    </xf>
    <xf numFmtId="0" fontId="11" fillId="10" borderId="32" xfId="0" applyFont="1" applyFill="1" applyBorder="1" applyAlignment="1">
      <alignment horizontal="center" wrapText="1"/>
    </xf>
    <xf numFmtId="0" fontId="11" fillId="11" borderId="33" xfId="0" applyFont="1" applyFill="1" applyBorder="1" applyAlignment="1">
      <alignment horizontal="center" wrapText="1"/>
    </xf>
    <xf numFmtId="0" fontId="11" fillId="12" borderId="32" xfId="0" applyFont="1" applyFill="1" applyBorder="1" applyAlignment="1">
      <alignment horizontal="center" wrapText="1"/>
    </xf>
    <xf numFmtId="0" fontId="12" fillId="0" borderId="34" xfId="0" applyFont="1" applyBorder="1" applyAlignment="1">
      <alignment horizontal="center" vertical="center"/>
    </xf>
    <xf numFmtId="0" fontId="11" fillId="0" borderId="35" xfId="0" applyFont="1" applyBorder="1" applyAlignment="1">
      <alignment wrapText="1"/>
    </xf>
    <xf numFmtId="0" fontId="21" fillId="4" borderId="34" xfId="0" applyFont="1" applyFill="1" applyBorder="1" applyAlignment="1">
      <alignment horizontal="center" vertical="center"/>
    </xf>
    <xf numFmtId="0" fontId="22" fillId="4" borderId="36" xfId="0" applyFont="1" applyFill="1" applyBorder="1" applyAlignment="1">
      <alignment wrapText="1"/>
    </xf>
    <xf numFmtId="0" fontId="11" fillId="10" borderId="34" xfId="0" applyFont="1" applyFill="1" applyBorder="1" applyAlignment="1">
      <alignment horizontal="center" wrapText="1"/>
    </xf>
    <xf numFmtId="0" fontId="11" fillId="9" borderId="13" xfId="0" applyFont="1" applyFill="1" applyBorder="1" applyAlignment="1">
      <alignment horizontal="center" wrapText="1"/>
    </xf>
    <xf numFmtId="0" fontId="11" fillId="10" borderId="35" xfId="0" applyFont="1" applyFill="1" applyBorder="1" applyAlignment="1">
      <alignment horizontal="center" wrapText="1"/>
    </xf>
    <xf numFmtId="0" fontId="11" fillId="11" borderId="14" xfId="0" applyFont="1" applyFill="1" applyBorder="1" applyAlignment="1">
      <alignment horizontal="center" wrapText="1"/>
    </xf>
    <xf numFmtId="0" fontId="11" fillId="12" borderId="35" xfId="0" applyFont="1" applyFill="1" applyBorder="1" applyAlignment="1">
      <alignment horizontal="center" wrapText="1"/>
    </xf>
    <xf numFmtId="0" fontId="11" fillId="9" borderId="34" xfId="0" applyFont="1" applyFill="1" applyBorder="1" applyAlignment="1">
      <alignment horizontal="center" wrapText="1"/>
    </xf>
    <xf numFmtId="0" fontId="11" fillId="10" borderId="13" xfId="0" applyFont="1" applyFill="1" applyBorder="1" applyAlignment="1">
      <alignment horizontal="center" wrapText="1"/>
    </xf>
    <xf numFmtId="0" fontId="11" fillId="9" borderId="35" xfId="0" applyFont="1" applyFill="1" applyBorder="1" applyAlignment="1">
      <alignment horizontal="center" wrapText="1"/>
    </xf>
    <xf numFmtId="0" fontId="11" fillId="13" borderId="35" xfId="0" applyFont="1" applyFill="1" applyBorder="1" applyAlignment="1">
      <alignment horizontal="center" wrapText="1"/>
    </xf>
    <xf numFmtId="0" fontId="12" fillId="0" borderId="37" xfId="0" applyFont="1" applyBorder="1" applyAlignment="1">
      <alignment horizontal="center" vertical="center"/>
    </xf>
    <xf numFmtId="0" fontId="11" fillId="0" borderId="38" xfId="0" applyFont="1" applyBorder="1" applyAlignment="1">
      <alignment wrapText="1"/>
    </xf>
    <xf numFmtId="0" fontId="21" fillId="4" borderId="37" xfId="0" applyFont="1" applyFill="1" applyBorder="1" applyAlignment="1">
      <alignment horizontal="center" vertical="center"/>
    </xf>
    <xf numFmtId="0" fontId="22" fillId="4" borderId="40" xfId="0" applyFont="1" applyFill="1" applyBorder="1" applyAlignment="1">
      <alignment wrapText="1"/>
    </xf>
    <xf numFmtId="0" fontId="11" fillId="9" borderId="37" xfId="0" applyFont="1" applyFill="1" applyBorder="1" applyAlignment="1">
      <alignment horizontal="center" wrapText="1"/>
    </xf>
    <xf numFmtId="0" fontId="11" fillId="9" borderId="41" xfId="0" applyFont="1" applyFill="1" applyBorder="1" applyAlignment="1">
      <alignment horizontal="center" wrapText="1"/>
    </xf>
    <xf numFmtId="0" fontId="11" fillId="13" borderId="38" xfId="0" applyFont="1" applyFill="1" applyBorder="1" applyAlignment="1">
      <alignment horizontal="center" wrapText="1"/>
    </xf>
    <xf numFmtId="0" fontId="11" fillId="11" borderId="42" xfId="0" applyFont="1" applyFill="1" applyBorder="1" applyAlignment="1">
      <alignment horizontal="center" wrapText="1"/>
    </xf>
    <xf numFmtId="0" fontId="11" fillId="12" borderId="38" xfId="0" applyFont="1" applyFill="1" applyBorder="1" applyAlignment="1">
      <alignment horizontal="center" wrapText="1"/>
    </xf>
    <xf numFmtId="0" fontId="12" fillId="0" borderId="0" xfId="0" applyFont="1" applyAlignment="1">
      <alignment horizontal="center" vertical="center"/>
    </xf>
    <xf numFmtId="0" fontId="11" fillId="0" borderId="0" xfId="0" applyFont="1" applyAlignment="1">
      <alignment wrapText="1"/>
    </xf>
    <xf numFmtId="0" fontId="12" fillId="0" borderId="0" xfId="0" applyFont="1" applyAlignment="1">
      <alignment vertical="center" wrapText="1"/>
    </xf>
    <xf numFmtId="0" fontId="11" fillId="0" borderId="0" xfId="0" applyFont="1" applyAlignment="1">
      <alignment horizontal="center" wrapText="1"/>
    </xf>
    <xf numFmtId="0" fontId="11" fillId="4" borderId="0" xfId="0" applyFont="1" applyFill="1"/>
    <xf numFmtId="0" fontId="12" fillId="4" borderId="0" xfId="0" applyFont="1" applyFill="1" applyAlignment="1">
      <alignment horizontal="left" vertical="top"/>
    </xf>
    <xf numFmtId="0" fontId="7" fillId="3" borderId="13" xfId="0" applyFont="1" applyFill="1" applyBorder="1" applyAlignment="1">
      <alignment vertical="top" wrapText="1"/>
    </xf>
    <xf numFmtId="0" fontId="3" fillId="4" borderId="13" xfId="0" applyFont="1" applyFill="1" applyBorder="1" applyAlignment="1">
      <alignment horizontal="left" wrapText="1"/>
    </xf>
    <xf numFmtId="0" fontId="11" fillId="4" borderId="13" xfId="4" applyFont="1" applyFill="1" applyBorder="1" applyAlignment="1">
      <alignment horizontal="left" vertical="top" wrapText="1"/>
    </xf>
    <xf numFmtId="0" fontId="11" fillId="4" borderId="13" xfId="4" applyFont="1" applyFill="1" applyBorder="1" applyAlignment="1">
      <alignment horizontal="left" wrapText="1"/>
    </xf>
    <xf numFmtId="0" fontId="7" fillId="3" borderId="16" xfId="0" applyFont="1" applyFill="1" applyBorder="1" applyAlignment="1">
      <alignment horizontal="left" vertical="center" wrapText="1"/>
    </xf>
    <xf numFmtId="0" fontId="11" fillId="0" borderId="13" xfId="0" applyFont="1" applyBorder="1" applyAlignment="1">
      <alignment horizontal="left" vertical="center" wrapText="1"/>
    </xf>
    <xf numFmtId="0" fontId="20" fillId="3" borderId="16" xfId="0" applyFont="1" applyFill="1" applyBorder="1" applyAlignment="1">
      <alignment horizontal="left" vertical="center" wrapText="1"/>
    </xf>
    <xf numFmtId="0" fontId="20" fillId="3" borderId="13" xfId="0" applyFont="1" applyFill="1" applyBorder="1" applyAlignment="1">
      <alignment horizontal="center" vertical="top" wrapText="1"/>
    </xf>
    <xf numFmtId="0" fontId="3" fillId="4" borderId="13" xfId="0" applyFont="1" applyFill="1" applyBorder="1" applyAlignment="1">
      <alignment vertical="top" wrapText="1"/>
    </xf>
    <xf numFmtId="0" fontId="26" fillId="0" borderId="13" xfId="0" applyFont="1" applyBorder="1" applyAlignment="1">
      <alignment horizontal="center" wrapText="1"/>
    </xf>
    <xf numFmtId="0" fontId="26" fillId="0" borderId="0" xfId="0" applyFont="1" applyAlignment="1">
      <alignment horizontal="center"/>
    </xf>
    <xf numFmtId="0" fontId="26" fillId="0" borderId="0" xfId="0" applyFont="1"/>
    <xf numFmtId="0" fontId="26" fillId="4" borderId="0" xfId="0" applyFont="1" applyFill="1" applyAlignment="1">
      <alignment horizontal="center"/>
    </xf>
    <xf numFmtId="0" fontId="18" fillId="3" borderId="0" xfId="0" applyFont="1" applyFill="1" applyAlignment="1">
      <alignment vertical="top"/>
    </xf>
    <xf numFmtId="0" fontId="18" fillId="3" borderId="0" xfId="0" applyFont="1" applyFill="1" applyAlignment="1">
      <alignment horizontal="center" vertical="top" wrapText="1"/>
    </xf>
    <xf numFmtId="0" fontId="12" fillId="0" borderId="0" xfId="0" applyFont="1" applyAlignment="1">
      <alignment vertical="top"/>
    </xf>
    <xf numFmtId="0" fontId="7" fillId="3" borderId="0" xfId="0" applyFont="1" applyFill="1" applyAlignment="1">
      <alignment vertical="top"/>
    </xf>
    <xf numFmtId="0" fontId="7" fillId="3" borderId="0" xfId="0" applyFont="1" applyFill="1" applyAlignment="1">
      <alignment horizontal="center" vertical="top"/>
    </xf>
    <xf numFmtId="0" fontId="7" fillId="3" borderId="0" xfId="0" applyFont="1" applyFill="1" applyAlignment="1">
      <alignment horizontal="center" vertical="top" wrapText="1"/>
    </xf>
    <xf numFmtId="0" fontId="7" fillId="3" borderId="0" xfId="0" applyFont="1" applyFill="1" applyAlignment="1">
      <alignment vertical="top" wrapText="1"/>
    </xf>
    <xf numFmtId="0" fontId="2" fillId="0" borderId="0" xfId="0" applyFont="1" applyAlignment="1">
      <alignment vertical="top"/>
    </xf>
    <xf numFmtId="1" fontId="3" fillId="0" borderId="0" xfId="0" applyNumberFormat="1" applyFont="1" applyAlignment="1">
      <alignment horizontal="center" vertical="top"/>
    </xf>
    <xf numFmtId="0" fontId="3" fillId="0" borderId="0" xfId="0" applyFont="1" applyAlignment="1">
      <alignment vertical="top"/>
    </xf>
    <xf numFmtId="0" fontId="11" fillId="0" borderId="0" xfId="0" applyFont="1" applyAlignment="1">
      <alignment horizontal="center" vertical="top" wrapText="1"/>
    </xf>
    <xf numFmtId="0" fontId="11" fillId="0" borderId="0" xfId="0" applyFont="1" applyAlignment="1">
      <alignment vertical="top" wrapText="1"/>
    </xf>
    <xf numFmtId="0" fontId="11" fillId="0" borderId="0" xfId="0" applyFont="1" applyAlignment="1">
      <alignment vertical="top"/>
    </xf>
    <xf numFmtId="1" fontId="6" fillId="3" borderId="0" xfId="0" applyNumberFormat="1" applyFont="1" applyFill="1" applyAlignment="1">
      <alignment horizontal="center" vertical="top"/>
    </xf>
    <xf numFmtId="0" fontId="6" fillId="3" borderId="0" xfId="0" applyFont="1" applyFill="1" applyAlignment="1">
      <alignment vertical="top"/>
    </xf>
    <xf numFmtId="0" fontId="6" fillId="3" borderId="0" xfId="0" applyFont="1" applyFill="1" applyAlignment="1">
      <alignment horizontal="center" vertical="top" wrapText="1"/>
    </xf>
    <xf numFmtId="0" fontId="24" fillId="3" borderId="0" xfId="0" applyFont="1" applyFill="1" applyAlignment="1">
      <alignment vertical="top" wrapText="1"/>
    </xf>
    <xf numFmtId="0" fontId="6" fillId="3" borderId="0" xfId="0" applyFont="1" applyFill="1" applyAlignment="1">
      <alignment vertical="top" wrapText="1"/>
    </xf>
    <xf numFmtId="1" fontId="3" fillId="0" borderId="0" xfId="0" applyNumberFormat="1" applyFont="1" applyAlignment="1">
      <alignment horizontal="left" vertical="top"/>
    </xf>
    <xf numFmtId="0" fontId="12" fillId="0" borderId="0" xfId="0" applyFont="1" applyAlignment="1">
      <alignment vertical="top" wrapText="1"/>
    </xf>
    <xf numFmtId="1" fontId="29" fillId="3" borderId="0" xfId="0" applyNumberFormat="1" applyFont="1" applyFill="1" applyAlignment="1">
      <alignment horizontal="center" vertical="top"/>
    </xf>
    <xf numFmtId="0" fontId="29" fillId="3" borderId="0" xfId="0" applyFont="1" applyFill="1" applyAlignment="1">
      <alignment vertical="top"/>
    </xf>
    <xf numFmtId="0" fontId="29" fillId="3" borderId="0" xfId="0" applyFont="1" applyFill="1" applyAlignment="1">
      <alignment vertical="top" wrapText="1"/>
    </xf>
    <xf numFmtId="0" fontId="3" fillId="0" borderId="0" xfId="0" applyFont="1" applyAlignment="1">
      <alignment horizontal="center" vertical="top"/>
    </xf>
    <xf numFmtId="1" fontId="3" fillId="0" borderId="0" xfId="0" quotePrefix="1" applyNumberFormat="1" applyFont="1" applyAlignment="1">
      <alignment horizontal="center" vertical="top"/>
    </xf>
    <xf numFmtId="0" fontId="11" fillId="0" borderId="0" xfId="0" quotePrefix="1" applyFont="1" applyAlignment="1">
      <alignment vertical="top" wrapText="1"/>
    </xf>
    <xf numFmtId="0" fontId="3" fillId="0" borderId="0" xfId="0" applyFont="1" applyAlignment="1">
      <alignment horizontal="center" vertical="top" wrapText="1"/>
    </xf>
    <xf numFmtId="1" fontId="7" fillId="3" borderId="0" xfId="0" applyNumberFormat="1" applyFont="1" applyFill="1" applyAlignment="1">
      <alignment horizontal="center" vertical="top"/>
    </xf>
    <xf numFmtId="1" fontId="11" fillId="0" borderId="0" xfId="0" applyNumberFormat="1" applyFont="1" applyAlignment="1">
      <alignment horizontal="center" vertical="top"/>
    </xf>
    <xf numFmtId="0" fontId="11" fillId="0" borderId="0" xfId="0" applyFont="1" applyAlignment="1">
      <alignment horizontal="center" vertical="top"/>
    </xf>
    <xf numFmtId="0" fontId="30" fillId="3" borderId="0" xfId="0" applyFont="1" applyFill="1" applyAlignment="1">
      <alignment horizontal="center" vertical="top"/>
    </xf>
    <xf numFmtId="0" fontId="31" fillId="3" borderId="0" xfId="5" applyFont="1" applyFill="1" applyAlignment="1">
      <alignment vertical="top"/>
    </xf>
    <xf numFmtId="0" fontId="30" fillId="0" borderId="0" xfId="0" applyFont="1" applyAlignment="1">
      <alignment horizontal="center" vertical="top"/>
    </xf>
    <xf numFmtId="0" fontId="31" fillId="0" borderId="0" xfId="5" applyFont="1" applyFill="1" applyAlignment="1">
      <alignment vertical="top"/>
    </xf>
    <xf numFmtId="0" fontId="18" fillId="0" borderId="0" xfId="0" applyFont="1" applyAlignment="1">
      <alignment vertical="top"/>
    </xf>
    <xf numFmtId="0" fontId="32" fillId="0" borderId="0" xfId="0" applyFont="1" applyAlignment="1">
      <alignment vertical="top"/>
    </xf>
    <xf numFmtId="0" fontId="18" fillId="0" borderId="0" xfId="0" applyFont="1" applyAlignment="1">
      <alignment horizontal="center" vertical="top" wrapText="1"/>
    </xf>
    <xf numFmtId="0" fontId="23" fillId="0" borderId="0" xfId="0" applyFont="1" applyAlignment="1">
      <alignment horizontal="left" vertical="center" wrapText="1"/>
    </xf>
    <xf numFmtId="0" fontId="23" fillId="0" borderId="0" xfId="0" applyFont="1" applyAlignment="1">
      <alignment vertical="center" wrapText="1"/>
    </xf>
    <xf numFmtId="0" fontId="33" fillId="0" borderId="0" xfId="0" applyFont="1" applyAlignment="1">
      <alignment vertical="center" wrapText="1"/>
    </xf>
    <xf numFmtId="0" fontId="6" fillId="3" borderId="0" xfId="0" applyFont="1" applyFill="1" applyAlignment="1" applyProtection="1">
      <alignment horizontal="center" vertical="top" wrapText="1"/>
      <protection locked="0"/>
    </xf>
    <xf numFmtId="0" fontId="6" fillId="3" borderId="29" xfId="0" applyFont="1" applyFill="1" applyBorder="1" applyAlignment="1" applyProtection="1">
      <alignment horizontal="center" vertical="top" wrapText="1"/>
      <protection locked="0"/>
    </xf>
    <xf numFmtId="0" fontId="11" fillId="4" borderId="52" xfId="0" applyFont="1" applyFill="1" applyBorder="1" applyAlignment="1">
      <alignment horizontal="center" vertical="center"/>
    </xf>
    <xf numFmtId="0" fontId="11" fillId="4" borderId="49" xfId="0" applyFont="1" applyFill="1" applyBorder="1" applyAlignment="1">
      <alignment horizontal="center" vertical="center"/>
    </xf>
    <xf numFmtId="0" fontId="11" fillId="4" borderId="45" xfId="0" applyFont="1" applyFill="1" applyBorder="1" applyAlignment="1">
      <alignment horizontal="center" vertical="center"/>
    </xf>
    <xf numFmtId="0" fontId="11" fillId="4" borderId="50" xfId="0" applyFont="1" applyFill="1" applyBorder="1" applyAlignment="1">
      <alignment horizontal="center" vertical="center"/>
    </xf>
    <xf numFmtId="0" fontId="11" fillId="4" borderId="46" xfId="0" applyFont="1" applyFill="1" applyBorder="1" applyAlignment="1">
      <alignment horizontal="center" vertical="center"/>
    </xf>
    <xf numFmtId="0" fontId="11" fillId="4" borderId="0" xfId="0" applyFont="1" applyFill="1" applyAlignment="1">
      <alignment horizontal="center" vertical="center"/>
    </xf>
    <xf numFmtId="0" fontId="11" fillId="0" borderId="50" xfId="0" applyFont="1" applyBorder="1" applyAlignment="1">
      <alignment horizontal="center" vertical="center"/>
    </xf>
    <xf numFmtId="0" fontId="11" fillId="0" borderId="51" xfId="0" applyFont="1" applyBorder="1" applyAlignment="1">
      <alignment horizontal="center" vertical="center"/>
    </xf>
    <xf numFmtId="0" fontId="3" fillId="16" borderId="0" xfId="0" applyFont="1" applyFill="1" applyAlignment="1">
      <alignment horizontal="left"/>
    </xf>
    <xf numFmtId="0" fontId="11" fillId="16" borderId="0" xfId="0" applyFont="1" applyFill="1" applyAlignment="1">
      <alignment horizontal="left"/>
    </xf>
    <xf numFmtId="0" fontId="39" fillId="0" borderId="0" xfId="5" applyNumberFormat="1" applyFont="1" applyFill="1" applyAlignment="1">
      <alignment horizontal="left"/>
    </xf>
    <xf numFmtId="0" fontId="39" fillId="0" borderId="0" xfId="5" applyNumberFormat="1" applyFont="1" applyAlignment="1">
      <alignment horizontal="left"/>
    </xf>
    <xf numFmtId="0" fontId="3" fillId="0" borderId="0" xfId="0" applyFont="1" applyAlignment="1">
      <alignment vertical="top" wrapText="1"/>
    </xf>
    <xf numFmtId="0" fontId="12" fillId="0" borderId="0" xfId="0" quotePrefix="1" applyFont="1" applyAlignment="1">
      <alignment horizontal="left"/>
    </xf>
    <xf numFmtId="0" fontId="23" fillId="0" borderId="0" xfId="0" applyFont="1" applyAlignment="1">
      <alignment horizontal="center" vertical="top" wrapText="1"/>
    </xf>
    <xf numFmtId="0" fontId="23" fillId="0" borderId="0" xfId="0" applyFont="1" applyAlignment="1">
      <alignment vertical="top" wrapText="1"/>
    </xf>
    <xf numFmtId="0" fontId="11" fillId="0" borderId="0" xfId="0" applyFont="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7" fillId="3" borderId="13" xfId="0" applyFont="1" applyFill="1" applyBorder="1" applyAlignment="1">
      <alignment horizontal="left" vertical="top" wrapText="1"/>
    </xf>
    <xf numFmtId="0" fontId="3" fillId="0" borderId="13" xfId="0" applyFont="1" applyBorder="1" applyAlignment="1">
      <alignment horizontal="left" vertical="top" wrapText="1"/>
    </xf>
    <xf numFmtId="0" fontId="11" fillId="0" borderId="13" xfId="4" applyFont="1" applyBorder="1" applyAlignment="1">
      <alignment horizontal="left" vertical="top" wrapText="1"/>
    </xf>
    <xf numFmtId="0" fontId="3" fillId="4" borderId="0" xfId="0" applyFont="1" applyFill="1" applyAlignment="1">
      <alignment horizontal="left" vertical="top"/>
    </xf>
    <xf numFmtId="0" fontId="3" fillId="0" borderId="13" xfId="0" applyFont="1" applyBorder="1" applyAlignment="1">
      <alignment horizontal="left" vertical="center"/>
    </xf>
    <xf numFmtId="0" fontId="41" fillId="0" borderId="13" xfId="0" applyFont="1" applyBorder="1" applyAlignment="1">
      <alignment horizontal="left" vertical="center"/>
    </xf>
    <xf numFmtId="0" fontId="23" fillId="0" borderId="13" xfId="0" applyFont="1" applyBorder="1" applyAlignment="1">
      <alignment horizontal="left" vertical="top"/>
    </xf>
    <xf numFmtId="0" fontId="3" fillId="0" borderId="44" xfId="0" applyFont="1" applyBorder="1" applyAlignment="1">
      <alignment horizontal="left" vertical="center"/>
    </xf>
    <xf numFmtId="0" fontId="2" fillId="0" borderId="44" xfId="0" applyFont="1" applyBorder="1" applyAlignment="1">
      <alignment horizontal="left" vertical="center"/>
    </xf>
    <xf numFmtId="0" fontId="2" fillId="0" borderId="13" xfId="0" applyFont="1" applyBorder="1" applyAlignment="1">
      <alignment horizontal="left" vertical="center"/>
    </xf>
    <xf numFmtId="0" fontId="11" fillId="0" borderId="13" xfId="0" applyFont="1" applyBorder="1" applyAlignment="1">
      <alignment vertical="center" wrapText="1"/>
    </xf>
    <xf numFmtId="0" fontId="12" fillId="0" borderId="13" xfId="0" applyFont="1" applyBorder="1" applyAlignment="1">
      <alignment vertical="center" wrapText="1"/>
    </xf>
    <xf numFmtId="0" fontId="12" fillId="0" borderId="13" xfId="0" applyFont="1" applyBorder="1" applyAlignment="1">
      <alignment horizontal="left" vertical="center" wrapText="1"/>
    </xf>
    <xf numFmtId="0" fontId="26" fillId="0" borderId="0" xfId="0" applyFont="1" applyAlignment="1">
      <alignment horizontal="center" wrapText="1"/>
    </xf>
    <xf numFmtId="0" fontId="3" fillId="4" borderId="0" xfId="0" applyFont="1" applyFill="1" applyAlignment="1">
      <alignment vertical="top" wrapText="1"/>
    </xf>
    <xf numFmtId="0" fontId="7" fillId="3" borderId="2" xfId="0" applyFont="1" applyFill="1" applyBorder="1" applyAlignment="1">
      <alignment vertical="top" wrapText="1"/>
    </xf>
    <xf numFmtId="0" fontId="3" fillId="0" borderId="0" xfId="0" applyFont="1" applyAlignment="1">
      <alignment horizontal="left" vertical="center"/>
    </xf>
    <xf numFmtId="0" fontId="7" fillId="17" borderId="0" xfId="0" applyFont="1" applyFill="1" applyAlignment="1">
      <alignment vertical="top"/>
    </xf>
    <xf numFmtId="1" fontId="6" fillId="17" borderId="0" xfId="0" applyNumberFormat="1" applyFont="1" applyFill="1" applyAlignment="1">
      <alignment horizontal="center" vertical="top"/>
    </xf>
    <xf numFmtId="0" fontId="6" fillId="17" borderId="0" xfId="0" applyFont="1" applyFill="1" applyAlignment="1">
      <alignment vertical="top"/>
    </xf>
    <xf numFmtId="0" fontId="6" fillId="17" borderId="0" xfId="0" applyFont="1" applyFill="1" applyAlignment="1">
      <alignment horizontal="center" vertical="top" wrapText="1"/>
    </xf>
    <xf numFmtId="0" fontId="24" fillId="17" borderId="0" xfId="0" applyFont="1" applyFill="1" applyAlignment="1">
      <alignment vertical="top" wrapText="1"/>
    </xf>
    <xf numFmtId="0" fontId="6" fillId="17" borderId="0" xfId="0" applyFont="1" applyFill="1" applyAlignment="1">
      <alignment vertical="top" wrapText="1"/>
    </xf>
    <xf numFmtId="0" fontId="2" fillId="4" borderId="0" xfId="0" applyFont="1" applyFill="1"/>
    <xf numFmtId="0" fontId="3" fillId="0" borderId="13" xfId="0" applyFont="1" applyBorder="1" applyAlignment="1">
      <alignment horizontal="left" vertical="center" wrapText="1"/>
    </xf>
    <xf numFmtId="0" fontId="41" fillId="0" borderId="13" xfId="0" applyFont="1" applyBorder="1" applyAlignment="1">
      <alignment horizontal="left" vertical="center" wrapText="1"/>
    </xf>
    <xf numFmtId="0" fontId="3" fillId="4" borderId="53" xfId="0" applyFont="1" applyFill="1" applyBorder="1"/>
    <xf numFmtId="0" fontId="7" fillId="3" borderId="14" xfId="0" applyFont="1" applyFill="1" applyBorder="1" applyAlignment="1">
      <alignment horizontal="center"/>
    </xf>
    <xf numFmtId="0" fontId="7" fillId="3" borderId="2" xfId="0" applyFont="1" applyFill="1" applyBorder="1" applyAlignment="1">
      <alignment vertical="top"/>
    </xf>
    <xf numFmtId="0" fontId="7" fillId="3" borderId="2" xfId="0" applyFont="1" applyFill="1" applyBorder="1" applyAlignment="1">
      <alignment horizontal="left" vertical="top" wrapText="1"/>
    </xf>
    <xf numFmtId="0" fontId="7" fillId="3" borderId="31" xfId="0" applyFont="1" applyFill="1" applyBorder="1" applyAlignment="1">
      <alignment vertical="top"/>
    </xf>
    <xf numFmtId="0" fontId="40" fillId="0" borderId="13" xfId="0" applyFont="1" applyBorder="1" applyAlignment="1">
      <alignment horizontal="left" vertical="top"/>
    </xf>
    <xf numFmtId="0" fontId="17" fillId="4" borderId="0" xfId="5" applyFill="1"/>
    <xf numFmtId="0" fontId="7" fillId="4" borderId="0" xfId="0" applyFont="1" applyFill="1" applyAlignment="1">
      <alignment horizontal="left" vertical="top"/>
    </xf>
    <xf numFmtId="0" fontId="11" fillId="4" borderId="0" xfId="0" applyFont="1" applyFill="1" applyAlignment="1">
      <alignment horizontal="left" vertical="top"/>
    </xf>
    <xf numFmtId="0" fontId="12" fillId="4" borderId="0" xfId="0" quotePrefix="1" applyFont="1" applyFill="1" applyAlignment="1">
      <alignment horizontal="left" vertical="top"/>
    </xf>
    <xf numFmtId="0" fontId="35" fillId="4" borderId="0" xfId="5" applyNumberFormat="1" applyFont="1" applyFill="1" applyAlignment="1">
      <alignment horizontal="left" vertical="top"/>
    </xf>
    <xf numFmtId="0" fontId="34" fillId="15" borderId="0" xfId="0" applyFont="1" applyFill="1" applyAlignment="1">
      <alignment horizontal="left" vertical="top"/>
    </xf>
    <xf numFmtId="0" fontId="3" fillId="0" borderId="0" xfId="0" applyFont="1" applyAlignment="1">
      <alignment horizontal="left" vertical="top"/>
    </xf>
    <xf numFmtId="0" fontId="7" fillId="3" borderId="0" xfId="0" applyFont="1" applyFill="1" applyAlignment="1">
      <alignment horizontal="left" vertical="top"/>
    </xf>
    <xf numFmtId="0" fontId="7" fillId="17" borderId="0" xfId="0" applyFont="1" applyFill="1" applyAlignment="1">
      <alignment horizontal="left" vertical="top"/>
    </xf>
    <xf numFmtId="0" fontId="2" fillId="0" borderId="0" xfId="0" applyFont="1" applyAlignment="1">
      <alignment horizontal="left" vertical="top"/>
    </xf>
    <xf numFmtId="0" fontId="13" fillId="5" borderId="0" xfId="0" applyFont="1" applyFill="1" applyAlignment="1">
      <alignment horizontal="left" vertical="top"/>
    </xf>
    <xf numFmtId="0" fontId="13" fillId="5" borderId="0" xfId="0" quotePrefix="1" applyFont="1" applyFill="1" applyAlignment="1">
      <alignment horizontal="left" vertical="top"/>
    </xf>
    <xf numFmtId="0" fontId="13" fillId="0" borderId="0" xfId="0" applyFont="1" applyAlignment="1">
      <alignment horizontal="left" vertical="top"/>
    </xf>
    <xf numFmtId="0" fontId="3" fillId="0" borderId="0" xfId="0" applyFont="1" applyAlignment="1" applyProtection="1">
      <alignment horizontal="left" vertical="top"/>
      <protection locked="0"/>
    </xf>
    <xf numFmtId="0" fontId="3" fillId="0" borderId="0" xfId="0" quotePrefix="1" applyFont="1" applyAlignment="1" applyProtection="1">
      <alignment horizontal="left" vertical="top"/>
      <protection locked="0"/>
    </xf>
    <xf numFmtId="0" fontId="15" fillId="5" borderId="0" xfId="0" applyFont="1" applyFill="1" applyAlignment="1">
      <alignment horizontal="left" vertical="top"/>
    </xf>
    <xf numFmtId="0" fontId="16" fillId="5" borderId="0" xfId="0" applyFont="1" applyFill="1" applyAlignment="1">
      <alignment horizontal="left" vertical="top"/>
    </xf>
    <xf numFmtId="0" fontId="14" fillId="2" borderId="1" xfId="1" applyNumberFormat="1" applyFont="1" applyAlignment="1" applyProtection="1">
      <alignment horizontal="left" vertical="top"/>
      <protection locked="0"/>
    </xf>
    <xf numFmtId="4" fontId="3" fillId="0" borderId="0" xfId="6" applyNumberFormat="1" applyFont="1" applyAlignment="1" applyProtection="1">
      <alignment horizontal="right" vertical="top"/>
      <protection locked="0"/>
    </xf>
    <xf numFmtId="3" fontId="3" fillId="0" borderId="0" xfId="6" applyNumberFormat="1" applyFont="1" applyAlignment="1" applyProtection="1">
      <alignment horizontal="left" vertical="top"/>
      <protection locked="0"/>
    </xf>
    <xf numFmtId="4" fontId="3" fillId="0" borderId="0" xfId="6" applyNumberFormat="1" applyFont="1" applyAlignment="1" applyProtection="1">
      <alignment horizontal="left" vertical="top"/>
      <protection locked="0"/>
    </xf>
    <xf numFmtId="4" fontId="3" fillId="0" borderId="0" xfId="0" applyNumberFormat="1" applyFont="1" applyAlignment="1" applyProtection="1">
      <alignment horizontal="right" vertical="top"/>
      <protection locked="0"/>
    </xf>
    <xf numFmtId="3" fontId="3" fillId="0" borderId="0" xfId="6" applyNumberFormat="1" applyFont="1" applyAlignment="1" applyProtection="1">
      <alignment horizontal="right" vertical="top"/>
      <protection locked="0"/>
    </xf>
    <xf numFmtId="0" fontId="11" fillId="0" borderId="0" xfId="4" applyFont="1" applyAlignment="1" applyProtection="1">
      <alignment horizontal="left" vertical="top" wrapText="1"/>
      <protection locked="0"/>
    </xf>
    <xf numFmtId="166" fontId="3" fillId="0" borderId="0" xfId="6" applyFont="1" applyAlignment="1" applyProtection="1">
      <alignment horizontal="left" vertical="top"/>
      <protection locked="0"/>
    </xf>
    <xf numFmtId="0" fontId="16" fillId="5" borderId="0" xfId="0" quotePrefix="1" applyFont="1" applyFill="1" applyAlignment="1">
      <alignment horizontal="left" vertical="top"/>
    </xf>
    <xf numFmtId="0" fontId="16" fillId="0" borderId="0" xfId="0" applyFont="1" applyAlignment="1">
      <alignment horizontal="left" vertical="top"/>
    </xf>
    <xf numFmtId="4" fontId="3" fillId="0" borderId="0" xfId="6" applyNumberFormat="1" applyFont="1" applyAlignment="1" applyProtection="1">
      <alignment vertical="top"/>
      <protection locked="0"/>
    </xf>
    <xf numFmtId="166" fontId="3" fillId="0" borderId="0" xfId="6" applyFont="1" applyFill="1" applyAlignment="1" applyProtection="1">
      <alignment horizontal="left" vertical="top"/>
      <protection locked="0"/>
    </xf>
    <xf numFmtId="4" fontId="3" fillId="0" borderId="0" xfId="6" applyNumberFormat="1" applyFont="1" applyFill="1" applyAlignment="1" applyProtection="1">
      <alignment vertical="top"/>
      <protection locked="0"/>
    </xf>
    <xf numFmtId="0" fontId="7" fillId="14" borderId="0" xfId="0" applyFont="1" applyFill="1" applyAlignment="1">
      <alignment horizontal="left" vertical="top"/>
    </xf>
    <xf numFmtId="0" fontId="2" fillId="14" borderId="0" xfId="0" applyFont="1" applyFill="1" applyAlignment="1">
      <alignment horizontal="left" vertical="top"/>
    </xf>
    <xf numFmtId="0" fontId="7" fillId="3" borderId="0" xfId="4" applyFont="1" applyFill="1" applyAlignment="1">
      <alignment horizontal="left" vertical="top" wrapText="1"/>
    </xf>
    <xf numFmtId="0" fontId="13" fillId="6" borderId="0" xfId="0" applyFont="1" applyFill="1" applyAlignment="1">
      <alignment horizontal="left" vertical="top"/>
    </xf>
    <xf numFmtId="0" fontId="11" fillId="0" borderId="0" xfId="0" applyFont="1" applyAlignment="1" applyProtection="1">
      <alignment horizontal="left" vertical="top"/>
      <protection locked="0"/>
    </xf>
    <xf numFmtId="2" fontId="11" fillId="0" borderId="0" xfId="0" applyNumberFormat="1" applyFont="1" applyAlignment="1" applyProtection="1">
      <alignment horizontal="right" vertical="top"/>
      <protection locked="0"/>
    </xf>
    <xf numFmtId="2" fontId="11" fillId="0" borderId="0" xfId="6" applyNumberFormat="1" applyFont="1" applyAlignment="1" applyProtection="1">
      <alignment horizontal="right" vertical="top"/>
      <protection locked="0"/>
    </xf>
    <xf numFmtId="0" fontId="7" fillId="0" borderId="0" xfId="0" applyFont="1" applyAlignment="1">
      <alignment horizontal="left" vertical="top"/>
    </xf>
    <xf numFmtId="0" fontId="7" fillId="3" borderId="14" xfId="0" applyFont="1" applyFill="1" applyBorder="1" applyAlignment="1">
      <alignment horizontal="left" vertical="top"/>
    </xf>
    <xf numFmtId="0" fontId="7" fillId="3" borderId="13" xfId="0" applyFont="1" applyFill="1" applyBorder="1" applyAlignment="1">
      <alignment horizontal="left" vertical="top"/>
    </xf>
    <xf numFmtId="0" fontId="13" fillId="5" borderId="15" xfId="0" applyFont="1" applyFill="1" applyBorder="1" applyAlignment="1">
      <alignment horizontal="left" vertical="top"/>
    </xf>
    <xf numFmtId="0" fontId="13" fillId="5" borderId="16" xfId="0" applyFont="1" applyFill="1" applyBorder="1" applyAlignment="1">
      <alignment horizontal="left" vertical="top"/>
    </xf>
    <xf numFmtId="0" fontId="7" fillId="17" borderId="13" xfId="0" applyFont="1" applyFill="1" applyBorder="1" applyAlignment="1">
      <alignment horizontal="left" vertical="top"/>
    </xf>
    <xf numFmtId="0" fontId="13" fillId="5" borderId="16" xfId="0" quotePrefix="1" applyFont="1" applyFill="1" applyBorder="1" applyAlignment="1">
      <alignment horizontal="left" vertical="top"/>
    </xf>
    <xf numFmtId="0" fontId="3" fillId="0" borderId="0" xfId="6" applyNumberFormat="1" applyFont="1" applyAlignment="1" applyProtection="1">
      <alignment horizontal="left" vertical="top"/>
      <protection locked="0"/>
    </xf>
    <xf numFmtId="0" fontId="3" fillId="0" borderId="0" xfId="0" applyFont="1" applyAlignment="1" applyProtection="1">
      <alignment horizontal="right" vertical="top"/>
      <protection locked="0"/>
    </xf>
    <xf numFmtId="0" fontId="11" fillId="0" borderId="0" xfId="0" applyFont="1" applyAlignment="1">
      <alignment horizontal="left" vertical="top"/>
    </xf>
    <xf numFmtId="0" fontId="7" fillId="8" borderId="0" xfId="0" applyFont="1" applyFill="1" applyAlignment="1">
      <alignment horizontal="left" vertical="top"/>
    </xf>
    <xf numFmtId="0" fontId="3" fillId="8" borderId="0" xfId="0" applyFont="1" applyFill="1" applyAlignment="1">
      <alignment horizontal="left" vertical="top"/>
    </xf>
    <xf numFmtId="167" fontId="3" fillId="0" borderId="0" xfId="6" applyNumberFormat="1" applyFont="1" applyAlignment="1" applyProtection="1">
      <alignment horizontal="left" vertical="top"/>
      <protection locked="0"/>
    </xf>
    <xf numFmtId="0" fontId="7" fillId="7" borderId="0" xfId="0" applyFont="1" applyFill="1" applyAlignment="1">
      <alignment horizontal="left" vertical="top"/>
    </xf>
    <xf numFmtId="0" fontId="3" fillId="7" borderId="0" xfId="0" applyFont="1" applyFill="1" applyAlignment="1">
      <alignment horizontal="left" vertical="top"/>
    </xf>
    <xf numFmtId="0" fontId="5" fillId="4" borderId="3" xfId="0" applyFont="1" applyFill="1" applyBorder="1"/>
    <xf numFmtId="0" fontId="5" fillId="4" borderId="5" xfId="0" applyFont="1" applyFill="1" applyBorder="1" applyAlignment="1">
      <alignment horizontal="center"/>
    </xf>
    <xf numFmtId="0" fontId="5" fillId="4" borderId="0" xfId="0" applyFont="1" applyFill="1" applyAlignment="1">
      <alignment horizontal="center"/>
    </xf>
    <xf numFmtId="0" fontId="5" fillId="4" borderId="8" xfId="0" applyFont="1" applyFill="1" applyBorder="1"/>
    <xf numFmtId="0" fontId="5" fillId="4" borderId="0" xfId="0" quotePrefix="1" applyFont="1" applyFill="1" applyAlignment="1">
      <alignment horizontal="center"/>
    </xf>
    <xf numFmtId="0" fontId="5" fillId="4" borderId="9" xfId="0" applyFont="1" applyFill="1" applyBorder="1"/>
    <xf numFmtId="0" fontId="5" fillId="4" borderId="7" xfId="0" applyFont="1" applyFill="1" applyBorder="1" applyAlignment="1">
      <alignment horizontal="center"/>
    </xf>
    <xf numFmtId="0" fontId="5" fillId="0" borderId="0" xfId="0" applyFont="1" applyAlignment="1">
      <alignment horizontal="center"/>
    </xf>
    <xf numFmtId="168" fontId="3" fillId="0" borderId="0" xfId="0" quotePrefix="1" applyNumberFormat="1" applyFont="1" applyAlignment="1" applyProtection="1">
      <alignment horizontal="left" vertical="top"/>
      <protection locked="0"/>
    </xf>
    <xf numFmtId="168" fontId="3" fillId="0" borderId="0" xfId="0" applyNumberFormat="1" applyFont="1" applyAlignment="1" applyProtection="1">
      <alignment horizontal="left" vertical="top"/>
      <protection locked="0"/>
    </xf>
    <xf numFmtId="0" fontId="11" fillId="0" borderId="0" xfId="0" quotePrefix="1" applyFont="1" applyAlignment="1" applyProtection="1">
      <alignment horizontal="left" vertical="top"/>
      <protection locked="0"/>
    </xf>
    <xf numFmtId="0" fontId="3" fillId="18" borderId="0" xfId="0" applyFont="1" applyFill="1" applyAlignment="1" applyProtection="1">
      <alignment horizontal="left" vertical="top"/>
      <protection locked="0"/>
    </xf>
    <xf numFmtId="4" fontId="3" fillId="0" borderId="0" xfId="0" applyNumberFormat="1" applyFont="1" applyAlignment="1" applyProtection="1">
      <alignment horizontal="left" vertical="top"/>
      <protection locked="0"/>
    </xf>
    <xf numFmtId="4" fontId="3" fillId="18" borderId="0" xfId="6" applyNumberFormat="1" applyFont="1" applyFill="1" applyAlignment="1" applyProtection="1">
      <alignment horizontal="right" vertical="top"/>
      <protection locked="0"/>
    </xf>
    <xf numFmtId="0" fontId="3" fillId="0" borderId="0" xfId="0" applyFont="1" applyAlignment="1" applyProtection="1">
      <alignment horizontal="left"/>
      <protection locked="0"/>
    </xf>
    <xf numFmtId="0" fontId="11" fillId="0" borderId="0" xfId="4" applyFont="1" applyAlignment="1" applyProtection="1">
      <alignment horizontal="left" wrapText="1"/>
      <protection locked="0"/>
    </xf>
    <xf numFmtId="0" fontId="3" fillId="18" borderId="0" xfId="0" quotePrefix="1" applyFont="1" applyFill="1" applyAlignment="1" applyProtection="1">
      <alignment horizontal="left" vertical="top"/>
      <protection locked="0"/>
    </xf>
    <xf numFmtId="0" fontId="7" fillId="3" borderId="0" xfId="0" applyFont="1" applyFill="1" applyAlignment="1">
      <alignment horizontal="left"/>
    </xf>
    <xf numFmtId="0" fontId="13" fillId="5" borderId="0" xfId="0" applyFont="1" applyFill="1" applyAlignment="1">
      <alignment horizontal="left"/>
    </xf>
    <xf numFmtId="0" fontId="16" fillId="5" borderId="0" xfId="0" applyFont="1" applyFill="1" applyAlignment="1">
      <alignment horizontal="left"/>
    </xf>
    <xf numFmtId="206" fontId="3" fillId="0" borderId="0" xfId="0" applyNumberFormat="1" applyFont="1" applyAlignment="1" applyProtection="1">
      <alignment horizontal="left" vertical="top"/>
      <protection locked="0"/>
    </xf>
    <xf numFmtId="0" fontId="18" fillId="3" borderId="17" xfId="0" applyFont="1" applyFill="1" applyBorder="1" applyAlignment="1">
      <alignment horizontal="center" vertical="center" wrapText="1"/>
    </xf>
    <xf numFmtId="0" fontId="18" fillId="3" borderId="18"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7" fillId="4" borderId="21" xfId="0" applyFont="1" applyFill="1" applyBorder="1" applyAlignment="1">
      <alignment horizontal="center" wrapText="1"/>
    </xf>
    <xf numFmtId="0" fontId="7" fillId="4" borderId="29" xfId="0" applyFont="1" applyFill="1" applyBorder="1" applyAlignment="1">
      <alignment horizontal="center" wrapText="1"/>
    </xf>
    <xf numFmtId="0" fontId="7" fillId="4" borderId="39" xfId="0" applyFont="1" applyFill="1" applyBorder="1" applyAlignment="1">
      <alignment horizontal="center" wrapText="1"/>
    </xf>
    <xf numFmtId="0" fontId="36" fillId="3" borderId="47" xfId="0" applyFont="1" applyFill="1" applyBorder="1" applyAlignment="1">
      <alignment horizontal="center" vertical="center"/>
    </xf>
    <xf numFmtId="0" fontId="36" fillId="3" borderId="48" xfId="0" applyFont="1" applyFill="1" applyBorder="1" applyAlignment="1">
      <alignment horizontal="center" vertical="center"/>
    </xf>
    <xf numFmtId="0" fontId="7" fillId="3" borderId="13" xfId="0" applyFont="1" applyFill="1" applyBorder="1" applyAlignment="1">
      <alignment horizontal="center"/>
    </xf>
    <xf numFmtId="0" fontId="7" fillId="3" borderId="0" xfId="0" applyFont="1" applyFill="1" applyAlignment="1">
      <alignment horizontal="center" wrapText="1"/>
    </xf>
    <xf numFmtId="0" fontId="7" fillId="3" borderId="43" xfId="0" applyFont="1" applyFill="1" applyBorder="1" applyAlignment="1">
      <alignment horizontal="center" wrapText="1"/>
    </xf>
    <xf numFmtId="0" fontId="7" fillId="3" borderId="31" xfId="4" applyFont="1" applyFill="1" applyBorder="1" applyAlignment="1">
      <alignment horizontal="center" wrapText="1"/>
    </xf>
    <xf numFmtId="0" fontId="7" fillId="3" borderId="33" xfId="4" applyFont="1" applyFill="1" applyBorder="1" applyAlignment="1">
      <alignment horizontal="center" wrapText="1"/>
    </xf>
    <xf numFmtId="0" fontId="7" fillId="3" borderId="31" xfId="0" applyFont="1" applyFill="1" applyBorder="1" applyAlignment="1">
      <alignment horizontal="center" wrapText="1"/>
    </xf>
    <xf numFmtId="0" fontId="7" fillId="3" borderId="33" xfId="0" applyFont="1" applyFill="1" applyBorder="1" applyAlignment="1">
      <alignment horizontal="center" wrapText="1"/>
    </xf>
    <xf numFmtId="0" fontId="7" fillId="3" borderId="36" xfId="0" applyFont="1" applyFill="1" applyBorder="1" applyAlignment="1">
      <alignment horizontal="center" wrapText="1"/>
    </xf>
    <xf numFmtId="0" fontId="7" fillId="3" borderId="14" xfId="0" applyFont="1" applyFill="1" applyBorder="1" applyAlignment="1">
      <alignment horizontal="center" wrapText="1"/>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xf numFmtId="0" fontId="116" fillId="0" borderId="0" xfId="0" applyFont="1"/>
  </cellXfs>
  <cellStyles count="4879">
    <cellStyle name=" &amp;A_x0002_" xfId="11" xr:uid="{9C648FB7-8131-4324-AB91-881984171578}"/>
    <cellStyle name="_%(SignOnly)" xfId="12" xr:uid="{9887E565-947C-4CE5-8E64-80AA0C96773D}"/>
    <cellStyle name="_%(SignSpaceOnly)" xfId="13" xr:uid="{086B1E11-AFCF-464C-AA52-871C926E51C8}"/>
    <cellStyle name="_Anchorage TRS Feb 1 2008" xfId="14" xr:uid="{4AC8AE82-949B-4F20-BC8A-B8295FCE539E}"/>
    <cellStyle name="_Arx TRS Dec 17 2007" xfId="15" xr:uid="{6905895F-F679-4AD1-8B24-DCC41E7EF94F}"/>
    <cellStyle name="_Arx TRS Feb 15 2008" xfId="16" xr:uid="{9B3D2D7F-A42A-40E6-B09E-174F3000AEF0}"/>
    <cellStyle name="_Arx TRS June 15 2007-reviseda" xfId="17" xr:uid="{41DE97C1-8A1B-454A-8BD1-2E1498177C79}"/>
    <cellStyle name="_Arx TRS Nov 15 2007" xfId="18" xr:uid="{97883F39-FC4E-4D01-9523-FFB8B0A7201B}"/>
    <cellStyle name="_Arx TRS Oct 15 2007" xfId="19" xr:uid="{E9585EEE-9E53-4928-A8A7-729CF0D47F7E}"/>
    <cellStyle name="_Arx TRS Sept 17 2007" xfId="20" xr:uid="{6C68BD34-C90D-469C-8C32-C462E11A69B1}"/>
    <cellStyle name="_Avila TRS April 15 2008" xfId="21" xr:uid="{DBF36A82-1970-4731-933B-9B472855E736}"/>
    <cellStyle name="_Avila TRS Jan 15 2008" xfId="22" xr:uid="{B7380D7E-4290-4883-9E5E-517D3BC75D9E}"/>
    <cellStyle name="_Avila TRS Oct 15 2007" xfId="23" xr:uid="{E08BE3A8-A773-41F3-B5C9-CDCEAD511AB8}"/>
    <cellStyle name="_Babson TRS Aug 31 2007" xfId="24" xr:uid="{AA401DDD-BC0F-4E0A-9A58-43D5BD9B4DE2}"/>
    <cellStyle name="_Babson TRS Dec 31 2007" xfId="25" xr:uid="{6091A678-6E1C-4300-9136-39A35DC7102A}"/>
    <cellStyle name="_Babson TRS Jan 31 2008" xfId="26" xr:uid="{4F26A1D1-205A-45D9-8CF3-B6E332F87709}"/>
    <cellStyle name="_Babson TRS Nov 30 2007" xfId="27" xr:uid="{AE5EDF42-BC7F-4C5F-B6A2-9151158704D1}"/>
    <cellStyle name="_BD TRS Jan 31 2008" xfId="28" xr:uid="{14363E9D-0DA1-46D3-B914-9B8139AE4264}"/>
    <cellStyle name="_BD TRS Nov 30 2007" xfId="29" xr:uid="{4413ED1F-7345-4836-8B6F-26011A226346}"/>
    <cellStyle name="_CLAIF TRS Aug 31 2007" xfId="30" xr:uid="{C4693AE7-935D-483A-9E16-7F73D41632D7}"/>
    <cellStyle name="_CLAIF TRS Feb 29 2008" xfId="31" xr:uid="{47AC886C-CC16-4A80-A243-3DAE66E3076A}"/>
    <cellStyle name="_CLAIF TRS Nov 30 2007" xfId="32" xr:uid="{2B73C563-DDAA-41FA-B9D3-1622ADA74A5D}"/>
    <cellStyle name="_CLAIF TRS Oct 31 2007" xfId="33" xr:uid="{5A86C450-A789-4C23-809A-8AE36A669E03}"/>
    <cellStyle name="_Comma" xfId="34" xr:uid="{6225B082-F119-4046-B786-8AB5E66F0315}"/>
    <cellStyle name="_Compare All-NEW" xfId="35" xr:uid="{932C1A59-4046-4A0D-9A5D-8A139C07E7B0}"/>
    <cellStyle name="_copy after changes CAIRN TRS June 30 2008" xfId="36" xr:uid="{9365B9D4-B60F-4527-8C98-9635ADA30F02}"/>
    <cellStyle name="_Credit TRS Portfolio Master" xfId="37" xr:uid="{D6169BAA-CFF5-4F4A-BE75-388198B6E73C}"/>
    <cellStyle name="_Currency" xfId="38" xr:uid="{28E0BD19-544D-42BC-BCB6-786C8431353E}"/>
    <cellStyle name="_CurrencySpace" xfId="39" xr:uid="{58F075EF-C779-46CA-8CBD-E899BC05882F}"/>
    <cellStyle name="_ECF Portfolio Summary 09 Jan 08 JA" xfId="40" xr:uid="{CB4A71CD-B06B-4CB1-B473-50930E0DB462}"/>
    <cellStyle name="_Euro" xfId="41" xr:uid="{6B23C9BF-F2FE-47A6-B05C-E6C6CFE730C3}"/>
    <cellStyle name="_Feingold FOMF - Aug 31 2007" xfId="42" xr:uid="{5C3AD19F-0EB9-4671-ADC9-6ACB1F860D2D}"/>
    <cellStyle name="_Feingold FOMF - Jan 31 2008" xfId="43" xr:uid="{59DA0413-6E2C-4864-9A76-7C35073BE26E}"/>
    <cellStyle name="_Feingold FOMF - Nov 30 2007" xfId="44" xr:uid="{01A31B9E-3E45-47F5-9074-FEC8533742DE}"/>
    <cellStyle name="_Feingold FOMF - Oct 31 2007" xfId="45" xr:uid="{23E0494F-B6CB-4469-BAD7-80EF81D60998}"/>
    <cellStyle name="_Feingold TRS Aug 31 2007" xfId="46" xr:uid="{F8938DC5-F1BB-4598-9FEA-343311993F1D}"/>
    <cellStyle name="_Feingold TRS Jan 31st 2008" xfId="47" xr:uid="{0ACBA613-6D04-4D70-AD36-D4D0DF9A1CA8}"/>
    <cellStyle name="_Feingold TRS June 29 2007" xfId="48" xr:uid="{4FE5F59E-4A57-4B54-9666-CB5A703E0DDD}"/>
    <cellStyle name="_Feingold TRS Nov 30 2007" xfId="49" xr:uid="{58A993D1-AE8B-4606-B65E-60ACBF83D471}"/>
    <cellStyle name="_Feingold TRS Oct 31 2007" xfId="50" xr:uid="{2F8940BA-A2D3-46B2-84CC-3116B551E965}"/>
    <cellStyle name="_Fitch VECTOR" xfId="51" xr:uid="{2ACE59AD-04B9-473A-B861-7BBF04828237}"/>
    <cellStyle name="_Fitch_VECTOR_Model" xfId="52" xr:uid="{5B039297-3D20-4749-969F-2D4C2DBC5413}"/>
    <cellStyle name="_Fitch_VECTOR_Model_Portfolio Definition" xfId="53" xr:uid="{D5914960-8DED-4722-9BC2-EBBB27F0F698}"/>
    <cellStyle name="_Goldman TRS April 15 2008" xfId="54" xr:uid="{11571E41-4DF5-4C64-91A4-53FE130F62E8}"/>
    <cellStyle name="_GSAM Liquidity Partners Dec 20 2007" xfId="55" xr:uid="{A82EC56F-B155-417E-BB8D-6BEAD01D4B38}"/>
    <cellStyle name="_GSAM Liquidity Partners March 20 2008" xfId="56" xr:uid="{14FCC457-DB19-48C8-9495-29E456E2C24B}"/>
    <cellStyle name="_GSAM LP Aug 13" xfId="57" xr:uid="{1B1A26F8-DF05-4301-8E91-547C241CE439}"/>
    <cellStyle name="_GSC Recovery Loan Opportunities Fund TRS" xfId="58" xr:uid="{C1BEC763-970C-4DD1-A64B-DE771E8A2CA3}"/>
    <cellStyle name="_GSC Recovery Loan TRS Jan 10 2008" xfId="59" xr:uid="{8F12B478-A29C-4224-952A-6D8EB2721517}"/>
    <cellStyle name="_GSC Recovery Parallel TRS Jan 10 2008" xfId="60" xr:uid="{B0A0C4CC-74D6-452F-8EA6-09CF534D2725}"/>
    <cellStyle name="_GSC Recovery TRS Master Apr 10 2008" xfId="61" xr:uid="{3A3DB869-ADCD-4D3B-B776-190BB3DF011E}"/>
    <cellStyle name="_GSC Recovery TRS Master Jan 10 2008" xfId="62" xr:uid="{01A37C3F-9B8A-43DA-8B5A-810AA5C31504}"/>
    <cellStyle name="_HCSMF TRS Dec 17th 2007  " xfId="63" xr:uid="{55D0BF6A-E4A1-4F50-BE57-046D1E1FB388}"/>
    <cellStyle name="_HCSMF TRS Feb 15th 2008" xfId="64" xr:uid="{B2FD07B5-87D3-41CE-99B6-8B86E9C7247D}"/>
    <cellStyle name="_HCSMF TRS Nov 15th 2007 " xfId="65" xr:uid="{C15A422F-36EF-4777-ACE0-80D9C0486E12}"/>
    <cellStyle name="_Heading" xfId="66" xr:uid="{A5EA70A8-EC74-496C-882D-95DB20142890}"/>
    <cellStyle name="_Highlight" xfId="67" xr:uid="{F9A6114E-E236-42D0-B9A0-52D185E97B49}"/>
    <cellStyle name="_Inman  - Static ABS Deal" xfId="68" xr:uid="{46038C3C-AF8A-42CF-97C2-0325B59966A5}"/>
    <cellStyle name="_Lehman Brothers TRS Apr 15 2008" xfId="69" xr:uid="{ED9D1256-5C90-4123-BA83-2846A119750A}"/>
    <cellStyle name="_Lehman Brothers TRS Jan 15 2008" xfId="70" xr:uid="{D70CC5A1-85B6-45ED-83AE-350C620989EE}"/>
    <cellStyle name="_Lufkin TRS Jan 31 2008" xfId="71" xr:uid="{E1BDA1F9-DEC3-49D1-9E9C-04858C5F4FF0}"/>
    <cellStyle name="_Lufkin TRS Nov 30 2007" xfId="72" xr:uid="{C64D609C-BE65-4AF0-9508-79B2DFBD419B}"/>
    <cellStyle name="_Lufkin TRS Oct 31 2007" xfId="73" xr:uid="{31BB53CB-8E00-48B9-A8F2-BE09974DC42C}"/>
    <cellStyle name="_Multiple" xfId="74" xr:uid="{697526BF-F84D-40D0-B913-5C236EDE8B03}"/>
    <cellStyle name="_MultipleSpace" xfId="75" xr:uid="{9233520F-179B-44D2-AFF9-A78D15FC10C8}"/>
    <cellStyle name="_Oaktree 2x TRS Mar 5 2008" xfId="76" xr:uid="{9FF1FE34-F085-4F49-9F2E-CE5080924CB7}"/>
    <cellStyle name="_Oaktree High Yield Plus TRS Mar 31 2008" xfId="77" xr:uid="{6F06B1BE-D576-4FC7-8DF6-E422032314CA}"/>
    <cellStyle name="_OTPP TRS Dec 17 2007" xfId="78" xr:uid="{B8C6322F-E6EC-48C1-832E-CB2091601763}"/>
    <cellStyle name="_OTPP TRS Feb 18 2008" xfId="79" xr:uid="{B46CDC53-E797-4FE1-9DCB-7BDFC7209C6B}"/>
    <cellStyle name="_OTPP TRS Nov 16 2007" xfId="80" xr:uid="{17DC47AE-F641-41C5-AC4E-36A23EF29F69}"/>
    <cellStyle name="_OTPP TRS Oct 16 2007" xfId="81" xr:uid="{F0D91482-FA3A-4723-80FF-6E9471E4E7B8}"/>
    <cellStyle name="_Permal SCM TRS Feb 15 2008" xfId="82" xr:uid="{942846A4-C424-46A4-8DEA-2CF4070B9FC7}"/>
    <cellStyle name="_Portfolio Composition" xfId="83" xr:uid="{5F931EC2-F95A-4F01-9301-E385451BBE9F}"/>
    <cellStyle name="_Portfolio Definition" xfId="84" xr:uid="{4D519EC6-6C2C-4B8D-93F8-DF2822F20C64}"/>
    <cellStyle name="_Sanctuary Dec 17 2007 " xfId="85" xr:uid="{8961BF05-23D6-4D1A-9C1F-8C82A7C4D3AB}"/>
    <cellStyle name="_Sanctuary Feb 15th 2008" xfId="86" xr:uid="{9DD5A980-AF82-4B9C-BBC8-9FF33010F9CD}"/>
    <cellStyle name="_Sanctuary Oct 15 2007" xfId="87" xr:uid="{B38F0039-CB9C-4B80-AA41-9EC34E719256}"/>
    <cellStyle name="_Silver Point TRS Dec 15 2007" xfId="88" xr:uid="{B6D6198B-93A5-4008-8DAE-D581D82EBB42}"/>
    <cellStyle name="_Silver Point TRS Feb 15 2008" xfId="89" xr:uid="{8DE2BD2B-8E4E-493F-B258-43B582A09C47}"/>
    <cellStyle name="_Silver Point TRS Oct 15 2007" xfId="90" xr:uid="{BE80574D-F559-4EF4-8DA5-69DE24DE3DFD}"/>
    <cellStyle name="_SOHC TRS Aug 21 2007" xfId="91" xr:uid="{E4D12FA5-D812-49FA-9A3A-87A195B18A08}"/>
    <cellStyle name="_Strand TRS Dec 17 2007" xfId="92" xr:uid="{8FD110FE-1E89-41E9-8E8C-679D44170ED9}"/>
    <cellStyle name="_Strand TRS Mar 17 2008" xfId="93" xr:uid="{E9EF7225-CB9E-42E5-A9BD-ABFFA0AF095C}"/>
    <cellStyle name="_Strand TRS Sep 17 2007" xfId="94" xr:uid="{47F0C175-35F5-4170-A173-57BD357298E5}"/>
    <cellStyle name="_SubHeading" xfId="95" xr:uid="{94AF2C05-971C-43D7-A320-94ED74EFA58F}"/>
    <cellStyle name="_Summary " xfId="96" xr:uid="{E075B466-FE3B-49C5-8EB1-5F56C738D9E9}"/>
    <cellStyle name="_Symphony TRS Dec 3rd 2007" xfId="97" xr:uid="{85F2788A-C441-4CDA-9457-BE0DED3A922D}"/>
    <cellStyle name="_Symphony TRS Jan 2nd 2008" xfId="98" xr:uid="{4F1C7CBA-FFFB-4D6E-9975-FB118AAEE99B}"/>
    <cellStyle name="_Synthetic ABS NOV 4" xfId="99" xr:uid="{9DDCE544-7583-48D7-AE6D-A073778B6426}"/>
    <cellStyle name="_Table" xfId="100" xr:uid="{60005AA5-BFE2-40A1-A3D1-DD43900C196B}"/>
    <cellStyle name="_TableHead" xfId="101" xr:uid="{AE1F9ED2-EAF8-4DD2-BC27-DCD93ED37949}"/>
    <cellStyle name="_TableRowHead" xfId="102" xr:uid="{E889B18F-D7FC-46AB-8401-B82BF4609C91}"/>
    <cellStyle name="_TableSuperHead" xfId="103" xr:uid="{B272FC04-27C2-40A5-8001-2F5DEF94DF75}"/>
    <cellStyle name="_Whitehorse Credit TRS Mar 10 2008" xfId="104" xr:uid="{834C4C30-28E2-4481-9E24-BFE1C08CA776}"/>
    <cellStyle name="_Z Capital TRS Feb 20 2008" xfId="105" xr:uid="{E07BD52E-84F2-4DDE-A64A-1F5B7BF7ADB7}"/>
    <cellStyle name="_Z Capital TRS Nov 20 2007" xfId="106" xr:uid="{9FCF98F0-A65E-4DC2-ABFF-D0B32946A557}"/>
    <cellStyle name="_Z Capital TRS Oct 22 2007" xfId="107" xr:uid="{C8BA0F28-4D1A-4FCD-8D02-C9BC2B867E3E}"/>
    <cellStyle name="£ BP" xfId="108" xr:uid="{56FC90C9-4838-472B-B0AD-5DF51656771F}"/>
    <cellStyle name="¥ JY" xfId="109" xr:uid="{035C71FF-04A9-4F7B-B8F5-A30700CA5EBE}"/>
    <cellStyle name="=C:\WINNT35\SYSTEM32\COMMAND.COM 2 2" xfId="110" xr:uid="{D620079E-BFEA-4102-999B-1C3D88D39334}"/>
    <cellStyle name="=C:\WINNT35\SYSTEM32\COMMAND.COM 2 2 2" xfId="111" xr:uid="{44AA4214-7579-49A4-8557-6920FE346ED4}"/>
    <cellStyle name="•W€_NewOriginal100" xfId="112" xr:uid="{BF44D786-751E-4762-9F18-D487261BBBB2}"/>
    <cellStyle name="0,0_x000d__x000a_NA_x000d__x000a_" xfId="113" xr:uid="{31F981D9-00D7-4829-AE2B-2C678A75E124}"/>
    <cellStyle name="0,0_x000d__x000a_NA_x000d__x000a_ 2" xfId="114" xr:uid="{EC532484-79EC-4364-90E5-34DD0F3C3B3B}"/>
    <cellStyle name="20 % - Akzent1 2" xfId="115" xr:uid="{F71F9545-D959-43FA-B8EB-5F3C3BE381D5}"/>
    <cellStyle name="20 % - Akzent2 2" xfId="116" xr:uid="{A9D71C05-D64E-4DA8-92A5-B25FDB52DDD3}"/>
    <cellStyle name="20 % - Akzent3 2" xfId="117" xr:uid="{3BD8BBC9-6933-4A98-B6BD-3C56C78C7F44}"/>
    <cellStyle name="20 % - Akzent4 2" xfId="118" xr:uid="{E90F22CA-44F4-4E40-93D7-0ABD0E167EC3}"/>
    <cellStyle name="20 % - Akzent5 2" xfId="119" xr:uid="{ABDB564B-FFAB-45D9-B541-75513B9636BB}"/>
    <cellStyle name="20 % - Akzent6 2" xfId="120" xr:uid="{C0A08C72-1A1A-4A1D-A633-3F9D2B4573EF}"/>
    <cellStyle name="20 % - Accent1" xfId="121" xr:uid="{D4D6EC4D-82F3-4B43-B89F-375178B81132}"/>
    <cellStyle name="20 % - Accent1 2" xfId="122" xr:uid="{1301B194-2AC1-4665-960D-7BA1F894B59D}"/>
    <cellStyle name="20 % - Accent2" xfId="123" xr:uid="{C8D0CD70-08E4-48A4-994C-557EB1D120F9}"/>
    <cellStyle name="20 % - Accent2 2" xfId="124" xr:uid="{AB213AC1-44EE-4B3F-B07D-A7066EB6C891}"/>
    <cellStyle name="20 % - Accent3" xfId="125" xr:uid="{4807BCDF-A33C-458E-8487-E853BE226336}"/>
    <cellStyle name="20 % - Accent3 2" xfId="126" xr:uid="{8A740146-E990-4B39-804D-62B584CA53D3}"/>
    <cellStyle name="20 % - Accent4" xfId="127" xr:uid="{79BE6794-A0FF-416E-9D70-6B85115497BB}"/>
    <cellStyle name="20 % - Accent4 2" xfId="128" xr:uid="{B27D4EF8-E442-4E8A-8D14-BE003D0CBB4C}"/>
    <cellStyle name="20 % - Accent5" xfId="129" xr:uid="{8B2E24B6-B4A3-44BB-AE66-F1660E4FF42D}"/>
    <cellStyle name="20 % - Accent5 2" xfId="130" xr:uid="{13DA3EFD-2B18-4294-8A58-9B57F4D59749}"/>
    <cellStyle name="20 % - Accent6" xfId="131" xr:uid="{06A6AE27-FA80-4B8C-A9C0-524EF4283004}"/>
    <cellStyle name="20 % - Accent6 2" xfId="132" xr:uid="{E93ECB81-B362-434C-8F5C-76040D1A9727}"/>
    <cellStyle name="20% - Accent1 2" xfId="133" xr:uid="{49A2D44F-62BC-46CC-B544-EC1CDF7A82B4}"/>
    <cellStyle name="20% - Accent2 2" xfId="134" xr:uid="{F538B4CD-38B5-485E-AAA8-67CFCBB507EB}"/>
    <cellStyle name="20% - Accent3 2" xfId="135" xr:uid="{8E4BCED4-750B-4B6D-B939-C14746A62DDA}"/>
    <cellStyle name="20% - Accent4 2" xfId="136" xr:uid="{3EBA1ADC-0922-4747-B13F-BCA183671D68}"/>
    <cellStyle name="20% - Accent5 2" xfId="137" xr:uid="{A21FF1F0-530D-44C5-B2C9-DC731C2014A9}"/>
    <cellStyle name="20% - Accent6 2" xfId="138" xr:uid="{21B3EE4D-4EE1-4BB6-875D-40524E58A4DB}"/>
    <cellStyle name="20% - Akzent1" xfId="139" xr:uid="{DD4EC2CA-685B-4B85-8DD8-BB4F66AFFA33}"/>
    <cellStyle name="20% - Akzent2" xfId="140" xr:uid="{457B7C2E-A787-4C39-8C7A-550A954D6222}"/>
    <cellStyle name="20% - Akzent3" xfId="141" xr:uid="{ED09AA3E-1646-4D5A-AEF2-F5C338F48A23}"/>
    <cellStyle name="20% - Akzent4" xfId="142" xr:uid="{AEED0F30-CD56-45E7-BA60-49D79B35C761}"/>
    <cellStyle name="20% - Akzent5" xfId="143" xr:uid="{E4711D66-619E-47C2-8160-BCFA30C26C4F}"/>
    <cellStyle name="20% - Akzent6" xfId="144" xr:uid="{1B2868FC-870E-4325-8258-D9EB62D86248}"/>
    <cellStyle name="40 % - Akzent1 2" xfId="145" xr:uid="{04E00D28-D7F4-4D78-9E4E-9E0F1C0424A8}"/>
    <cellStyle name="40 % - Akzent2 2" xfId="146" xr:uid="{25A49394-6914-4FF4-B17B-F7771B22B6D1}"/>
    <cellStyle name="40 % - Akzent3 2" xfId="147" xr:uid="{C2362762-8F4D-4F94-A75B-85807FD43597}"/>
    <cellStyle name="40 % - Akzent4 2" xfId="148" xr:uid="{1C039BE4-BC72-4681-BBD5-4B379C6BB2CD}"/>
    <cellStyle name="40 % - Akzent5 2" xfId="149" xr:uid="{FE055A7C-9D53-48DE-A1D0-50F916BDF4CD}"/>
    <cellStyle name="40 % - Akzent6 2" xfId="150" xr:uid="{ACA24BAF-B765-412B-BBE8-6C4FE9F51689}"/>
    <cellStyle name="40 % - Accent1" xfId="151" xr:uid="{8FB6BCC2-0250-457E-95BC-FCF7B473858C}"/>
    <cellStyle name="40 % - Accent1 2" xfId="152" xr:uid="{43171BA2-BC1D-4501-BCCA-2442A5EB713D}"/>
    <cellStyle name="40 % - Accent2" xfId="153" xr:uid="{B0CD6C73-BCBD-4448-823A-73735719455C}"/>
    <cellStyle name="40 % - Accent2 2" xfId="154" xr:uid="{29E2D4D7-CCE6-4BF6-8330-E9FBADB584BD}"/>
    <cellStyle name="40 % - Accent3" xfId="155" xr:uid="{B65CBCAC-D723-4CCA-8175-8986E54AD35C}"/>
    <cellStyle name="40 % - Accent3 2" xfId="156" xr:uid="{17873A65-43C6-47AB-AEAD-F152F983B4E2}"/>
    <cellStyle name="40 % - Accent4" xfId="157" xr:uid="{8A5A7AE2-BB90-46E5-B254-BA281FFCBC59}"/>
    <cellStyle name="40 % - Accent4 2" xfId="158" xr:uid="{034B073A-4AD7-4FBD-939C-6C2E01848D76}"/>
    <cellStyle name="40 % - Accent5" xfId="159" xr:uid="{22014629-FC15-4854-B077-58B23DB80C97}"/>
    <cellStyle name="40 % - Accent5 2" xfId="160" xr:uid="{55C7712D-5F9C-482F-898F-989C53DCD271}"/>
    <cellStyle name="40 % - Accent6" xfId="161" xr:uid="{B3FEC9BF-D03D-4582-9B99-0F4582B12E5D}"/>
    <cellStyle name="40 % - Accent6 2" xfId="162" xr:uid="{2BBDB835-59A5-47AE-8F77-E07248CC9CDD}"/>
    <cellStyle name="40% - Accent1 2" xfId="163" xr:uid="{BF025E6F-E945-4704-ABCF-911F1C74E0D8}"/>
    <cellStyle name="40% - Accent2 2" xfId="164" xr:uid="{E1FD02DF-9A04-4BA7-9FA3-6526116DFD32}"/>
    <cellStyle name="40% - Accent3 2" xfId="165" xr:uid="{5D6F5213-7724-4686-AD8A-59A1D18094B2}"/>
    <cellStyle name="40% - Accent4 2" xfId="166" xr:uid="{98C95E3D-32C7-4F53-8DE0-32ECCA355AF1}"/>
    <cellStyle name="40% - Accent5 2" xfId="167" xr:uid="{E1893FCB-80DD-4D8B-9709-429104331DC8}"/>
    <cellStyle name="40% - Accent6 2" xfId="168" xr:uid="{AC80BBE9-2EBD-45FB-B81E-A6FA067AE68D}"/>
    <cellStyle name="40% - Akzent1" xfId="169" xr:uid="{F8693DB7-798A-48EE-9CA5-535CAAEB02DF}"/>
    <cellStyle name="40% - Akzent2" xfId="170" xr:uid="{FD73C169-D42A-442C-8F87-0991F438226E}"/>
    <cellStyle name="40% - Akzent3" xfId="171" xr:uid="{9EBB9134-245E-4A63-835F-58FEED694259}"/>
    <cellStyle name="40% - Akzent4" xfId="172" xr:uid="{F4D8478D-6877-4140-960F-1093DE218A8C}"/>
    <cellStyle name="40% - Akzent5" xfId="173" xr:uid="{4D0614CB-A0C2-4A7B-805D-C46C1E92ECB4}"/>
    <cellStyle name="40% - Akzent6" xfId="174" xr:uid="{45B93F95-5B99-444B-85CB-BBBC0375611D}"/>
    <cellStyle name="60 % - Akzent1 2" xfId="175" xr:uid="{A13E5412-FA38-4219-AA16-5E07755EF1B7}"/>
    <cellStyle name="60 % - Akzent2 2" xfId="176" xr:uid="{DB577D27-EA35-4C0A-92EF-14FFE542D05B}"/>
    <cellStyle name="60 % - Akzent3 2" xfId="177" xr:uid="{FD5915CF-ABFC-4AB8-AF15-68C66C62A7D6}"/>
    <cellStyle name="60 % - Akzent4 2" xfId="178" xr:uid="{78BD7CEF-ACB1-41E0-83D7-3DB518E30E4E}"/>
    <cellStyle name="60 % - Akzent5 2" xfId="179" xr:uid="{7FBA8EFA-AA51-4B09-9C4C-FC135207DE4E}"/>
    <cellStyle name="60 % - Akzent6 2" xfId="180" xr:uid="{5CB9D559-CAB0-41F1-8F52-4278C83378DA}"/>
    <cellStyle name="60 % - Accent1" xfId="181" xr:uid="{8B218A97-2E97-46CE-A94E-4886AD47E67C}"/>
    <cellStyle name="60 % - Accent1 2" xfId="182" xr:uid="{B09885CC-5179-4663-9D5D-48300E11B598}"/>
    <cellStyle name="60 % - Accent2" xfId="183" xr:uid="{03DE5D17-1669-4194-B5CA-882E2F196BA6}"/>
    <cellStyle name="60 % - Accent2 2" xfId="184" xr:uid="{45F9774A-F74C-4C8A-8CE5-FED8F29C9DB3}"/>
    <cellStyle name="60 % - Accent3" xfId="185" xr:uid="{878A4919-8766-43FB-959A-9542B9D2DB10}"/>
    <cellStyle name="60 % - Accent3 2" xfId="186" xr:uid="{19EE3A74-AD8F-4158-91DD-B054193CE332}"/>
    <cellStyle name="60 % - Accent4" xfId="187" xr:uid="{10A0B1BF-7858-45F7-B3C8-AE09D67BB8F8}"/>
    <cellStyle name="60 % - Accent4 2" xfId="188" xr:uid="{5AB2BBE6-9717-4FAC-B0BD-374E4E9ACF96}"/>
    <cellStyle name="60 % - Accent5" xfId="189" xr:uid="{765783FF-CC04-49C4-B1AD-8E417A5E0939}"/>
    <cellStyle name="60 % - Accent5 2" xfId="190" xr:uid="{874226C7-5337-42C4-80F0-F6F858EB2261}"/>
    <cellStyle name="60 % - Accent6" xfId="191" xr:uid="{9F7E5591-1D5B-4110-AF6E-3822A71A9694}"/>
    <cellStyle name="60 % - Accent6 2" xfId="192" xr:uid="{01A779F2-48A2-4FB7-A8CF-AEACD492C036}"/>
    <cellStyle name="60% - Accent1 2" xfId="193" xr:uid="{0414FC5F-DCB5-4121-AA8C-35EBF7758280}"/>
    <cellStyle name="60% - Accent2 2" xfId="194" xr:uid="{36438D0F-DCE2-4313-AB46-BD7D5F661736}"/>
    <cellStyle name="60% - Accent3 2" xfId="195" xr:uid="{1F02F17A-9919-4A6D-9BA6-9B2DA932A2E6}"/>
    <cellStyle name="60% - Accent4 2" xfId="196" xr:uid="{61D76E65-B76E-4083-888C-12B04157957A}"/>
    <cellStyle name="60% - Accent5 2" xfId="197" xr:uid="{5E7F3D41-3086-40D6-86CF-98EC3EC33A93}"/>
    <cellStyle name="60% - Accent6 2" xfId="198" xr:uid="{570388AF-F6D2-4812-8AAD-5594C6EE9CBB}"/>
    <cellStyle name="60% - Akzent1" xfId="199" xr:uid="{654017CD-6654-4D05-90EB-0B13C59499E2}"/>
    <cellStyle name="60% - Akzent2" xfId="200" xr:uid="{21EF7A6B-C342-41E6-BCD5-3246A86A16D4}"/>
    <cellStyle name="60% - Akzent3" xfId="201" xr:uid="{F619BC92-3AE3-44C1-9A23-A864C49EBEB8}"/>
    <cellStyle name="60% - Akzent4" xfId="202" xr:uid="{3218BD07-7A63-4241-B273-59D47BC11B16}"/>
    <cellStyle name="60% - Akzent5" xfId="203" xr:uid="{F4A75E98-51BC-4C11-9206-0B316B1E2250}"/>
    <cellStyle name="60% - Akzent6" xfId="204" xr:uid="{2C544302-8C18-47BF-9722-8F5256175E11}"/>
    <cellStyle name="Accent1 2" xfId="205" xr:uid="{5889F506-22D5-4B84-8A96-D3FC02621363}"/>
    <cellStyle name="Accent2 2" xfId="206" xr:uid="{49D3371A-9FA4-4DC7-804D-B80AED937A87}"/>
    <cellStyle name="Accent3 2" xfId="207" xr:uid="{DCB3071A-ADB3-4884-BEAB-EA16D802B0EE}"/>
    <cellStyle name="Accent4 2" xfId="208" xr:uid="{774FAED2-AB4E-4D14-AE54-5F44F7F056FF}"/>
    <cellStyle name="Accent5 2" xfId="209" xr:uid="{D878EEB8-5374-4483-BE4E-2EED5FC562D6}"/>
    <cellStyle name="Accent6 2" xfId="210" xr:uid="{88630986-FF5A-4D6B-9625-D78E743F36BB}"/>
    <cellStyle name="Akzent5 2" xfId="211" xr:uid="{8051C9B0-CA4B-4DDB-941E-06417379F387}"/>
    <cellStyle name="ALIB Output" xfId="212" xr:uid="{B7D315BD-6B30-4B92-92D7-8B9E794FD71F}"/>
    <cellStyle name="ALPercent" xfId="213" xr:uid="{6890C026-5BE9-46F2-A1B3-5D42CC74ED16}"/>
    <cellStyle name="arial" xfId="214" xr:uid="{D91F78A4-3F54-4786-8977-2B0783644FDA}"/>
    <cellStyle name="avant" xfId="215" xr:uid="{DE6E0D1B-B8B8-404D-88EC-2894B0752CC2}"/>
    <cellStyle name="avant 2" xfId="216" xr:uid="{4B595392-E393-4A5F-B702-2E36CB5E5422}"/>
    <cellStyle name="avant 2 2" xfId="217" xr:uid="{061D8D32-B1A0-4F01-8989-571601055B66}"/>
    <cellStyle name="Avertissement" xfId="218" xr:uid="{DAF8B7BF-9CE7-4A41-AB7A-B4D2B50B6213}"/>
    <cellStyle name="Avertissement 2" xfId="219" xr:uid="{F189FA83-06E8-4B3A-B66B-7F3725E0005C}"/>
    <cellStyle name="Bad 2" xfId="220" xr:uid="{1DE52D99-2CB8-4724-982A-68A6B9BE01B3}"/>
    <cellStyle name="BlankedZeros" xfId="221" xr:uid="{D9CA134C-F8F9-4E08-AC97-BB50FA3B8884}"/>
    <cellStyle name="Blue" xfId="222" xr:uid="{E93B3060-5C69-4630-8073-5C39F3167E62}"/>
    <cellStyle name="body" xfId="223" xr:uid="{0459A784-A9E4-4307-BDB2-202FA4E0892A}"/>
    <cellStyle name="Bold/Border" xfId="224" xr:uid="{9441AAA7-590A-4DDF-A135-7DCA4D9928AA}"/>
    <cellStyle name="Bullet" xfId="225" xr:uid="{7A6A584C-12B2-4760-A5E4-D307A14013B1}"/>
    <cellStyle name="Calc Currency (0)" xfId="226" xr:uid="{EC37A63B-3837-4BE0-9583-4647ADAED234}"/>
    <cellStyle name="Calc Currency (2)" xfId="227" xr:uid="{A95916A8-E3DD-4DF7-87A5-B45C1E15E08F}"/>
    <cellStyle name="Calc Percent (0)" xfId="228" xr:uid="{171314AB-0E1E-44DE-BF1D-2406C2BB62E4}"/>
    <cellStyle name="Calc Percent (1)" xfId="229" xr:uid="{96F9B901-5B34-441C-915D-10A612565FB7}"/>
    <cellStyle name="Calc Percent (2)" xfId="230" xr:uid="{EF0EC62D-F736-4DDB-BB69-69732BC1FD9B}"/>
    <cellStyle name="Calc Units (0)" xfId="231" xr:uid="{AA661B44-A34D-455A-9C62-A2A3FF9CB25F}"/>
    <cellStyle name="Calc Units (1)" xfId="232" xr:uid="{12657D5B-72E8-4784-9EAB-E4F42A9F3F15}"/>
    <cellStyle name="Calc Units (2)" xfId="233" xr:uid="{94EA7C46-48FC-4501-8E17-FA772084E0FC}"/>
    <cellStyle name="Calcul" xfId="234" xr:uid="{43277F78-CB92-45E0-8B2B-7AA8255C45F6}"/>
    <cellStyle name="Calcul 2" xfId="235" xr:uid="{50AF979C-7C13-4942-B94C-77598F178FC9}"/>
    <cellStyle name="Calcul 2 2" xfId="236" xr:uid="{5E4CC470-BE41-4980-B4AA-132F843586F4}"/>
    <cellStyle name="Calcul 2 3" xfId="237" xr:uid="{D14A9D2A-FBE5-439C-8161-921DA3E3D1B2}"/>
    <cellStyle name="Calcul 3" xfId="238" xr:uid="{DDE08C51-12C8-414D-9400-43E45FD91C2E}"/>
    <cellStyle name="Calculation 2" xfId="239" xr:uid="{ECF477E5-AF34-4436-A4C6-64D69F8F6DCE}"/>
    <cellStyle name="Cellule liée" xfId="240" xr:uid="{505CF6CF-3D55-4B8B-960B-D97218C496D3}"/>
    <cellStyle name="Cellule liée 2" xfId="241" xr:uid="{580A25FF-BDC4-4CC4-9636-1B6FDB9C247F}"/>
    <cellStyle name="Check Cell 2" xfId="242" xr:uid="{6C608968-56E7-4C4B-B52D-5C2300B431E6}"/>
    <cellStyle name="Comma  - Style1" xfId="243" xr:uid="{D6B4BA0B-6F65-45EF-8E7C-B20BAE13CF51}"/>
    <cellStyle name="Comma  - Style1 2" xfId="244" xr:uid="{802D8C1E-6BED-484C-8E1B-3D3EDC9B3B73}"/>
    <cellStyle name="Comma  - Style2" xfId="245" xr:uid="{1C7365A4-756C-42ED-8F01-F969218D3D3C}"/>
    <cellStyle name="Comma  - Style2 2" xfId="246" xr:uid="{7BF3B4F1-E594-4D53-BF94-A36E7B2EB021}"/>
    <cellStyle name="Comma  - Style3" xfId="247" xr:uid="{89F92888-5B24-412B-B198-F4C79BDE6FF3}"/>
    <cellStyle name="Comma  - Style3 2" xfId="248" xr:uid="{266426C8-C033-4988-B660-AC9E4AB4D60C}"/>
    <cellStyle name="Comma  - Style4" xfId="249" xr:uid="{01543699-7B53-42E8-943B-FE371DEF3695}"/>
    <cellStyle name="Comma  - Style4 2" xfId="250" xr:uid="{29412CEF-DEB4-45D4-838F-2F96009D1BAB}"/>
    <cellStyle name="Comma  - Style5" xfId="251" xr:uid="{7432A133-7566-4138-93CA-E39522BF371B}"/>
    <cellStyle name="Comma  - Style5 2" xfId="252" xr:uid="{FB4AE157-3C5A-4634-B23B-876816041BA1}"/>
    <cellStyle name="Comma  - Style6" xfId="253" xr:uid="{2F7521B0-52F5-4B5F-BBED-8AFD01EF9945}"/>
    <cellStyle name="Comma  - Style6 2" xfId="254" xr:uid="{D08E6310-309C-4AA3-A52D-3384B758F772}"/>
    <cellStyle name="Comma  - Style7" xfId="255" xr:uid="{1708F02B-5E35-4321-B9CF-6004AE2149B3}"/>
    <cellStyle name="Comma  - Style7 2" xfId="256" xr:uid="{A4E552F9-8B30-44DC-BBA4-65A1700ACD68}"/>
    <cellStyle name="Comma  - Style8" xfId="257" xr:uid="{3BB8FAE6-7540-4286-805A-9D3DB9E91C41}"/>
    <cellStyle name="Comma  - Style8 2" xfId="258" xr:uid="{9B84660B-FBDE-4891-A4F7-E1A02289B8F0}"/>
    <cellStyle name="Comma [0] 2" xfId="259" xr:uid="{75A694CF-7A08-4C05-8ADC-3DF9A9E39152}"/>
    <cellStyle name="Comma [0] 2 2" xfId="260" xr:uid="{AA87E718-86F1-4A7B-A76D-CA5C2006D949}"/>
    <cellStyle name="Comma [0] 2 2 2" xfId="4610" xr:uid="{4DF1B635-F14D-4ED1-A5B2-EEFA0D5DBF31}"/>
    <cellStyle name="Comma [0] 2 3" xfId="4609" xr:uid="{9FC72408-C4CB-46E6-A8E4-8A24A74C2800}"/>
    <cellStyle name="Comma [0] 3" xfId="261" xr:uid="{2FFE528D-B89F-4359-AC0D-0C7A8C512898}"/>
    <cellStyle name="Comma [0] 3 2" xfId="262" xr:uid="{14E9C35C-D87B-4EED-BC2B-641755F6B7CB}"/>
    <cellStyle name="Comma [0] 3 2 2" xfId="4612" xr:uid="{6FAF56B6-9BE5-4447-A99B-124927F482E6}"/>
    <cellStyle name="Comma [0] 3 3" xfId="4611" xr:uid="{C1003AC4-E453-407A-BFD2-DEE94EA10938}"/>
    <cellStyle name="Comma [00]" xfId="263" xr:uid="{0EB3B586-E08B-442E-A47E-BB0EECD346FE}"/>
    <cellStyle name="Comma 10" xfId="264" xr:uid="{DBAB17D0-006B-4664-8E25-E1610E267B75}"/>
    <cellStyle name="Comma 11" xfId="265" xr:uid="{C972892F-770D-49FB-B40D-0FD955FF2E1B}"/>
    <cellStyle name="Comma 12" xfId="266" xr:uid="{CF842731-9FD5-4491-9B75-6B90690CB8CF}"/>
    <cellStyle name="Comma 13" xfId="267" xr:uid="{03449172-ABB2-4F79-AA90-94E74F07B0DD}"/>
    <cellStyle name="Comma 14" xfId="268" xr:uid="{B10D02A2-C9E8-4DBD-B14C-108AE3BC1712}"/>
    <cellStyle name="Comma 15" xfId="269" xr:uid="{D0071922-418B-4012-B5B8-55E4CFF72D8D}"/>
    <cellStyle name="Comma 16" xfId="270" xr:uid="{6122C6C8-6238-4EDC-94AB-EEB536ADB784}"/>
    <cellStyle name="Comma 17" xfId="271" xr:uid="{BB844D97-E8A1-495D-825F-6801520C97F1}"/>
    <cellStyle name="Comma 18" xfId="272" xr:uid="{A495C5FC-9A66-48D9-8BA1-B3B6FDB53F41}"/>
    <cellStyle name="Comma 19" xfId="273" xr:uid="{F2797D7F-3716-4DF5-AE73-EF04FA622B32}"/>
    <cellStyle name="Comma 2" xfId="274" xr:uid="{8E6429F8-89D0-4762-A7D0-32A9BDB5E145}"/>
    <cellStyle name="Comma 2 10" xfId="275" xr:uid="{CB7C016F-017B-47D5-A933-AAA2A98E1372}"/>
    <cellStyle name="Comma 2 2" xfId="276" xr:uid="{02322A9C-136C-4610-8049-A556FC1CF519}"/>
    <cellStyle name="Comma 2 2 2" xfId="277" xr:uid="{76091AC0-3CD2-4E81-BFA7-BC6DD53D016A}"/>
    <cellStyle name="Comma 2 2 2 2" xfId="4614" xr:uid="{AFEEF2B1-D3A7-4199-82D9-C83D86C97EA3}"/>
    <cellStyle name="Comma 2 2 3" xfId="278" xr:uid="{35331E71-F140-4DCD-8556-E157C55E3728}"/>
    <cellStyle name="Comma 2 2 3 2" xfId="4615" xr:uid="{4E9A5FE3-7E90-4BC2-8E93-BD9EACFE60A9}"/>
    <cellStyle name="Comma 2 2 4" xfId="279" xr:uid="{7021CC58-017C-41B0-9B8A-DB404BA4AAF6}"/>
    <cellStyle name="Comma 2 2 4 2" xfId="280" xr:uid="{A15EE5E5-C9F0-4F71-B9A6-21B71104C1F2}"/>
    <cellStyle name="Comma 2 2 4 2 2" xfId="281" xr:uid="{562327AD-9DE3-48D4-87EF-CFFE1961B4DA}"/>
    <cellStyle name="Comma 2 2 4 2 2 2" xfId="4618" xr:uid="{B6D88A97-BA3B-40A8-B508-154E798CB568}"/>
    <cellStyle name="Comma 2 2 4 2 3" xfId="282" xr:uid="{2D55D49E-A5A2-4B78-89D9-F76F7A680705}"/>
    <cellStyle name="Comma 2 2 4 2 3 2" xfId="4619" xr:uid="{9FEE1D2E-7D3D-4D85-9C62-0CFDD7190B18}"/>
    <cellStyle name="Comma 2 2 4 2 4" xfId="4617" xr:uid="{2D7649A6-C92A-4024-BC8A-5B34F1043D5C}"/>
    <cellStyle name="Comma 2 2 4 3" xfId="283" xr:uid="{64D2CF58-48AC-4EF1-9502-9FB543AD36B1}"/>
    <cellStyle name="Comma 2 2 4 3 2" xfId="4620" xr:uid="{BA6941CB-689F-4E7B-B59C-9BCB30A3376E}"/>
    <cellStyle name="Comma 2 2 4 4" xfId="284" xr:uid="{B63A81E1-05E6-4423-BB9B-7EA7ECE731B7}"/>
    <cellStyle name="Comma 2 2 4 4 2" xfId="4621" xr:uid="{6C45A1F0-E5AF-4312-AD1C-DDE1F4065308}"/>
    <cellStyle name="Comma 2 2 4 5" xfId="4616" xr:uid="{CEC6DE31-949A-4BE8-A0AA-D1C82E1CE5EA}"/>
    <cellStyle name="Comma 2 2 5" xfId="285" xr:uid="{6E99B505-AB08-4581-9C6E-5F0525F77C48}"/>
    <cellStyle name="Comma 2 2 5 2" xfId="286" xr:uid="{0DEED922-D87E-4B5C-8406-5B62E57AE781}"/>
    <cellStyle name="Comma 2 2 5 2 2" xfId="4623" xr:uid="{DA6ED245-334B-446F-9046-1A77A8508690}"/>
    <cellStyle name="Comma 2 2 5 3" xfId="287" xr:uid="{3807AE09-C100-4F26-AD27-21360263C1BB}"/>
    <cellStyle name="Comma 2 2 5 3 2" xfId="4624" xr:uid="{40A93301-D4E3-42D5-91CB-D9F37D6B8227}"/>
    <cellStyle name="Comma 2 2 5 4" xfId="4622" xr:uid="{6D3A4C36-DFBD-45A4-81A1-601E762AD8C5}"/>
    <cellStyle name="Comma 2 2 6" xfId="4613" xr:uid="{47833609-0A6E-40DD-BEB0-9D6C2CBC7431}"/>
    <cellStyle name="Comma 2 3" xfId="288" xr:uid="{62DE51BA-BC2B-4B7A-9988-B0D36C71212F}"/>
    <cellStyle name="Comma 2 3 2" xfId="289" xr:uid="{CE43DC09-6828-4D6C-906E-0034E6B8E915}"/>
    <cellStyle name="Comma 2 3 2 2" xfId="4626" xr:uid="{5A985C46-84A1-4870-BC29-6B7F9D892E02}"/>
    <cellStyle name="Comma 2 3 3" xfId="290" xr:uid="{65E93E24-F0DC-4227-AC84-3A6BCF9F9FB8}"/>
    <cellStyle name="Comma 2 3 3 2" xfId="4627" xr:uid="{5E49BA04-92B2-403C-8433-BDBC0B6EE145}"/>
    <cellStyle name="Comma 2 3 4" xfId="291" xr:uid="{D31289D7-6A51-4165-9BE5-A798A609C6D0}"/>
    <cellStyle name="Comma 2 3 4 2" xfId="292" xr:uid="{E4844CBD-149E-4C0C-B7E6-387183BCEE9A}"/>
    <cellStyle name="Comma 2 3 4 2 2" xfId="293" xr:uid="{B6C284A2-535E-4CD4-A5E9-B16977123851}"/>
    <cellStyle name="Comma 2 3 4 2 2 2" xfId="4630" xr:uid="{942AE019-D7B9-4AF9-A414-21C1E835F3C4}"/>
    <cellStyle name="Comma 2 3 4 2 3" xfId="294" xr:uid="{4E0420FA-18C8-49E6-9C9F-4E62A8D66B08}"/>
    <cellStyle name="Comma 2 3 4 2 3 2" xfId="4631" xr:uid="{501489FC-0944-4FD0-983E-D6D87640B1C1}"/>
    <cellStyle name="Comma 2 3 4 2 4" xfId="4629" xr:uid="{378F9EA6-0DB9-4317-8193-DFF7F80DBBF6}"/>
    <cellStyle name="Comma 2 3 4 3" xfId="295" xr:uid="{BD4F4FA5-8CEE-4DB8-91E0-F4203EA09E7F}"/>
    <cellStyle name="Comma 2 3 4 3 2" xfId="4632" xr:uid="{44395B5F-4267-4A7D-BEB5-90B56EF4F638}"/>
    <cellStyle name="Comma 2 3 4 4" xfId="296" xr:uid="{3F9A4C53-0892-4EFB-B0C0-1A2E1B12A377}"/>
    <cellStyle name="Comma 2 3 4 4 2" xfId="4633" xr:uid="{05FFF1F4-CB1F-407B-B29C-2633903F8930}"/>
    <cellStyle name="Comma 2 3 4 5" xfId="4628" xr:uid="{A3702963-4303-4C39-967F-A546CE3F256E}"/>
    <cellStyle name="Comma 2 3 5" xfId="297" xr:uid="{D2922812-D727-4285-92E9-2AB4933EC4F4}"/>
    <cellStyle name="Comma 2 3 5 2" xfId="298" xr:uid="{38F8B90B-7550-4EFF-B4D3-7E4EC3D8130A}"/>
    <cellStyle name="Comma 2 3 5 2 2" xfId="4635" xr:uid="{FED7CDE5-814C-49F3-9B0B-656F47CC847E}"/>
    <cellStyle name="Comma 2 3 5 3" xfId="299" xr:uid="{A5DED703-7C11-4B02-9932-8A77C1F569A0}"/>
    <cellStyle name="Comma 2 3 5 3 2" xfId="4636" xr:uid="{E68B480D-41ED-448D-8845-A7AE0D75B40E}"/>
    <cellStyle name="Comma 2 3 5 4" xfId="4634" xr:uid="{83F91A89-8139-434C-88C5-9C6B264A4B08}"/>
    <cellStyle name="Comma 2 3 6" xfId="4625" xr:uid="{D53B7172-BD7A-4B8C-B15E-0B4CC91BF030}"/>
    <cellStyle name="Comma 2 4" xfId="300" xr:uid="{58FBB0D3-21B2-4B8C-8BCE-335FE7EEA7C2}"/>
    <cellStyle name="Comma 2 4 2" xfId="301" xr:uid="{8E6544F2-C99A-4FE7-AD72-A665121232EE}"/>
    <cellStyle name="Comma 2 4 2 2" xfId="302" xr:uid="{FDB5EF16-DC12-4BEB-BC11-B07F940B3FFF}"/>
    <cellStyle name="Comma 2 4 2 2 2" xfId="303" xr:uid="{424AE18D-6629-40D8-B4B8-C3941C56EDB7}"/>
    <cellStyle name="Comma 2 4 2 2 2 2" xfId="304" xr:uid="{EC0E5FA1-8408-4BA2-9E5F-BA5C42A8CB17}"/>
    <cellStyle name="Comma 2 4 2 2 2 2 2" xfId="4641" xr:uid="{0972D4E2-E71C-4AA3-B72B-370CA73F2306}"/>
    <cellStyle name="Comma 2 4 2 2 2 3" xfId="305" xr:uid="{90BAB948-C8A8-4B28-BC2E-07C3C10BE182}"/>
    <cellStyle name="Comma 2 4 2 2 2 3 2" xfId="4642" xr:uid="{A106C4CF-D245-4976-9A7B-658F810459E3}"/>
    <cellStyle name="Comma 2 4 2 2 2 4" xfId="4640" xr:uid="{B9F1C731-B867-4F8F-9A28-D6FB072698FD}"/>
    <cellStyle name="Comma 2 4 2 2 3" xfId="306" xr:uid="{68DF3FF4-2C18-4C59-9CC9-11D223171E61}"/>
    <cellStyle name="Comma 2 4 2 2 3 2" xfId="4643" xr:uid="{2BBBB57A-9BF2-4106-8A16-90A016007EB6}"/>
    <cellStyle name="Comma 2 4 2 2 4" xfId="307" xr:uid="{FD111DD6-635D-448B-828C-F921398B4BF6}"/>
    <cellStyle name="Comma 2 4 2 2 4 2" xfId="4644" xr:uid="{A2FA44E4-17B9-442B-B6CC-FBF4BAA7F467}"/>
    <cellStyle name="Comma 2 4 2 2 5" xfId="4639" xr:uid="{3AEBFCAF-F706-4A61-9605-9B28E3BC64E4}"/>
    <cellStyle name="Comma 2 4 2 3" xfId="308" xr:uid="{2CB07F39-D6D7-4529-B264-24D2F9EB4952}"/>
    <cellStyle name="Comma 2 4 2 3 2" xfId="309" xr:uid="{51B04B40-4FCE-4839-A079-ACBA96D44F49}"/>
    <cellStyle name="Comma 2 4 2 3 2 2" xfId="4646" xr:uid="{2F30AF3B-A9B6-477A-BB99-F4663424F369}"/>
    <cellStyle name="Comma 2 4 2 3 3" xfId="310" xr:uid="{160AD255-7C44-4D93-A7C0-B10E609A78CF}"/>
    <cellStyle name="Comma 2 4 2 3 3 2" xfId="4647" xr:uid="{B7301BC6-971D-41A3-8635-7E02666D9D76}"/>
    <cellStyle name="Comma 2 4 2 3 4" xfId="4645" xr:uid="{D39DB4AC-8140-4896-8FBE-5C76273D408E}"/>
    <cellStyle name="Comma 2 4 2 4" xfId="311" xr:uid="{7F67438F-C27C-4301-AA8B-0AA94417D4D8}"/>
    <cellStyle name="Comma 2 4 2 4 2" xfId="4648" xr:uid="{577CFFFE-DAA1-4A60-84FA-77578342BF67}"/>
    <cellStyle name="Comma 2 4 2 5" xfId="312" xr:uid="{C095D50C-211C-418E-B94B-483A9EEB7014}"/>
    <cellStyle name="Comma 2 4 2 5 2" xfId="4649" xr:uid="{E96E48E9-7C47-4346-A33D-46207D1A917E}"/>
    <cellStyle name="Comma 2 4 2 6" xfId="4638" xr:uid="{47F2B8ED-4445-4726-95A6-D1814A9840FB}"/>
    <cellStyle name="Comma 2 4 3" xfId="313" xr:uid="{6968793A-10DC-4D5D-BC00-776E881315E7}"/>
    <cellStyle name="Comma 2 4 3 2" xfId="314" xr:uid="{578B8B21-524A-4D3D-8E12-F0B7A8610E79}"/>
    <cellStyle name="Comma 2 4 3 2 2" xfId="315" xr:uid="{A5A5E848-BD1C-4E2E-955A-4759E0EEC925}"/>
    <cellStyle name="Comma 2 4 3 2 2 2" xfId="4652" xr:uid="{A76CB302-FCA9-4A60-9439-0312113F97EE}"/>
    <cellStyle name="Comma 2 4 3 2 3" xfId="316" xr:uid="{6B8DC149-D778-4816-ADF6-9D67835863A7}"/>
    <cellStyle name="Comma 2 4 3 2 3 2" xfId="4653" xr:uid="{0A7FC0CB-41DF-4586-97DD-7D8ED6EF4DBD}"/>
    <cellStyle name="Comma 2 4 3 2 4" xfId="4651" xr:uid="{79BF8F14-60A4-4DAF-81B9-1C2706DAF383}"/>
    <cellStyle name="Comma 2 4 3 3" xfId="317" xr:uid="{B80BE25F-D113-4109-BDFF-BADBBDCA6A33}"/>
    <cellStyle name="Comma 2 4 3 3 2" xfId="4654" xr:uid="{6AF1FE43-97D7-487B-9DE3-32E015ABCB95}"/>
    <cellStyle name="Comma 2 4 3 4" xfId="318" xr:uid="{73896DFC-C5B1-4FEE-B960-28DF6B6797C0}"/>
    <cellStyle name="Comma 2 4 3 4 2" xfId="4655" xr:uid="{7B46E781-B5EC-4E9A-BE76-230C4DAD8AC5}"/>
    <cellStyle name="Comma 2 4 3 5" xfId="4650" xr:uid="{CD15BC94-9E24-4222-98E1-294CCCBE3EB6}"/>
    <cellStyle name="Comma 2 4 4" xfId="319" xr:uid="{4D4AA2E4-B579-45C5-9F75-A5766894E4B5}"/>
    <cellStyle name="Comma 2 4 4 2" xfId="320" xr:uid="{5B538CB4-B334-4C75-B7C1-BA20989E34B9}"/>
    <cellStyle name="Comma 2 4 4 2 2" xfId="4657" xr:uid="{50D3645A-82EA-439E-8180-457A054FE898}"/>
    <cellStyle name="Comma 2 4 4 3" xfId="321" xr:uid="{B414B359-0BF3-49FC-9592-3FF03C3BBAB5}"/>
    <cellStyle name="Comma 2 4 4 3 2" xfId="4658" xr:uid="{F735C56A-F998-45A5-A359-FAE3C6B38621}"/>
    <cellStyle name="Comma 2 4 4 4" xfId="4656" xr:uid="{DE79BBC0-B278-4F24-A101-2D0EDBE98368}"/>
    <cellStyle name="Comma 2 4 5" xfId="322" xr:uid="{A8DBB025-8A4E-4F08-AC19-15D4DB16743D}"/>
    <cellStyle name="Comma 2 4 5 2" xfId="4659" xr:uid="{D44D6B6F-F49E-49BA-9358-DF18BDFD081A}"/>
    <cellStyle name="Comma 2 4 6" xfId="323" xr:uid="{E59F77F0-1133-4B8C-9096-93FCAF871F4A}"/>
    <cellStyle name="Comma 2 4 6 2" xfId="4660" xr:uid="{D683C68E-E8C1-424F-92FB-95063EDEF6D1}"/>
    <cellStyle name="Comma 2 4 7" xfId="4637" xr:uid="{8FCEE221-701E-43F9-8394-77A7F7A7929D}"/>
    <cellStyle name="Comma 2 5" xfId="324" xr:uid="{06A8C966-EF6F-4C84-B34B-7826CDD4CDEF}"/>
    <cellStyle name="Comma 2 5 2" xfId="325" xr:uid="{6E776651-E4F6-4F8F-BFEB-EEB51FD114BA}"/>
    <cellStyle name="Comma 2 5 2 2" xfId="4662" xr:uid="{991548A2-58D1-4F4A-825C-A468CF24BC0D}"/>
    <cellStyle name="Comma 2 5 3" xfId="4661" xr:uid="{C410178E-28C7-4397-A85A-03237494B055}"/>
    <cellStyle name="Comma 2 6" xfId="326" xr:uid="{F62DB20A-CAE4-4143-AAFF-5C92E1A2A37A}"/>
    <cellStyle name="Comma 2 6 2" xfId="327" xr:uid="{9DBBC8CA-8B20-4EAD-92F7-4A98C1B91AC6}"/>
    <cellStyle name="Comma 2 6 2 2" xfId="328" xr:uid="{0E31B4F2-E2EF-4171-A6BA-26660BAA7248}"/>
    <cellStyle name="Comma 2 6 2 2 2" xfId="329" xr:uid="{5C632701-47C4-4CF5-861E-EA4EC93A6D46}"/>
    <cellStyle name="Comma 2 6 2 2 2 2" xfId="4666" xr:uid="{051E4EF1-9221-4B69-9319-8B094AA4BF74}"/>
    <cellStyle name="Comma 2 6 2 2 3" xfId="330" xr:uid="{39DD2231-A398-4ABA-B1D8-AD4869E01D35}"/>
    <cellStyle name="Comma 2 6 2 2 3 2" xfId="4667" xr:uid="{CCD7C14F-9618-4944-BA00-A40A7076E135}"/>
    <cellStyle name="Comma 2 6 2 2 4" xfId="4665" xr:uid="{33D3777C-5666-44F1-9D3F-36F989CDD164}"/>
    <cellStyle name="Comma 2 6 2 3" xfId="331" xr:uid="{0742866A-72B0-4855-9383-E5D671D81C9A}"/>
    <cellStyle name="Comma 2 6 2 3 2" xfId="4668" xr:uid="{961E968C-B58A-47E7-B98F-6D03ED564246}"/>
    <cellStyle name="Comma 2 6 2 4" xfId="332" xr:uid="{B152A150-F25E-404F-A0B8-A1D65F048B3E}"/>
    <cellStyle name="Comma 2 6 2 4 2" xfId="4669" xr:uid="{2196E6EF-3487-4EDF-9E11-5D1DC477474C}"/>
    <cellStyle name="Comma 2 6 2 5" xfId="4664" xr:uid="{1D277948-1EC7-46B4-B3F1-25871E4ED669}"/>
    <cellStyle name="Comma 2 6 3" xfId="333" xr:uid="{4D064449-C27E-49C4-B9D2-EC8AD418E42B}"/>
    <cellStyle name="Comma 2 6 3 2" xfId="334" xr:uid="{E092D2C4-0444-43A4-ADB0-5B99D4A205B9}"/>
    <cellStyle name="Comma 2 6 3 2 2" xfId="4671" xr:uid="{85FDDA43-52E0-4647-ADAA-B3250C8F914F}"/>
    <cellStyle name="Comma 2 6 3 3" xfId="335" xr:uid="{9DE4589E-3CA4-469D-9521-ACA2B1AFC45A}"/>
    <cellStyle name="Comma 2 6 3 3 2" xfId="4672" xr:uid="{6E42C894-7D6F-4F28-8514-DFC168632401}"/>
    <cellStyle name="Comma 2 6 3 4" xfId="4670" xr:uid="{F9E4974C-7D9D-4325-8B11-DC554383CA58}"/>
    <cellStyle name="Comma 2 6 4" xfId="336" xr:uid="{B52BFD98-970E-4CC1-B4D9-02F118D9A920}"/>
    <cellStyle name="Comma 2 6 4 2" xfId="4673" xr:uid="{5B51219A-1BF4-4193-84E6-0C4FFB1943DB}"/>
    <cellStyle name="Comma 2 6 5" xfId="337" xr:uid="{85217EBF-D88D-4737-8324-800524F3A8B9}"/>
    <cellStyle name="Comma 2 6 5 2" xfId="4674" xr:uid="{FD7EAA28-8607-412B-905A-72E4A5239601}"/>
    <cellStyle name="Comma 2 6 6" xfId="4663" xr:uid="{F590F635-D18B-48A7-B4BA-488758DAE3CA}"/>
    <cellStyle name="Comma 2 7" xfId="338" xr:uid="{1BCF5891-5BDE-4408-BD68-BCA73C606187}"/>
    <cellStyle name="Comma 2 7 2" xfId="339" xr:uid="{6AD69C4D-E241-407C-8C48-96E5BBF44DB5}"/>
    <cellStyle name="Comma 2 7 2 2" xfId="340" xr:uid="{3EC143F7-A2A0-48E7-B0D0-8E660695A619}"/>
    <cellStyle name="Comma 2 7 2 2 2" xfId="341" xr:uid="{C9455903-77C9-44DA-9EB4-DC1C36CE8280}"/>
    <cellStyle name="Comma 2 7 2 2 2 2" xfId="4678" xr:uid="{C3DF86C9-669F-456B-BD0F-7BCF44F70DF1}"/>
    <cellStyle name="Comma 2 7 2 2 3" xfId="342" xr:uid="{3C32F71F-355B-47AE-9C49-54BD364E31CF}"/>
    <cellStyle name="Comma 2 7 2 2 3 2" xfId="4679" xr:uid="{91A0FDD2-67B6-4537-B6BD-6CFDAC3712BA}"/>
    <cellStyle name="Comma 2 7 2 2 4" xfId="4677" xr:uid="{D8774952-CD73-4DFB-A9F6-F5D2AC5DB235}"/>
    <cellStyle name="Comma 2 7 2 3" xfId="343" xr:uid="{23F0D759-9ECE-474F-8CA6-5051F0E7CCC1}"/>
    <cellStyle name="Comma 2 7 2 3 2" xfId="4680" xr:uid="{01DA29F5-44C0-461C-9D9B-76BE23EC19A8}"/>
    <cellStyle name="Comma 2 7 2 4" xfId="344" xr:uid="{72CE6132-35C4-4FD7-868F-E2CC0622895D}"/>
    <cellStyle name="Comma 2 7 2 4 2" xfId="4681" xr:uid="{6547E356-6DE4-4155-A5DD-B88C60F840E5}"/>
    <cellStyle name="Comma 2 7 2 5" xfId="4676" xr:uid="{36BC3922-DD71-4A58-A8B5-6C3260F8CD60}"/>
    <cellStyle name="Comma 2 7 3" xfId="345" xr:uid="{FD3A346A-A752-47C0-8C25-E1B726A5DC09}"/>
    <cellStyle name="Comma 2 7 3 2" xfId="346" xr:uid="{D52043DA-93AC-4176-8339-171081E0FA23}"/>
    <cellStyle name="Comma 2 7 3 2 2" xfId="4683" xr:uid="{979D51DB-6034-4C8F-B0A9-C7D6697BE33B}"/>
    <cellStyle name="Comma 2 7 3 3" xfId="347" xr:uid="{78840F9A-1B5B-42BA-BB87-8B0CEC7F659E}"/>
    <cellStyle name="Comma 2 7 3 3 2" xfId="4684" xr:uid="{629A4713-8190-4BFD-9372-8E9F26290C44}"/>
    <cellStyle name="Comma 2 7 3 4" xfId="4682" xr:uid="{D79BD35B-A045-470C-B828-71F273007AAD}"/>
    <cellStyle name="Comma 2 7 4" xfId="348" xr:uid="{BFC53958-093D-4636-BC92-8A601B4EC4E4}"/>
    <cellStyle name="Comma 2 7 4 2" xfId="4685" xr:uid="{B3AA7E2E-A0E8-41A2-BECC-6A7BF14A616D}"/>
    <cellStyle name="Comma 2 7 5" xfId="349" xr:uid="{3364E525-50C3-41F0-A77F-A62E52156914}"/>
    <cellStyle name="Comma 2 7 5 2" xfId="4686" xr:uid="{F59E5C66-CA9B-44E0-B0AE-85A12896FA87}"/>
    <cellStyle name="Comma 2 7 6" xfId="4675" xr:uid="{36245611-9320-4CED-98AC-F4EE89A79AFA}"/>
    <cellStyle name="Comma 2 8" xfId="350" xr:uid="{BFE2ADEC-AA6D-41B7-B7DA-F97C8542908C}"/>
    <cellStyle name="Comma 2 8 2" xfId="4687" xr:uid="{51271E96-5E0E-4742-A507-0B7965B47559}"/>
    <cellStyle name="Comma 2 9" xfId="351" xr:uid="{CF4B6E5A-01A0-43C1-BB97-7FD463DE55B6}"/>
    <cellStyle name="Comma 20" xfId="352" xr:uid="{7377EDA5-1F52-4C25-B06F-8AD1FE37F241}"/>
    <cellStyle name="Comma 21" xfId="353" xr:uid="{4E753310-54BB-4FDB-A26D-0EC2F222C805}"/>
    <cellStyle name="Comma 22" xfId="354" xr:uid="{78801AAA-19D0-462E-B852-A914A71B64FD}"/>
    <cellStyle name="Comma 23" xfId="355" xr:uid="{2D5BECEC-CE17-4607-9933-F81B8B4AEEB3}"/>
    <cellStyle name="Comma 24" xfId="356" xr:uid="{659DE1E0-C6BB-4E43-8A0B-5DCCFF05AFEE}"/>
    <cellStyle name="Comma 25" xfId="357" xr:uid="{8C78B45C-FB02-4597-82D7-4CEDF52B775C}"/>
    <cellStyle name="Comma 26" xfId="358" xr:uid="{F48F5600-7588-4138-8576-B7EB9F1431D2}"/>
    <cellStyle name="Comma 27" xfId="359" xr:uid="{04C0A552-FE01-44BC-AF4B-72AF36BA8BDD}"/>
    <cellStyle name="Comma 28" xfId="360" xr:uid="{777CED1D-1C71-42F5-B195-FCD7234D7EBA}"/>
    <cellStyle name="Comma 29" xfId="361" xr:uid="{1EE51BBA-02D8-4E77-94BD-301E113EA771}"/>
    <cellStyle name="Comma 3" xfId="362" xr:uid="{6E5E4C88-06D1-4991-860F-35403FCEF83F}"/>
    <cellStyle name="Comma 3 2" xfId="363" xr:uid="{B66DBC5B-3EA2-46BF-9D41-8A188572DAD9}"/>
    <cellStyle name="Comma 3 2 2" xfId="364" xr:uid="{B591EE9D-B0BA-4A4A-B00C-BC878B2DB66E}"/>
    <cellStyle name="Comma 3 2 2 2" xfId="4689" xr:uid="{1304E829-45E8-4838-827E-BB1F393180D3}"/>
    <cellStyle name="Comma 3 2 3" xfId="4688" xr:uid="{34685D99-01EB-47B6-AB1A-17BC2968AF10}"/>
    <cellStyle name="Comma 3 3" xfId="365" xr:uid="{CA4F4813-4911-4FAD-8D95-0866415C94E1}"/>
    <cellStyle name="Comma 3 3 2" xfId="4690" xr:uid="{3102CE71-3BA8-46E6-BB8C-75AE4AB349F5}"/>
    <cellStyle name="Comma 3 4" xfId="366" xr:uid="{2383F1EF-A71C-4210-9493-2C9DB3B34F5D}"/>
    <cellStyle name="Comma 3 4 2" xfId="367" xr:uid="{D7B90AED-A008-4954-A962-6B9A409F0A7C}"/>
    <cellStyle name="Comma 3 4 2 2" xfId="368" xr:uid="{3CA8C5FF-0A7D-4988-8C2F-3E0DE5421B2C}"/>
    <cellStyle name="Comma 3 4 2 2 2" xfId="4693" xr:uid="{A2D22A10-4B50-4B8A-AF24-4E5817A460FD}"/>
    <cellStyle name="Comma 3 4 2 3" xfId="369" xr:uid="{912FD7EF-93FE-4A07-A6AE-9680AA5FC347}"/>
    <cellStyle name="Comma 3 4 2 3 2" xfId="4694" xr:uid="{03AA359F-5488-4DD7-BFF0-207D0B9FBB03}"/>
    <cellStyle name="Comma 3 4 2 4" xfId="4692" xr:uid="{37E4F95A-6E9F-465F-8869-4ED6809BAA5A}"/>
    <cellStyle name="Comma 3 4 3" xfId="370" xr:uid="{342CCB51-03D6-4ECC-93B0-FE4F14700541}"/>
    <cellStyle name="Comma 3 4 3 2" xfId="4695" xr:uid="{AC1569E2-D650-43C6-9B47-A8D63A207D5C}"/>
    <cellStyle name="Comma 3 4 4" xfId="371" xr:uid="{B142EC3D-3521-4804-9720-049706A025CB}"/>
    <cellStyle name="Comma 3 4 4 2" xfId="4696" xr:uid="{E5707C20-9399-4F1F-923D-67F311368553}"/>
    <cellStyle name="Comma 3 4 5" xfId="4691" xr:uid="{85F2E642-AEA5-4C11-A3B8-3C6384A22081}"/>
    <cellStyle name="Comma 3 5" xfId="372" xr:uid="{D10323E2-312C-4912-9013-51319EBA0794}"/>
    <cellStyle name="Comma 3 5 2" xfId="373" xr:uid="{B358380F-0E77-42A5-980E-108A570CBF63}"/>
    <cellStyle name="Comma 3 5 2 2" xfId="374" xr:uid="{9EBCD972-1DC2-4FC6-91E5-B9AA9D08B7EC}"/>
    <cellStyle name="Comma 3 5 2 2 2" xfId="4699" xr:uid="{AD43845F-6757-43E9-8FFE-99D5672D36C7}"/>
    <cellStyle name="Comma 3 5 2 3" xfId="375" xr:uid="{DFECD16F-F151-40EB-956D-D32B481BBD06}"/>
    <cellStyle name="Comma 3 5 2 3 2" xfId="4700" xr:uid="{F554D03D-C323-4D69-84AA-AE169915BC34}"/>
    <cellStyle name="Comma 3 5 2 4" xfId="4698" xr:uid="{B58544A0-4E41-49BA-BBAA-FCF6B93D9991}"/>
    <cellStyle name="Comma 3 5 3" xfId="376" xr:uid="{9CF917F7-897A-4BED-8655-69263ED87D12}"/>
    <cellStyle name="Comma 3 5 3 2" xfId="4701" xr:uid="{39239D9C-7890-47AA-8CF5-F3F0FF73924F}"/>
    <cellStyle name="Comma 3 5 4" xfId="377" xr:uid="{D9DE1B05-EEA0-4145-9703-DC24A01BFFC0}"/>
    <cellStyle name="Comma 3 5 4 2" xfId="4702" xr:uid="{5C9481C2-8E43-4B50-B872-D9F8EFD813CF}"/>
    <cellStyle name="Comma 3 5 5" xfId="4697" xr:uid="{6090C61E-B883-416F-B455-8A6A83FC647B}"/>
    <cellStyle name="Comma 3 6" xfId="378" xr:uid="{D47D9703-FADB-4BB4-9038-6011EACC6994}"/>
    <cellStyle name="Comma 3 6 2" xfId="4703" xr:uid="{4D3C7B71-AA51-4419-83D2-BBD5DCFA41AD}"/>
    <cellStyle name="Comma 3 7" xfId="379" xr:uid="{75235155-1B20-43E9-861D-8A668E9916A5}"/>
    <cellStyle name="Comma 3 7 2" xfId="4704" xr:uid="{BDBB4D40-1E7E-4886-A988-569103394FDD}"/>
    <cellStyle name="Comma 3 8" xfId="380" xr:uid="{267B67AB-F44B-414A-BBE1-AAD6E2305EC1}"/>
    <cellStyle name="Comma 3 9" xfId="381" xr:uid="{2A868C46-C312-4110-9B62-19EC29BF8382}"/>
    <cellStyle name="Comma 30" xfId="382" xr:uid="{9FD1BBC3-9E45-4C35-873B-77903536AEDE}"/>
    <cellStyle name="Comma 31" xfId="383" xr:uid="{12077941-E575-4596-95D4-E704ECE6BDBA}"/>
    <cellStyle name="Comma 32" xfId="384" xr:uid="{D6CF466A-F0C4-4F56-9048-C84DDF9C6FF5}"/>
    <cellStyle name="Comma 33" xfId="385" xr:uid="{43A6AC42-EDF4-44C3-B5C6-C3AF06468997}"/>
    <cellStyle name="Comma 34" xfId="386" xr:uid="{8FE23830-6277-4DE1-B0F7-0E8D03749FE1}"/>
    <cellStyle name="Comma 35" xfId="387" xr:uid="{58745411-D09F-46EF-80E1-4927085ECB1F}"/>
    <cellStyle name="Comma 36" xfId="388" xr:uid="{5AB0D74B-1240-4C85-B5AB-E6E42CC773DE}"/>
    <cellStyle name="Comma 37" xfId="389" xr:uid="{BFC8FFC4-FF19-4284-B9BC-629DF0EB9EF3}"/>
    <cellStyle name="Comma 38" xfId="390" xr:uid="{3B9D1DEC-4FC7-4099-B445-F2708570C994}"/>
    <cellStyle name="Comma 39" xfId="391" xr:uid="{C1C5A943-D900-4190-9E53-4C3E08C69C65}"/>
    <cellStyle name="Comma 4" xfId="392" xr:uid="{1D120BA6-903C-4565-9E99-413178DBE55F}"/>
    <cellStyle name="Comma 4 2" xfId="393" xr:uid="{061AE668-E66B-4B2F-9CAE-1AC0E552C146}"/>
    <cellStyle name="Comma 4 2 2" xfId="4705" xr:uid="{FBF32AD4-47B6-4B12-84B7-604255B7C12E}"/>
    <cellStyle name="Comma 4 3" xfId="394" xr:uid="{6ACEAEF0-FDF0-470B-B452-AF546C7EEA44}"/>
    <cellStyle name="Comma 4 4" xfId="395" xr:uid="{CB2C29B0-3E65-4355-AC2A-45F5E9545DB0}"/>
    <cellStyle name="Comma 40" xfId="396" xr:uid="{F34A357E-F0CF-48AF-BC94-E183FC562B04}"/>
    <cellStyle name="Comma 40 2" xfId="397" xr:uid="{A208CFF3-0BE2-4A7B-8D22-BCDF55182736}"/>
    <cellStyle name="Comma 40 2 2" xfId="4707" xr:uid="{D259A86F-2D16-40E3-A376-A9A7DCD8E710}"/>
    <cellStyle name="Comma 40 3" xfId="4706" xr:uid="{98379620-E710-4A90-B798-5B97AA25FB7A}"/>
    <cellStyle name="Comma 41" xfId="398" xr:uid="{4882C558-05EE-445C-A04F-2C7331E16C10}"/>
    <cellStyle name="Comma 41 2" xfId="399" xr:uid="{B9094715-2F29-40B1-93A5-DC2F9EAFCAB7}"/>
    <cellStyle name="Comma 41 2 2" xfId="4709" xr:uid="{6CAA0173-450A-441C-B971-F1777D678AD1}"/>
    <cellStyle name="Comma 41 3" xfId="4708" xr:uid="{2A9356C5-FC0C-4708-A72E-02B7332F1BEC}"/>
    <cellStyle name="Comma 42" xfId="400" xr:uid="{D33CAF43-6F88-4D24-9AC4-35A4EFE3C45E}"/>
    <cellStyle name="Comma 42 2" xfId="401" xr:uid="{7ED5E9C0-AF9A-429B-B5FA-3615865E2763}"/>
    <cellStyle name="Comma 43" xfId="402" xr:uid="{3E9EA16A-1F74-4F7F-A5D8-03747D51B0C9}"/>
    <cellStyle name="Comma 43 2" xfId="403" xr:uid="{397C8B1F-EC8F-4622-8918-6C03A79057ED}"/>
    <cellStyle name="Comma 44" xfId="404" xr:uid="{9A0C9A56-4D9B-4B7A-A7BA-483B28D33CE4}"/>
    <cellStyle name="Comma 44 2" xfId="405" xr:uid="{39C60102-0FEE-4F89-A09C-37E3520FAC62}"/>
    <cellStyle name="Comma 45" xfId="406" xr:uid="{0BA6E61D-64E2-425A-A011-B0E794E33B0E}"/>
    <cellStyle name="Comma 45 2" xfId="407" xr:uid="{00D6062E-54F1-46A7-9A02-268C6B00D56B}"/>
    <cellStyle name="Comma 45 2 2" xfId="4711" xr:uid="{5DE3E85F-48A5-4843-83EF-DC066F29DED6}"/>
    <cellStyle name="Comma 45 3" xfId="4710" xr:uid="{D7189901-00D4-412E-9092-5B5A3D9B150C}"/>
    <cellStyle name="Comma 46" xfId="408" xr:uid="{E90F6139-7B41-423C-A29E-3362E6C97360}"/>
    <cellStyle name="Comma 46 2" xfId="409" xr:uid="{EBECB337-8F78-4C96-A578-91C1743889DA}"/>
    <cellStyle name="Comma 46 2 2" xfId="4713" xr:uid="{05FF8142-C62B-449D-9881-9CE3710BB148}"/>
    <cellStyle name="Comma 46 3" xfId="4712" xr:uid="{B9D8CCEA-AD08-428C-B4C5-16326241621E}"/>
    <cellStyle name="Comma 47" xfId="410" xr:uid="{79A1FEF4-8E92-4716-AEEE-014414A88D16}"/>
    <cellStyle name="Comma 47 2" xfId="4714" xr:uid="{990DAF1B-F96B-49EC-B4B0-C6B32DAD2F54}"/>
    <cellStyle name="Comma 48" xfId="411" xr:uid="{6C9ADBDE-37B5-4F49-B1D3-FB29B7BC7362}"/>
    <cellStyle name="Comma 48 2" xfId="412" xr:uid="{75BBE6DE-782C-4C44-BF5A-9DF9163411DD}"/>
    <cellStyle name="Comma 48 2 2" xfId="4716" xr:uid="{F3943A21-4E5E-4F56-93C5-9E3D28CCFE32}"/>
    <cellStyle name="Comma 48 3" xfId="4715" xr:uid="{3CE36DFD-09C7-4C4D-9519-FF0A92375E39}"/>
    <cellStyle name="Comma 49" xfId="413" xr:uid="{FB2971CA-6CE7-45E9-921E-242C768BAADC}"/>
    <cellStyle name="Comma 49 2" xfId="414" xr:uid="{06D6F5C5-8508-4506-94C8-16A5A1B61696}"/>
    <cellStyle name="Comma 49 2 2" xfId="4718" xr:uid="{8107104B-6910-44A1-9A25-C4ED1AB1CD5B}"/>
    <cellStyle name="Comma 49 3" xfId="4717" xr:uid="{D99F1442-8F50-48EB-87B7-C8EE360F702A}"/>
    <cellStyle name="Comma 5" xfId="415" xr:uid="{692BB396-EB6B-4A26-8BE8-D99822F57779}"/>
    <cellStyle name="Comma 5 2" xfId="416" xr:uid="{C761E578-79FA-4951-90F2-1E1259191E19}"/>
    <cellStyle name="Comma 5 2 2" xfId="417" xr:uid="{5E284145-D938-4E73-995B-053320C020B0}"/>
    <cellStyle name="Comma 5 2 2 2" xfId="4720" xr:uid="{48716FA2-4748-4594-BA6D-607ADF8C31D0}"/>
    <cellStyle name="Comma 5 2 3" xfId="4719" xr:uid="{B225FD7C-3DA4-4032-878F-BA53A8CC49C9}"/>
    <cellStyle name="Comma 50" xfId="418" xr:uid="{F8B7E65F-D960-45A1-A79A-CAD9CDA9BDB1}"/>
    <cellStyle name="Comma 50 2" xfId="419" xr:uid="{476DBACC-3D0C-45B9-9C54-590D6D5C8EC8}"/>
    <cellStyle name="Comma 50 2 2" xfId="4722" xr:uid="{4E80DDF9-4FB4-419E-98F2-ED388BD81560}"/>
    <cellStyle name="Comma 50 3" xfId="4721" xr:uid="{D307D0FF-EF15-4D78-B390-A0410F55165C}"/>
    <cellStyle name="Comma 51" xfId="420" xr:uid="{7B533DD4-E9C9-4F02-8E59-C6BF39C036EE}"/>
    <cellStyle name="Comma 51 2" xfId="421" xr:uid="{92A7791F-33AB-4231-9E76-01B591B6A9E8}"/>
    <cellStyle name="Comma 51 2 2" xfId="4724" xr:uid="{FD5FC0FD-F026-4D65-8B79-68A391AD47FD}"/>
    <cellStyle name="Comma 51 3" xfId="4723" xr:uid="{6CB2334B-AE00-42EC-B251-C530EC479275}"/>
    <cellStyle name="Comma 52" xfId="422" xr:uid="{4A56A2D0-7098-4066-B40E-49A408AB9EEC}"/>
    <cellStyle name="Comma 52 2" xfId="4725" xr:uid="{12CE7DCC-E84A-4C4A-A767-75DB27F0E23F}"/>
    <cellStyle name="Comma 53" xfId="423" xr:uid="{C5345279-5F3E-473C-80A4-0FD617640D4A}"/>
    <cellStyle name="Comma 53 2" xfId="424" xr:uid="{2C773973-C6A4-4D1B-9F5A-00E0EA89AD96}"/>
    <cellStyle name="Comma 53 2 2" xfId="425" xr:uid="{6A9B4914-8B23-468E-B961-E069919D4154}"/>
    <cellStyle name="Comma 53 2 2 2" xfId="426" xr:uid="{BD8D025E-0F7C-4110-B8B4-D1BDEE28867C}"/>
    <cellStyle name="Comma 53 2 2 2 2" xfId="4729" xr:uid="{F538E316-46C8-40EE-9350-26D393E378E3}"/>
    <cellStyle name="Comma 53 2 2 3" xfId="427" xr:uid="{B3E9139F-69EA-4254-802A-B7819945332A}"/>
    <cellStyle name="Comma 53 2 2 3 2" xfId="4730" xr:uid="{A159258E-F880-4E79-B581-5B889475740A}"/>
    <cellStyle name="Comma 53 2 2 4" xfId="4728" xr:uid="{D2DF2E82-F9AA-4285-B0EE-BE4C85B9BEC0}"/>
    <cellStyle name="Comma 53 2 3" xfId="428" xr:uid="{69ECD426-2A1E-4236-BEA5-9D713CC0543B}"/>
    <cellStyle name="Comma 53 2 3 2" xfId="4731" xr:uid="{34144348-1E4B-4A7F-8DEA-DCA4A8B78DAA}"/>
    <cellStyle name="Comma 53 2 4" xfId="429" xr:uid="{93857FD9-D8A6-4F2E-9243-29BC0234E9EE}"/>
    <cellStyle name="Comma 53 2 4 2" xfId="4732" xr:uid="{014A6D82-A24E-4BAC-A338-998F6D4FDED9}"/>
    <cellStyle name="Comma 53 2 5" xfId="4727" xr:uid="{085FC539-2141-4230-A4B3-6C78467F2B52}"/>
    <cellStyle name="Comma 53 3" xfId="430" xr:uid="{88554F39-5EC8-4C21-B1F2-7EEDF2148F79}"/>
    <cellStyle name="Comma 53 3 2" xfId="431" xr:uid="{10961564-7A2C-4088-8818-D1CA260ADED3}"/>
    <cellStyle name="Comma 53 3 2 2" xfId="4734" xr:uid="{5161222A-3297-4EF0-B3BB-2A4245C45387}"/>
    <cellStyle name="Comma 53 3 3" xfId="432" xr:uid="{4848C5DC-6A46-40B6-BCA4-CAAEB634DACC}"/>
    <cellStyle name="Comma 53 3 3 2" xfId="4735" xr:uid="{18B71B0E-6D4F-4ACE-B0D9-4394169061FB}"/>
    <cellStyle name="Comma 53 3 4" xfId="4733" xr:uid="{DCCB43C7-E706-414F-90C5-FBCE8CF0AE92}"/>
    <cellStyle name="Comma 53 4" xfId="433" xr:uid="{15FD48F4-0408-47C6-99C8-A50A8E8EEC36}"/>
    <cellStyle name="Comma 53 4 2" xfId="4736" xr:uid="{7180174B-2EED-420A-B0C8-B8B50A7E403C}"/>
    <cellStyle name="Comma 53 5" xfId="434" xr:uid="{2EBF1D60-F9B3-4BB7-A84A-E0020880E88F}"/>
    <cellStyle name="Comma 53 5 2" xfId="4737" xr:uid="{B0C8E3FC-0548-44F6-B2DF-4EA7F3C8C968}"/>
    <cellStyle name="Comma 53 6" xfId="4726" xr:uid="{C5A8BCBF-1E43-4DA5-80A2-1A1092C8C806}"/>
    <cellStyle name="Comma 54" xfId="435" xr:uid="{6A1F8564-400E-492C-92AA-1BFA4F77A503}"/>
    <cellStyle name="Comma 54 2" xfId="436" xr:uid="{35AA6E69-9AB9-4F17-9591-D6E7ADF0DF71}"/>
    <cellStyle name="Comma 54 2 2" xfId="437" xr:uid="{BB843A0D-AD48-4CF0-8BFA-532EAE12719D}"/>
    <cellStyle name="Comma 54 2 2 2" xfId="438" xr:uid="{F451B395-886A-48A9-9CA6-8314BC090BBC}"/>
    <cellStyle name="Comma 54 2 2 2 2" xfId="4741" xr:uid="{5AA464E9-159B-4B14-B686-7637366059F2}"/>
    <cellStyle name="Comma 54 2 2 3" xfId="439" xr:uid="{78C49C94-D942-42CE-B29D-72E7DBECD9E2}"/>
    <cellStyle name="Comma 54 2 2 3 2" xfId="4742" xr:uid="{8A805649-F9B5-4BCA-82AF-30514561EB31}"/>
    <cellStyle name="Comma 54 2 2 4" xfId="4740" xr:uid="{BC18162D-4D2C-45A4-8991-3E63EB2DB270}"/>
    <cellStyle name="Comma 54 2 3" xfId="440" xr:uid="{3E97A0F2-3F33-4EB5-A4FE-186EAE59D958}"/>
    <cellStyle name="Comma 54 2 3 2" xfId="4743" xr:uid="{5FC8C640-08DD-4B37-B7EC-57483892B336}"/>
    <cellStyle name="Comma 54 2 4" xfId="441" xr:uid="{AF514E09-6E7C-4D84-BDA0-66B7B1886A4E}"/>
    <cellStyle name="Comma 54 2 4 2" xfId="4744" xr:uid="{6807D836-2382-411F-B3EE-118097FC937F}"/>
    <cellStyle name="Comma 54 2 5" xfId="4739" xr:uid="{EA92356E-29DE-4D85-AE46-93B55C07CF02}"/>
    <cellStyle name="Comma 54 3" xfId="442" xr:uid="{83C47407-92FB-40A6-89A4-BBB9CED83150}"/>
    <cellStyle name="Comma 54 3 2" xfId="443" xr:uid="{0A527831-C498-4996-871A-1D1D75F0F1E9}"/>
    <cellStyle name="Comma 54 3 2 2" xfId="4746" xr:uid="{E3DDC9C8-05DA-473E-A0BE-EEEB8130BAF6}"/>
    <cellStyle name="Comma 54 3 3" xfId="444" xr:uid="{1D003FEE-B08F-43BF-AFD4-EF9A7CE27734}"/>
    <cellStyle name="Comma 54 3 3 2" xfId="4747" xr:uid="{A5050A5E-188F-48EC-877D-5AD24E502B05}"/>
    <cellStyle name="Comma 54 3 4" xfId="4745" xr:uid="{6CFA4D04-0930-436C-ABD8-72201C0903C9}"/>
    <cellStyle name="Comma 54 4" xfId="445" xr:uid="{7C22DFDA-6C4E-47FD-A862-BBFC11F541F3}"/>
    <cellStyle name="Comma 54 4 2" xfId="4748" xr:uid="{62F479BD-3253-4883-A4AF-063A64902AE0}"/>
    <cellStyle name="Comma 54 5" xfId="446" xr:uid="{C70A1C15-2D1F-4404-8DF9-326B899ACBD1}"/>
    <cellStyle name="Comma 54 5 2" xfId="4749" xr:uid="{72107040-A63E-4F6F-9029-577F0659DB8F}"/>
    <cellStyle name="Comma 54 6" xfId="4738" xr:uid="{C93F6A29-FC1B-478D-9463-B41D99C0CFCA}"/>
    <cellStyle name="Comma 55" xfId="447" xr:uid="{C286FF5C-904C-4BB1-9D7E-11364FA9F2BE}"/>
    <cellStyle name="Comma 55 2" xfId="448" xr:uid="{6413F3C4-7404-461A-A9E6-F4A4C15646DC}"/>
    <cellStyle name="Comma 55 2 2" xfId="449" xr:uid="{D802B719-354E-4710-B24E-FEF70EE7F4CC}"/>
    <cellStyle name="Comma 55 2 2 2" xfId="450" xr:uid="{8A957FCD-4AFC-46C6-BEBD-2CD737570511}"/>
    <cellStyle name="Comma 55 2 2 2 2" xfId="4753" xr:uid="{6200DAF8-E01C-4EA0-9725-6CF4A9631F43}"/>
    <cellStyle name="Comma 55 2 2 3" xfId="451" xr:uid="{1D50DDBE-0583-4A58-AA64-599B41B9DA07}"/>
    <cellStyle name="Comma 55 2 2 3 2" xfId="4754" xr:uid="{11C74984-1C61-4BA7-BC37-9B16E9EE67C4}"/>
    <cellStyle name="Comma 55 2 2 4" xfId="4752" xr:uid="{F8B301E7-90C2-4FA5-8A13-6359911DAA92}"/>
    <cellStyle name="Comma 55 2 3" xfId="452" xr:uid="{643A47C8-517C-44DC-BFE2-7F9CEF229026}"/>
    <cellStyle name="Comma 55 2 3 2" xfId="4755" xr:uid="{0FE91FF0-A498-4A83-8916-D0C18B1BF071}"/>
    <cellStyle name="Comma 55 2 4" xfId="453" xr:uid="{C9E0BD85-9C6C-472F-94C9-782C02878E4D}"/>
    <cellStyle name="Comma 55 2 4 2" xfId="4756" xr:uid="{9F4B439A-2182-43E1-886C-046ABAE4FCCF}"/>
    <cellStyle name="Comma 55 2 5" xfId="4751" xr:uid="{70B90DE2-1EAB-4A26-BACD-3412080D1558}"/>
    <cellStyle name="Comma 55 3" xfId="454" xr:uid="{CC330C1B-4474-4B08-9C99-118618BB26BE}"/>
    <cellStyle name="Comma 55 3 2" xfId="455" xr:uid="{1B88CA98-2DE7-413A-A011-8264916EDA8A}"/>
    <cellStyle name="Comma 55 3 2 2" xfId="4758" xr:uid="{CE641A38-1B2F-4FB1-98A8-3C8DD2544C58}"/>
    <cellStyle name="Comma 55 3 3" xfId="456" xr:uid="{56EB67DF-9231-4B4D-99AF-476EAB74E191}"/>
    <cellStyle name="Comma 55 3 3 2" xfId="4759" xr:uid="{D12810E2-FDA9-42A3-99BE-7992CB05A348}"/>
    <cellStyle name="Comma 55 3 4" xfId="4757" xr:uid="{B4793587-B3AF-4F31-802B-53329A3C5894}"/>
    <cellStyle name="Comma 55 4" xfId="457" xr:uid="{AA9A5093-3CA7-48A9-A50D-4836D7F39955}"/>
    <cellStyle name="Comma 55 4 2" xfId="4760" xr:uid="{ECA688A5-4A2A-4991-8D34-60FCF6467F19}"/>
    <cellStyle name="Comma 55 5" xfId="458" xr:uid="{54E63133-92D9-448D-9401-D2FBB2259930}"/>
    <cellStyle name="Comma 55 5 2" xfId="4761" xr:uid="{989B0851-5FB4-46E6-A18E-67B765FE6653}"/>
    <cellStyle name="Comma 55 6" xfId="4750" xr:uid="{37AEE81D-AD89-4635-A68A-B3AB50A66348}"/>
    <cellStyle name="Comma 56" xfId="459" xr:uid="{7DCD8A49-0CA2-4A95-AC45-C80AD78CDBA1}"/>
    <cellStyle name="Comma 56 2" xfId="460" xr:uid="{BBF7CC16-460D-4659-AD6B-460245D02244}"/>
    <cellStyle name="Comma 56 2 2" xfId="461" xr:uid="{359EDC66-C4B9-425B-8302-1A7165AB34FC}"/>
    <cellStyle name="Comma 56 2 2 2" xfId="462" xr:uid="{5EC25683-3C91-49B3-9C31-F38C084AC840}"/>
    <cellStyle name="Comma 56 2 2 2 2" xfId="4765" xr:uid="{1B83887C-9B1E-431B-923F-FA8D9D701D95}"/>
    <cellStyle name="Comma 56 2 2 3" xfId="463" xr:uid="{C54352A5-9C74-4DA3-9E69-998F71E60E97}"/>
    <cellStyle name="Comma 56 2 2 3 2" xfId="4766" xr:uid="{B3CD0F18-EEE4-444A-AFB7-7A16555A2288}"/>
    <cellStyle name="Comma 56 2 2 4" xfId="4764" xr:uid="{AF197F6F-9CA9-4FA4-833E-FBA2F6DD5F84}"/>
    <cellStyle name="Comma 56 2 3" xfId="464" xr:uid="{8B8B4B48-E295-4C46-BCB1-34089B9763D5}"/>
    <cellStyle name="Comma 56 2 3 2" xfId="4767" xr:uid="{CB8066A7-8276-4CD5-A167-F26A983CAA43}"/>
    <cellStyle name="Comma 56 2 4" xfId="465" xr:uid="{81A9D078-7C19-4EFF-AA86-9FD8C8305938}"/>
    <cellStyle name="Comma 56 2 4 2" xfId="4768" xr:uid="{D571B33E-E908-4D08-8F49-D8E46EFDC72F}"/>
    <cellStyle name="Comma 56 2 5" xfId="4763" xr:uid="{C537E77E-2D16-4C31-9E4D-1DF9AE5B78EE}"/>
    <cellStyle name="Comma 56 3" xfId="466" xr:uid="{7ABA4657-F27E-424A-8754-21F3BC6FC1F2}"/>
    <cellStyle name="Comma 56 3 2" xfId="467" xr:uid="{3A082762-4AB8-4D63-BBBB-D1680F238078}"/>
    <cellStyle name="Comma 56 3 2 2" xfId="4770" xr:uid="{CAA51994-34FF-4D39-A9F8-677E39E5C90E}"/>
    <cellStyle name="Comma 56 3 3" xfId="468" xr:uid="{FAD4CFE5-38B8-4703-96AE-10881703DF03}"/>
    <cellStyle name="Comma 56 3 3 2" xfId="4771" xr:uid="{708D5871-3E00-457C-AAA4-039A8831F1E9}"/>
    <cellStyle name="Comma 56 3 4" xfId="4769" xr:uid="{ECD8AB7D-DC8D-4993-80F7-409DD11157C4}"/>
    <cellStyle name="Comma 56 4" xfId="469" xr:uid="{520482C7-C0E1-42F7-94AB-814D4AB2F18B}"/>
    <cellStyle name="Comma 56 4 2" xfId="4772" xr:uid="{253E3E6A-1DE8-4A2A-8C72-87B980E15A6E}"/>
    <cellStyle name="Comma 56 5" xfId="470" xr:uid="{D8F2D733-71C7-49D3-9631-0A939E365439}"/>
    <cellStyle name="Comma 56 5 2" xfId="4773" xr:uid="{49464E95-3F70-457D-BA45-A4C2495A58B1}"/>
    <cellStyle name="Comma 56 6" xfId="4762" xr:uid="{679E0F90-415C-4125-9BBB-C5E68CEC8608}"/>
    <cellStyle name="Comma 57" xfId="471" xr:uid="{3C85220B-A5AC-4CB5-88E1-673F68CBC641}"/>
    <cellStyle name="Comma 57 2" xfId="4774" xr:uid="{39189AB9-DF44-4B6F-BD70-536CF0F5A2AD}"/>
    <cellStyle name="Comma 58" xfId="472" xr:uid="{84CD3D0A-3F65-4EEE-9BD8-58988867603F}"/>
    <cellStyle name="Comma 58 2" xfId="4775" xr:uid="{DF0BEA3A-934C-456F-A4A6-E25BD21E3857}"/>
    <cellStyle name="Comma 59" xfId="473" xr:uid="{05A3077B-E1BB-4170-9E47-D6CFD77331D8}"/>
    <cellStyle name="Comma 59 2" xfId="4776" xr:uid="{F9710117-E990-4C70-8DC7-4F4CEA5C9779}"/>
    <cellStyle name="Comma 6" xfId="474" xr:uid="{D78CF4CC-30B9-4A33-8635-526160C65DC6}"/>
    <cellStyle name="Comma 60" xfId="475" xr:uid="{0F36BD05-BD0D-47DC-9EF2-A9150B5FFE77}"/>
    <cellStyle name="Comma 60 2" xfId="476" xr:uid="{71E35833-ED18-4C4B-89A9-41C8A7A17ABC}"/>
    <cellStyle name="Comma 60 2 2" xfId="4778" xr:uid="{A45EBF11-A9D1-4F34-87C3-648B4B8C6632}"/>
    <cellStyle name="Comma 60 3" xfId="477" xr:uid="{3CD4994D-0AF1-4C3C-81BB-B5FAB0A60D24}"/>
    <cellStyle name="Comma 60 3 2" xfId="4779" xr:uid="{69C77D3E-7264-42D2-8CAB-80D0160B48DB}"/>
    <cellStyle name="Comma 60 4" xfId="4777" xr:uid="{657FE264-CEA9-4934-B818-BFE8D1777126}"/>
    <cellStyle name="Comma 61" xfId="478" xr:uid="{B9B622F0-A367-4A7F-9847-2C540E061934}"/>
    <cellStyle name="Comma 61 2" xfId="479" xr:uid="{392FD973-A93F-43A7-8D47-3324FA882C79}"/>
    <cellStyle name="Comma 61 2 2" xfId="4781" xr:uid="{D179D8AA-A357-48A4-84E6-AE2A7FFDE0DD}"/>
    <cellStyle name="Comma 61 3" xfId="480" xr:uid="{E1FAA424-B5A5-44A2-8974-06FFAC6EF1AB}"/>
    <cellStyle name="Comma 61 3 2" xfId="4782" xr:uid="{347E0DB2-A4BA-439C-BD2A-006DC34133EF}"/>
    <cellStyle name="Comma 61 4" xfId="4780" xr:uid="{20731B33-363E-402E-8ECB-8C454C81B6B5}"/>
    <cellStyle name="Comma 62" xfId="481" xr:uid="{90FF364E-E294-4D61-99C2-8AD21A24615E}"/>
    <cellStyle name="Comma 62 2" xfId="482" xr:uid="{735E0483-ACA0-482B-9046-38E5F537A886}"/>
    <cellStyle name="Comma 62 2 2" xfId="4784" xr:uid="{477C932A-276C-4B69-BC12-47C6EEDCF717}"/>
    <cellStyle name="Comma 62 3" xfId="483" xr:uid="{E0696DB0-BA8D-49B5-8B90-CD5E5F536EDE}"/>
    <cellStyle name="Comma 62 3 2" xfId="4785" xr:uid="{FAA764C1-03C3-48F0-B516-BDC95AC575A1}"/>
    <cellStyle name="Comma 62 4" xfId="4783" xr:uid="{233A7A96-3383-45F8-A3F5-09AFFC45AA8D}"/>
    <cellStyle name="Comma 63" xfId="484" xr:uid="{28B34BDD-7739-4551-A8AF-5C58E310FAF5}"/>
    <cellStyle name="Comma 63 2" xfId="485" xr:uid="{88D50E29-AA57-4730-A381-B9C925ADCDB3}"/>
    <cellStyle name="Comma 63 2 2" xfId="4787" xr:uid="{8C5081EC-F52B-4F98-8CDB-08F753354B36}"/>
    <cellStyle name="Comma 63 3" xfId="486" xr:uid="{27D8F9B8-5E3E-4524-85E8-574D73C655F2}"/>
    <cellStyle name="Comma 63 3 2" xfId="4788" xr:uid="{56EF3494-C344-45AC-B47D-14639B585D3C}"/>
    <cellStyle name="Comma 63 4" xfId="4786" xr:uid="{7D37FA98-E8D7-40D6-B2FD-15C024E7FEDF}"/>
    <cellStyle name="Comma 64" xfId="487" xr:uid="{C3B04321-E438-46C8-9C32-DF30015B2C3D}"/>
    <cellStyle name="Comma 64 2" xfId="488" xr:uid="{AEBEA149-6687-4A67-9C5B-36731D2B5AC2}"/>
    <cellStyle name="Comma 64 2 2" xfId="4790" xr:uid="{04164439-88DB-41B9-B387-618776396222}"/>
    <cellStyle name="Comma 64 3" xfId="489" xr:uid="{2DFE7EBB-E8A3-4F49-A90D-95DC8FCF70CD}"/>
    <cellStyle name="Comma 64 3 2" xfId="4791" xr:uid="{1F630AC1-2A20-4DE7-B4E4-906DDFD428D9}"/>
    <cellStyle name="Comma 64 4" xfId="4789" xr:uid="{2401115E-2171-47B9-A61B-096A7B340234}"/>
    <cellStyle name="Comma 65" xfId="490" xr:uid="{5BD46531-3A21-4A8B-9D02-3DEEF5839ACC}"/>
    <cellStyle name="Comma 65 2" xfId="491" xr:uid="{7B655F10-4C12-4CA0-BB75-ACBF07BEB2F2}"/>
    <cellStyle name="Comma 65 2 2" xfId="4793" xr:uid="{26B885B4-592C-4281-98DA-C8CB702D97BC}"/>
    <cellStyle name="Comma 65 3" xfId="492" xr:uid="{FD56201E-C9CC-4D89-9CEF-1022AA9B3171}"/>
    <cellStyle name="Comma 65 3 2" xfId="4794" xr:uid="{D361F6D0-82E1-4D56-BF1E-7CD30589B945}"/>
    <cellStyle name="Comma 65 4" xfId="4792" xr:uid="{1EB7E21E-C9AF-4E90-83C3-63F102B84837}"/>
    <cellStyle name="Comma 66" xfId="493" xr:uid="{80F7CA13-5B1A-4E43-A8B7-995E5BB43015}"/>
    <cellStyle name="Comma 66 2" xfId="494" xr:uid="{63DF1C26-0170-4C58-99A5-AE2BA550D65E}"/>
    <cellStyle name="Comma 66 2 2" xfId="4796" xr:uid="{15EC5344-928B-4CF5-A4F4-7C80DC4675CC}"/>
    <cellStyle name="Comma 66 3" xfId="495" xr:uid="{1DA442D0-D24B-414D-9339-B56BE6E0E1D6}"/>
    <cellStyle name="Comma 66 3 2" xfId="4797" xr:uid="{B4DE826D-1A71-4E81-AA1F-24A40BFB5E06}"/>
    <cellStyle name="Comma 66 4" xfId="4795" xr:uid="{13354188-21A4-43A9-B515-E2D71232FBAA}"/>
    <cellStyle name="Comma 67" xfId="496" xr:uid="{9DAF9326-E33D-47D3-BA5B-58309C32A830}"/>
    <cellStyle name="Comma 67 2" xfId="497" xr:uid="{69C4C789-AB40-4AC3-91AA-D9A0D4A20077}"/>
    <cellStyle name="Comma 67 2 2" xfId="4799" xr:uid="{215B6486-2860-4127-A7E4-3AF955C59145}"/>
    <cellStyle name="Comma 67 3" xfId="498" xr:uid="{2EA8C90B-BF54-4ACA-9DD9-821216E9F605}"/>
    <cellStyle name="Comma 67 3 2" xfId="4800" xr:uid="{CBB15B5A-A074-4A30-98F8-BE9516F15D1D}"/>
    <cellStyle name="Comma 67 4" xfId="4798" xr:uid="{7474D43C-4FE3-4515-BA70-C96E15D3F0E9}"/>
    <cellStyle name="Comma 68" xfId="499" xr:uid="{484FE47D-30F3-46A0-99C9-55643AB4BDE2}"/>
    <cellStyle name="Comma 68 2" xfId="500" xr:uid="{DCA7EA5C-713F-49D4-83D6-2E2EDB977423}"/>
    <cellStyle name="Comma 68 2 2" xfId="4802" xr:uid="{AA5C3C0A-A07E-4822-A66F-C96D628F949F}"/>
    <cellStyle name="Comma 68 3" xfId="501" xr:uid="{AAFA82F5-880D-4CCE-9B63-9A047351CD89}"/>
    <cellStyle name="Comma 68 3 2" xfId="4803" xr:uid="{F04EA7D2-4966-4389-9EBB-63D0F11E6578}"/>
    <cellStyle name="Comma 68 4" xfId="4801" xr:uid="{20DA6A2C-26BE-44A3-9BC5-151A6E6DD380}"/>
    <cellStyle name="Comma 69" xfId="502" xr:uid="{D3F7EC4C-E7D2-4265-8A80-CBFE36EC90E6}"/>
    <cellStyle name="Comma 69 2" xfId="503" xr:uid="{856A5858-979A-401D-B234-8E74005588C9}"/>
    <cellStyle name="Comma 69 2 2" xfId="4805" xr:uid="{59209754-42AD-467C-AA8E-4DC2DE2E7522}"/>
    <cellStyle name="Comma 69 3" xfId="504" xr:uid="{1242326D-8196-4CBC-9DA2-F0F55614147D}"/>
    <cellStyle name="Comma 69 3 2" xfId="4806" xr:uid="{0E56467B-4493-4116-837F-2A53D4DDC83F}"/>
    <cellStyle name="Comma 69 4" xfId="4804" xr:uid="{F3468B9C-B630-499D-9797-9C77685AD403}"/>
    <cellStyle name="Comma 7" xfId="505" xr:uid="{054D079C-6257-4392-A050-B23BE2C72FA9}"/>
    <cellStyle name="Comma 70" xfId="506" xr:uid="{31AD377B-4D30-4CCF-A363-E5F3BB78761B}"/>
    <cellStyle name="Comma 70 2" xfId="507" xr:uid="{8E56EA29-D748-4811-B87D-FF01A7C7112A}"/>
    <cellStyle name="Comma 70 2 2" xfId="4808" xr:uid="{11660702-1562-4160-9A06-F363B03A0629}"/>
    <cellStyle name="Comma 70 3" xfId="508" xr:uid="{176B540D-CD28-4671-8C73-F7FFB4D21271}"/>
    <cellStyle name="Comma 70 3 2" xfId="4809" xr:uid="{3EA8AD09-A649-44FD-A571-C637E324E994}"/>
    <cellStyle name="Comma 70 4" xfId="4807" xr:uid="{4C5D2931-7AE2-4D66-A55F-6FB8482BD6E5}"/>
    <cellStyle name="Comma 71" xfId="509" xr:uid="{A7A7A7F5-E141-4DD0-8797-9B03B566F986}"/>
    <cellStyle name="Comma 71 2" xfId="510" xr:uid="{2032120E-FFF4-4285-8451-DBABEAC7CE1F}"/>
    <cellStyle name="Comma 71 2 2" xfId="4811" xr:uid="{2BA57785-F676-4596-838F-A7B8FD4A4402}"/>
    <cellStyle name="Comma 71 3" xfId="511" xr:uid="{05FB6D7E-122C-4959-A8C1-100607C775BB}"/>
    <cellStyle name="Comma 71 3 2" xfId="4812" xr:uid="{E3BA279E-FB63-4448-B0F1-81698C5F9811}"/>
    <cellStyle name="Comma 71 4" xfId="4810" xr:uid="{307AA324-78BE-4E4D-A5B8-5F01435BA48C}"/>
    <cellStyle name="Comma 72" xfId="512" xr:uid="{2C976BEF-D2D8-4F06-96B4-A087AFA26A00}"/>
    <cellStyle name="Comma 72 2" xfId="4813" xr:uid="{3E13C0B7-083A-4FA2-A6C1-A643CD3E1DB7}"/>
    <cellStyle name="Comma 73" xfId="513" xr:uid="{DADDD3C6-73E8-4DAB-9E3A-97641FBA20CB}"/>
    <cellStyle name="Comma 73 2" xfId="4814" xr:uid="{E04D6783-E736-4440-B779-B876ECF925FA}"/>
    <cellStyle name="Comma 74" xfId="514" xr:uid="{FAD790A1-9829-4EB1-ADA8-8AF3BABBB3E1}"/>
    <cellStyle name="Comma 74 2" xfId="4815" xr:uid="{D098D185-4C30-4B09-9834-45225205EECB}"/>
    <cellStyle name="Comma 75" xfId="10" xr:uid="{D6699D24-ECF9-421C-9AB9-7C70BF615AAC}"/>
    <cellStyle name="Comma 75 2" xfId="4608" xr:uid="{3075E52A-3A21-4D20-AC94-1DF56C1B78BD}"/>
    <cellStyle name="Comma 76" xfId="4601" xr:uid="{09D6D1B2-0518-4ED7-891F-4AB64B3FC1DD}"/>
    <cellStyle name="Comma 77" xfId="4604" xr:uid="{84533BEC-E3E8-4655-AEDF-D65CE9B06726}"/>
    <cellStyle name="Comma 8" xfId="515" xr:uid="{28CD82B1-1E84-47F6-A363-36E5BD7FED1C}"/>
    <cellStyle name="Comma 9" xfId="516" xr:uid="{079A5930-BA8C-4C02-AB9A-8239F384EE0D}"/>
    <cellStyle name="Comma-[000's]" xfId="517" xr:uid="{936DF2C4-B768-445D-9B6F-D60755381473}"/>
    <cellStyle name="Comma-[000's] 2" xfId="518" xr:uid="{CE40F79F-E483-4027-8DC9-FB4D57F51D85}"/>
    <cellStyle name="Comma-[000's] 2 2" xfId="519" xr:uid="{E93C17ED-6131-40E4-B4A1-04D718E7382A}"/>
    <cellStyle name="Comma-[000's] 3" xfId="520" xr:uid="{29B6DA64-3D16-4455-92EA-6B7557B3A2B0}"/>
    <cellStyle name="Comma0" xfId="521" xr:uid="{5037C208-5328-4FF8-8A1E-EFBE68E903B0}"/>
    <cellStyle name="Commentaire" xfId="522" xr:uid="{DB907251-96B4-4645-88A0-58A5C8FAFF2D}"/>
    <cellStyle name="Commentaire 2" xfId="523" xr:uid="{06276C4F-D186-4E42-AD7B-DB214E453F3C}"/>
    <cellStyle name="Commentaire 2 2" xfId="524" xr:uid="{49BA6C06-7665-4189-B37D-3A4986C358E2}"/>
    <cellStyle name="Commentaire 2 2 2" xfId="525" xr:uid="{B1F83E4D-0FD9-462B-BDCE-D2013DDF6329}"/>
    <cellStyle name="Commentaire 2 2 3" xfId="526" xr:uid="{E732A2B7-D8A4-403E-950F-57F3A753BA7D}"/>
    <cellStyle name="Commentaire 2 3" xfId="527" xr:uid="{07546F59-9947-4B3E-8EAA-825D258C917E}"/>
    <cellStyle name="Commentaire 2 4" xfId="528" xr:uid="{50C6224E-2586-43AF-9885-D8D92E4AF0F0}"/>
    <cellStyle name="Commentaire 3" xfId="529" xr:uid="{C7A787EC-8C69-4B9A-A46E-B3B49F319924}"/>
    <cellStyle name="Couleur Bleu" xfId="530" xr:uid="{96B40519-E0D6-48D2-9CA4-F15F8CE49AB4}"/>
    <cellStyle name="Couleur Fuchsia" xfId="531" xr:uid="{37151A79-A6C6-4860-9165-077DF8C4AE3A}"/>
    <cellStyle name="Couleur Noir" xfId="532" xr:uid="{2DE24735-C449-457F-9186-C6EC230586C1}"/>
    <cellStyle name="Couleur Orange" xfId="533" xr:uid="{662DB298-7D7A-4E2C-AF6E-7FAB845ABE8C}"/>
    <cellStyle name="Couleur Rouge" xfId="534" xr:uid="{2A63AE6E-601A-4DCB-ABED-63877377D2D3}"/>
    <cellStyle name="Couleur Vert" xfId="535" xr:uid="{F61191CF-DC7E-429F-BF5F-89352DE87338}"/>
    <cellStyle name="Couleur Violet" xfId="536" xr:uid="{018E9096-B904-4B3E-B04D-B30D12EE7F35}"/>
    <cellStyle name="Currency [0] 2" xfId="537" xr:uid="{9956A349-8621-4100-9AB1-39AED1292F77}"/>
    <cellStyle name="Currency [0] 2 2" xfId="538" xr:uid="{9E8B16E5-AEAE-4F43-8637-7AC1EB62134D}"/>
    <cellStyle name="Currency [0] 3" xfId="539" xr:uid="{7A2A9F0A-BBC2-4205-9F81-809A95E72924}"/>
    <cellStyle name="Currency [0] 3 2" xfId="540" xr:uid="{E79358C4-2E2C-49C6-B6EE-974002DFB416}"/>
    <cellStyle name="Currency [00]" xfId="541" xr:uid="{28972A73-419D-4C78-AF55-05345C99304C}"/>
    <cellStyle name="Currency 2" xfId="542" xr:uid="{98B46923-4CC5-4117-8EF9-F24C1F16F124}"/>
    <cellStyle name="Currency 2 2" xfId="543" xr:uid="{5B7F796B-D914-4956-8823-408FE790B312}"/>
    <cellStyle name="Currency 3" xfId="544" xr:uid="{84DB362A-9773-4C2D-B9A2-1D2019A47EE8}"/>
    <cellStyle name="Currency 3 2" xfId="545" xr:uid="{2A49AC13-E3D1-48DA-8827-18BC9C34B9AC}"/>
    <cellStyle name="Currency 3 3" xfId="546" xr:uid="{3C80E811-DB0B-45F0-BAB2-52B9F42A9D19}"/>
    <cellStyle name="Currency 3 4" xfId="547" xr:uid="{0676FA49-00DB-464D-B505-A4FC99643195}"/>
    <cellStyle name="Currency 4" xfId="548" xr:uid="{B8E96809-EE45-4280-A406-6AE5BBC258B3}"/>
    <cellStyle name="Currency 5" xfId="549" xr:uid="{D23A537F-8D3C-4595-B8A0-A7699024F88D}"/>
    <cellStyle name="Currency 6" xfId="550" xr:uid="{B3CE3216-4C5E-420D-B806-0E9193D24C81}"/>
    <cellStyle name="Currency 6 2" xfId="551" xr:uid="{A3505936-A112-41CB-9B72-8EA2F725B008}"/>
    <cellStyle name="Currency 6 3" xfId="552" xr:uid="{743CEBD0-C2F8-476E-AE9B-3A00FFB5662F}"/>
    <cellStyle name="Currency0" xfId="553" xr:uid="{80C4CAF0-3C56-43F5-8E05-163E045DAA34}"/>
    <cellStyle name="Currency0 2" xfId="554" xr:uid="{E0F642EB-0760-42F2-BA6D-94A4ACB6AB59}"/>
    <cellStyle name="Dash" xfId="555" xr:uid="{018809CA-0E9A-4FE7-845E-D7AF88BA5EA5}"/>
    <cellStyle name="DATA_ENT" xfId="556" xr:uid="{40FFF9C3-0E31-4783-9436-2F678374D62F}"/>
    <cellStyle name="DataEntry_S@1inputunlinked" xfId="557" xr:uid="{5F40FA90-9BCB-40CE-8D78-077BB40CC486}"/>
    <cellStyle name="date" xfId="558" xr:uid="{50CCCA07-1B81-49B5-9CD8-408620A81159}"/>
    <cellStyle name="Date 2" xfId="559" xr:uid="{533E854D-F2EB-4F49-B147-3E4DCEBC0C0A}"/>
    <cellStyle name="Date 3" xfId="560" xr:uid="{B88A6659-3C11-445F-A855-646BE35A1C84}"/>
    <cellStyle name="Date Short" xfId="561" xr:uid="{F6DDF6F9-1FBE-4889-B964-C783D2CF5F0D}"/>
    <cellStyle name="Date[d-mmm-yy]" xfId="562" xr:uid="{B59DF79F-1FA0-4634-96EC-4DE0B56E483D}"/>
    <cellStyle name="DateFormat" xfId="563" xr:uid="{3047A932-6AC1-4275-A6EC-C5F0D12C2723}"/>
    <cellStyle name="DateTime" xfId="564" xr:uid="{B2E7DB50-FA9B-4FB8-BB98-7566FCEF19C5}"/>
    <cellStyle name="DELTA" xfId="565" xr:uid="{5FFD9AA1-B993-4C0E-80E2-EC10B643C05C}"/>
    <cellStyle name="DELTA 2" xfId="566" xr:uid="{B0468351-6079-46F9-BF9E-1B283DA1924B}"/>
    <cellStyle name="DELTA 3" xfId="567" xr:uid="{B3E946E2-54F3-4508-9D25-7C17CF762405}"/>
    <cellStyle name="DOWNFOOT" xfId="568" xr:uid="{F3EA5685-9EFC-4206-8973-88DF874058F9}"/>
    <cellStyle name="E&amp;Y House" xfId="569" xr:uid="{FB1F8E46-EA81-43AC-9DBD-F06731076BDC}"/>
    <cellStyle name="E&amp;Y House 2" xfId="570" xr:uid="{7987153C-DE4B-4E97-80B5-F9C2347A6236}"/>
    <cellStyle name="E&amp;Y House 3" xfId="571" xr:uid="{DED4EA36-58FC-494A-89AE-E2FEC58566FE}"/>
    <cellStyle name="Eingabe" xfId="1" builtinId="20"/>
    <cellStyle name="Enter Currency (0)" xfId="572" xr:uid="{F6ABE17E-1518-4BE5-995B-02476F7CF63C}"/>
    <cellStyle name="Enter Currency (2)" xfId="573" xr:uid="{FA9DF448-F412-48A7-8FFF-2083A2331B37}"/>
    <cellStyle name="Enter Units (0)" xfId="574" xr:uid="{F4FB3F41-17CD-4624-8B98-732EEBD5BABC}"/>
    <cellStyle name="Enter Units (1)" xfId="575" xr:uid="{231F2348-2B54-492F-ABBD-40642EAA05AD}"/>
    <cellStyle name="Enter Units (2)" xfId="576" xr:uid="{07CA5991-35D3-4A9A-922D-E2A1ADC045C3}"/>
    <cellStyle name="En-tête 1" xfId="577" xr:uid="{9C797D00-7B71-4BCB-8440-D12EA9B26041}"/>
    <cellStyle name="En-tête 2" xfId="578" xr:uid="{D4FD9D37-1A9E-47C8-973A-A7A9727DBBD3}"/>
    <cellStyle name="Entrée" xfId="579" xr:uid="{65290A59-2744-4AD1-91EC-D12EA241A6E5}"/>
    <cellStyle name="Entrée 2" xfId="580" xr:uid="{8B7636FD-2948-43C8-8EE0-C27ADB692706}"/>
    <cellStyle name="Entrée 2 2" xfId="581" xr:uid="{536EAF33-8280-488C-991A-736A334E215C}"/>
    <cellStyle name="Entrée 2 3" xfId="582" xr:uid="{EF01A29A-A701-4477-863C-8CE55378A815}"/>
    <cellStyle name="Entrée 3" xfId="583" xr:uid="{7773CF37-BEFD-419F-A3CF-BBFC5241C812}"/>
    <cellStyle name="Euro" xfId="584" xr:uid="{DDDFD43E-C5DE-4520-A55B-FE699DA6B344}"/>
    <cellStyle name="Euro 2" xfId="585" xr:uid="{10A2AD5A-D9F0-47AF-BE45-A72DD9721E60}"/>
    <cellStyle name="Euro 2 2" xfId="586" xr:uid="{9F46B1FB-85DE-449C-8DCA-2BC680641101}"/>
    <cellStyle name="Euro 2 2 2" xfId="587" xr:uid="{B7AAA654-7EC8-420C-9732-B4781DEA8F93}"/>
    <cellStyle name="Euro 2 3" xfId="588" xr:uid="{ED2CF0A4-01CC-479B-A519-4E6E0BF03AC2}"/>
    <cellStyle name="Euro 2 3 2" xfId="589" xr:uid="{6EEBA0EF-CA23-4B28-AAAB-7CDFC7575058}"/>
    <cellStyle name="Euro 2 3 2 2" xfId="4818" xr:uid="{01EC91A6-B3F0-46FB-A54A-D60747229CD7}"/>
    <cellStyle name="Euro 2 3 3" xfId="4817" xr:uid="{ED8A3B39-5092-403E-BA41-23F22AFCF593}"/>
    <cellStyle name="Euro 2 4" xfId="4816" xr:uid="{1B48018E-9616-47CE-B4D9-5F26D4E22482}"/>
    <cellStyle name="Euro 3" xfId="590" xr:uid="{CCB34B4B-E458-47B8-ACA3-CCFB1E6F7DD1}"/>
    <cellStyle name="Euro 3 2" xfId="591" xr:uid="{26DBAF11-23BE-4771-9B1D-094EA0D591A2}"/>
    <cellStyle name="Euro 3 2 2" xfId="592" xr:uid="{C0EC1C96-C2A4-4AC7-9C01-6716BFA9C87D}"/>
    <cellStyle name="Euro 3 3" xfId="593" xr:uid="{26AF2D8B-4618-4477-80B7-2283CC84C561}"/>
    <cellStyle name="Euro 3 3 2" xfId="594" xr:uid="{BE643B09-B4E8-4D87-8215-D6F49D63DE31}"/>
    <cellStyle name="Euro 3 3 2 2" xfId="4820" xr:uid="{BEC0CF4C-9453-42DE-9F87-72A83662187E}"/>
    <cellStyle name="Euro 3 3 3" xfId="4819" xr:uid="{9E54C734-B8E6-4B24-9E32-5414095B8EC3}"/>
    <cellStyle name="Euro 3 4" xfId="595" xr:uid="{A37F8B84-EAC6-41DC-9036-43F80D0083C6}"/>
    <cellStyle name="Euro 4" xfId="596" xr:uid="{FB1576CB-AE1B-4B77-A6CF-8A99FAAA889C}"/>
    <cellStyle name="Euro 4 2" xfId="597" xr:uid="{2C28761A-1352-4A70-A142-4FF332EF88F3}"/>
    <cellStyle name="Euro 5" xfId="598" xr:uid="{4E12F88C-4B24-4827-8052-2CE26984023A}"/>
    <cellStyle name="Euro 6" xfId="599" xr:uid="{AFBE384C-5CF1-4E2F-9E21-4E026DEC38C1}"/>
    <cellStyle name="Euro_EPF071 Suivi DG au 30 09 2009" xfId="600" xr:uid="{9E3C0EB2-7797-47C5-97F9-819B8B942786}"/>
    <cellStyle name="Excel Built-in Normal" xfId="601" xr:uid="{89A1C381-6031-4D2B-8616-CCADE34799B4}"/>
    <cellStyle name="Excel Built-in Normal 2" xfId="602" xr:uid="{2C6B001B-AABE-4B4F-8059-BA0D98A427CF}"/>
    <cellStyle name="Explanatory Text 2" xfId="603" xr:uid="{A2D881E2-B467-4485-BDC9-881D1DE30E21}"/>
    <cellStyle name="Financier0" xfId="604" xr:uid="{455FA4C5-9F33-4AEE-8920-60F454F4ED44}"/>
    <cellStyle name="Fixed" xfId="605" xr:uid="{0B2E5B88-8859-4EAA-A5B1-E1AFEA61CC28}"/>
    <cellStyle name="Formel" xfId="606" xr:uid="{F1C5DF62-05BF-42E0-B370-2D7946C8353A}"/>
    <cellStyle name="FullTime" xfId="607" xr:uid="{484131F1-1B23-4D48-B0DF-BDC63E9B0702}"/>
    <cellStyle name="Good 2" xfId="608" xr:uid="{1FA28C0C-3AD8-4A96-884E-36C4289DD521}"/>
    <cellStyle name="Grey" xfId="609" xr:uid="{8061C971-337A-4EEF-B929-0A9F63B669BD}"/>
    <cellStyle name="GreybarHeader" xfId="610" xr:uid="{04B32C0E-F451-467F-8689-A11744330EB0}"/>
    <cellStyle name="GreybarHeader 2" xfId="611" xr:uid="{40A4CE24-E090-43FF-8ABF-0C78DBA85893}"/>
    <cellStyle name="header" xfId="612" xr:uid="{12658126-08F3-4A0C-B293-8E085A9619B7}"/>
    <cellStyle name="Header1" xfId="613" xr:uid="{526758E9-2D84-4FDB-B5F3-3AC6618B1C9D}"/>
    <cellStyle name="Header2" xfId="614" xr:uid="{E2008753-173E-432E-A37E-F342B1CAD882}"/>
    <cellStyle name="Header2 2" xfId="615" xr:uid="{5FA98E0D-C936-4DC7-9C25-F1BFDA3F5F9D}"/>
    <cellStyle name="Header2 3" xfId="616" xr:uid="{8518ACD5-0500-4416-ACB4-87F46CB20EEF}"/>
    <cellStyle name="Heading 1 2" xfId="617" xr:uid="{4A4E468A-03C3-429E-AB0B-38D4483644B7}"/>
    <cellStyle name="Heading 1 3" xfId="618" xr:uid="{B7CD00FE-2406-4081-BC4E-F3B2B414495B}"/>
    <cellStyle name="Heading 2 2" xfId="619" xr:uid="{860D3C08-05A5-4698-A0A6-E74240E10931}"/>
    <cellStyle name="Heading 2 3" xfId="620" xr:uid="{B6A26AB5-60E3-41CD-9422-D93E2DED3AED}"/>
    <cellStyle name="Heading 3 2" xfId="621" xr:uid="{89188DCF-F680-4E89-881B-A16021834214}"/>
    <cellStyle name="Heading 4 2" xfId="622" xr:uid="{D495AD96-EF0A-4A61-8A05-FC1970370592}"/>
    <cellStyle name="helv" xfId="623" xr:uid="{4E2492C1-B695-4149-BF1E-42157C1FB2DC}"/>
    <cellStyle name="helv 2" xfId="624" xr:uid="{9267A1A5-6C3C-41AC-A8BC-D1C602BADDE9}"/>
    <cellStyle name="hotlinks" xfId="625" xr:uid="{EF618861-6991-4E5A-B596-1D2448974EDB}"/>
    <cellStyle name="Hyperlink 2" xfId="626" xr:uid="{FE5AC083-9077-401B-BCBD-7AE87DF8C7FF}"/>
    <cellStyle name="Hyperlink 2 2" xfId="627" xr:uid="{746480B1-1130-4572-AFFC-3DFDE791BE4A}"/>
    <cellStyle name="Input [yellow]" xfId="628" xr:uid="{D5050B33-2175-4385-B853-32C3A66C95EA}"/>
    <cellStyle name="Input 10" xfId="629" xr:uid="{8B2D2DAB-27CE-4ABD-BDBD-EE82672FF3F2}"/>
    <cellStyle name="Input 10 2" xfId="630" xr:uid="{08A820B4-25AF-4302-BB6B-9A304FDB2B78}"/>
    <cellStyle name="Input 10 3" xfId="631" xr:uid="{9532C82C-1760-4775-8EB9-7D39EA289C64}"/>
    <cellStyle name="Input 11" xfId="632" xr:uid="{A7AABC6C-2E08-42E8-8046-57C317453B4A}"/>
    <cellStyle name="Input 11 2" xfId="633" xr:uid="{D1822611-6064-4D1A-B6B5-77695FA34299}"/>
    <cellStyle name="Input 11 3" xfId="634" xr:uid="{ECDAD746-6560-4182-9916-8E195D2B627B}"/>
    <cellStyle name="Input 12" xfId="635" xr:uid="{E43D4228-F30E-415C-9909-AA6A2554F46A}"/>
    <cellStyle name="Input 12 2" xfId="636" xr:uid="{7E14F544-E422-4174-B1C6-097CF916A73F}"/>
    <cellStyle name="Input 12 3" xfId="637" xr:uid="{07726C37-58DC-4B9F-BA78-5E92A84C30D9}"/>
    <cellStyle name="Input 13" xfId="638" xr:uid="{423A7109-FCC0-4D67-8071-53699042ADC6}"/>
    <cellStyle name="Input 13 2" xfId="639" xr:uid="{6DEF5D49-0165-46AC-A108-144B0F8E0FFB}"/>
    <cellStyle name="Input 13 3" xfId="640" xr:uid="{C5542804-4F65-43F8-822D-CD8DDEC06F05}"/>
    <cellStyle name="Input 14" xfId="641" xr:uid="{1F5A4873-ECFF-4471-8F5B-3404DFB6167E}"/>
    <cellStyle name="Input 14 2" xfId="642" xr:uid="{037173B9-8382-46AD-B46E-380A63F98F5E}"/>
    <cellStyle name="Input 14 3" xfId="643" xr:uid="{69EE6965-55FA-4657-BBEA-AE491E0E0C26}"/>
    <cellStyle name="Input 15" xfId="644" xr:uid="{E30190EB-580A-4318-8AD2-5D10438F953A}"/>
    <cellStyle name="Input 15 2" xfId="645" xr:uid="{60DFF7EA-D6D1-400A-AC7A-D8EDC76B5185}"/>
    <cellStyle name="Input 15 3" xfId="646" xr:uid="{F07A5782-2D57-4D19-8C2D-65787E80DFA5}"/>
    <cellStyle name="Input 16" xfId="647" xr:uid="{561B9CEE-B764-4A3B-87F9-878549D45892}"/>
    <cellStyle name="Input 16 2" xfId="648" xr:uid="{1544C1BA-39EA-49CD-A205-4B9F647487CE}"/>
    <cellStyle name="Input 16 3" xfId="649" xr:uid="{F5C25290-01CB-4B23-821E-332F737868EA}"/>
    <cellStyle name="Input 17" xfId="650" xr:uid="{88D66E41-539E-4CB7-A6DF-9E7E17674C30}"/>
    <cellStyle name="Input 17 2" xfId="651" xr:uid="{F8340924-1A9B-4920-A7F8-A93A108FAAD0}"/>
    <cellStyle name="Input 17 3" xfId="652" xr:uid="{0E0E762F-803D-452B-8209-608C50305CE5}"/>
    <cellStyle name="Input 18" xfId="653" xr:uid="{19F39EBA-8554-451A-AE3D-F131EBFD749A}"/>
    <cellStyle name="Input 18 2" xfId="654" xr:uid="{4D786FD3-B8B6-4E3F-B622-E5D5680B89BB}"/>
    <cellStyle name="Input 18 3" xfId="655" xr:uid="{9C9D1A03-A864-4244-A962-D894B40DE35B}"/>
    <cellStyle name="Input 19" xfId="656" xr:uid="{9B056950-E420-475A-BCDF-10155B6C1A69}"/>
    <cellStyle name="Input 19 2" xfId="657" xr:uid="{098CA62A-E753-4E7D-AAAE-29AD9C93EDD3}"/>
    <cellStyle name="Input 19 3" xfId="658" xr:uid="{47FA7BC4-D141-48CE-B78C-3EE1552A5446}"/>
    <cellStyle name="Input 2" xfId="659" xr:uid="{7F86F5F1-CC94-420C-968D-9F3F01C66A89}"/>
    <cellStyle name="Input 20" xfId="660" xr:uid="{795C5E30-B9FA-4BA3-8DDA-235F10C69227}"/>
    <cellStyle name="Input 20 2" xfId="661" xr:uid="{BD7CF62A-A772-41AE-91DF-5D14BDA10FDB}"/>
    <cellStyle name="Input 20 3" xfId="662" xr:uid="{E3444D29-05A8-4AD7-B8B1-0EC266D4364F}"/>
    <cellStyle name="Input 21" xfId="663" xr:uid="{0391B5DC-6C9C-4E60-82C6-C9CD922A3060}"/>
    <cellStyle name="Input 21 2" xfId="664" xr:uid="{A805ED68-2903-4FE0-B5BF-A9E3F5885376}"/>
    <cellStyle name="Input 21 3" xfId="665" xr:uid="{6BE72ED0-1F7C-4C4C-816F-E7A4A0A3CBEB}"/>
    <cellStyle name="Input 22" xfId="666" xr:uid="{88FDBFE6-C82D-43FE-8789-578D5F2CE5A8}"/>
    <cellStyle name="Input 22 2" xfId="667" xr:uid="{608B8ACC-6EAE-44CC-9DEE-6253B45E490B}"/>
    <cellStyle name="Input 22 3" xfId="668" xr:uid="{2AECA27D-C932-47C0-A93A-0D408282B6AF}"/>
    <cellStyle name="Input 23" xfId="669" xr:uid="{656C9912-9083-4642-B0E7-6A86210A26F6}"/>
    <cellStyle name="Input 23 2" xfId="670" xr:uid="{E4F9450C-B1A7-44F2-BB5D-3797529DAF6F}"/>
    <cellStyle name="Input 23 3" xfId="671" xr:uid="{B9723037-1A17-4462-8E58-7EA52ACAD43A}"/>
    <cellStyle name="Input 24" xfId="672" xr:uid="{C6A4B77D-3723-4A77-9E3C-C131E5ED4FFD}"/>
    <cellStyle name="Input 24 2" xfId="673" xr:uid="{415A21AA-D629-430D-B662-9B527AB8D760}"/>
    <cellStyle name="Input 24 3" xfId="674" xr:uid="{F3D3212F-F9E8-446F-B3C6-67B713EDDFAE}"/>
    <cellStyle name="Input 25" xfId="675" xr:uid="{004A49CC-11B5-4A63-9959-07B87202F519}"/>
    <cellStyle name="Input 25 2" xfId="676" xr:uid="{0FD01F00-838E-4868-82C1-8390DC141CA5}"/>
    <cellStyle name="Input 25 3" xfId="677" xr:uid="{9A5B608A-9430-47D9-83CB-5295A3EFAF56}"/>
    <cellStyle name="Input 26" xfId="678" xr:uid="{F9FAEA9D-6394-4F37-8DC3-1660653D8D8B}"/>
    <cellStyle name="Input 26 2" xfId="679" xr:uid="{CB31183F-B91E-4F55-9A9F-5B19AC1DEB62}"/>
    <cellStyle name="Input 26 3" xfId="680" xr:uid="{11DDCFB1-4D82-425B-90F7-B0EDEF0BDAA9}"/>
    <cellStyle name="Input 27" xfId="681" xr:uid="{D57FC281-5A74-43A3-9D06-66A6BF608485}"/>
    <cellStyle name="Input 27 2" xfId="682" xr:uid="{41A24A05-4A24-4870-B61A-6A1774A91183}"/>
    <cellStyle name="Input 27 3" xfId="683" xr:uid="{F383ACEB-0500-4887-BC26-1517BBB55652}"/>
    <cellStyle name="Input 28" xfId="684" xr:uid="{5E0BC6B3-C1C1-4A41-B92D-51D1E5F64D98}"/>
    <cellStyle name="Input 28 2" xfId="685" xr:uid="{1208E35C-53CF-45F9-AE38-3A4E486DA43D}"/>
    <cellStyle name="Input 28 3" xfId="686" xr:uid="{D959C888-8069-4770-B43D-1D4276ACC263}"/>
    <cellStyle name="Input 29" xfId="687" xr:uid="{8B481256-4EB4-4095-8671-8A2EEF5A9712}"/>
    <cellStyle name="Input 29 2" xfId="688" xr:uid="{89406472-DD56-4C8B-8D1C-3BBF8A9A6E89}"/>
    <cellStyle name="Input 29 3" xfId="689" xr:uid="{83BFDCA7-EBE1-4405-952C-79002C82B1BC}"/>
    <cellStyle name="Input 3" xfId="690" xr:uid="{87A21549-4B72-479E-8BCA-C0CB109021FB}"/>
    <cellStyle name="Input 3 2" xfId="691" xr:uid="{B8A1F409-CBE8-4E8A-88A9-4EA2535EC874}"/>
    <cellStyle name="Input 3 3" xfId="692" xr:uid="{C00B0B85-C863-4FFD-8D13-3B2C1333389A}"/>
    <cellStyle name="Input 30" xfId="693" xr:uid="{80F03398-1C27-4574-8DB7-4F08F0998E89}"/>
    <cellStyle name="Input 30 2" xfId="694" xr:uid="{86933A8D-81C2-42C3-8802-0DACE0EDEE66}"/>
    <cellStyle name="Input 30 3" xfId="695" xr:uid="{8E2BEC39-F68F-43A1-941F-F775A6091C02}"/>
    <cellStyle name="Input 31" xfId="696" xr:uid="{07DB40A7-3408-44BB-BB0A-98C5B4B526D9}"/>
    <cellStyle name="Input 31 2" xfId="697" xr:uid="{97332103-295F-4E54-A9EE-E723A349BCC0}"/>
    <cellStyle name="Input 31 3" xfId="698" xr:uid="{E7711854-AB72-4113-B1D4-2333C2108E83}"/>
    <cellStyle name="Input 32" xfId="699" xr:uid="{ED29C65E-69E0-4B9F-B10D-BAB2E753B49C}"/>
    <cellStyle name="Input 32 2" xfId="700" xr:uid="{AAD86C93-5A01-4B67-ADA2-6544718FBE66}"/>
    <cellStyle name="Input 32 3" xfId="701" xr:uid="{8255D469-779F-49EB-9DF5-ED08C819AC68}"/>
    <cellStyle name="Input 33" xfId="702" xr:uid="{47D67BAE-4743-4DA1-9C10-BEB77D411D58}"/>
    <cellStyle name="Input 33 2" xfId="703" xr:uid="{32DDC0B7-7559-4E4E-8F5F-63FC8B23BCE3}"/>
    <cellStyle name="Input 33 3" xfId="704" xr:uid="{AE1FADBA-D8B3-4772-AF0A-F3F47ACDEE79}"/>
    <cellStyle name="Input 34" xfId="705" xr:uid="{5933DE2E-A9FB-4FC9-9FF5-BDDAE17276A2}"/>
    <cellStyle name="Input 34 2" xfId="706" xr:uid="{AA5596FC-AD2A-46B4-932B-BE6313CAF517}"/>
    <cellStyle name="Input 34 3" xfId="707" xr:uid="{E44C489A-4829-4305-8392-B18E7C153B36}"/>
    <cellStyle name="Input 35" xfId="708" xr:uid="{6B6BB95F-4009-45CB-876A-180132F22579}"/>
    <cellStyle name="Input 35 2" xfId="709" xr:uid="{C3D2DF27-5C27-4A8A-88E8-7458857E4BA6}"/>
    <cellStyle name="Input 35 3" xfId="710" xr:uid="{323C6C67-95C6-4B08-922D-8B1C269EB0CC}"/>
    <cellStyle name="Input 36" xfId="711" xr:uid="{3199786C-0DA3-45A0-9C06-FD744CF3C134}"/>
    <cellStyle name="Input 36 2" xfId="712" xr:uid="{A45E6A13-F8B5-485B-BC6E-0E03C58DF34A}"/>
    <cellStyle name="Input 36 3" xfId="713" xr:uid="{779D3025-04DA-411E-A94E-236D716F84A2}"/>
    <cellStyle name="Input 4" xfId="714" xr:uid="{A5093A11-81E6-44F1-9887-B40FB29901DB}"/>
    <cellStyle name="Input 4 2" xfId="715" xr:uid="{77936C09-A058-4416-B867-3A53DC183B07}"/>
    <cellStyle name="Input 4 3" xfId="716" xr:uid="{BEA229CB-4EE3-45B5-93BD-29FE8B03838A}"/>
    <cellStyle name="Input 5" xfId="717" xr:uid="{5997D1F6-9B53-4665-841E-DB4934300B36}"/>
    <cellStyle name="Input 5 2" xfId="718" xr:uid="{9A1E61A9-B94F-47BC-B599-F1FE469AC675}"/>
    <cellStyle name="Input 5 3" xfId="719" xr:uid="{6E025D6B-FA25-46E5-8ED4-03ABEDF806A7}"/>
    <cellStyle name="Input 6" xfId="720" xr:uid="{605ED4F8-1441-4AAE-A7DB-7F2E8463E955}"/>
    <cellStyle name="Input 6 2" xfId="721" xr:uid="{A7751BC9-CBF3-4D78-8326-EE94A46E4323}"/>
    <cellStyle name="Input 6 3" xfId="722" xr:uid="{EC4B53D5-5BA9-4A58-BF18-3070510AFE49}"/>
    <cellStyle name="Input 7" xfId="723" xr:uid="{880EB6DF-FEA6-479F-B3AB-A3C97B09DC65}"/>
    <cellStyle name="Input 7 2" xfId="724" xr:uid="{E5595DB3-828B-473C-B3D5-AB50B535F727}"/>
    <cellStyle name="Input 7 3" xfId="725" xr:uid="{A3674C42-3449-4D33-A51D-89F66DB8A4AF}"/>
    <cellStyle name="Input 8" xfId="726" xr:uid="{A88F83B0-66F2-48A9-8CAA-CEB3015A4DEF}"/>
    <cellStyle name="Input 8 2" xfId="727" xr:uid="{16D6910E-CDAB-4206-BBE4-73306069FA48}"/>
    <cellStyle name="Input 8 3" xfId="728" xr:uid="{F4A54930-5DDF-45BD-8DC3-E7DDDAE49208}"/>
    <cellStyle name="Input 9" xfId="729" xr:uid="{8542BD1C-1AA8-47FB-94AD-51CEDD7988D6}"/>
    <cellStyle name="Input 9 2" xfId="730" xr:uid="{CD042244-4EEB-40C7-92B3-E6EF2E6C3E08}"/>
    <cellStyle name="Input 9 3" xfId="731" xr:uid="{84514D3C-9649-430B-BF4C-2DDEBCF9AB00}"/>
    <cellStyle name="Inputs" xfId="732" xr:uid="{ADD71834-2EDC-45C3-A5BB-6E6552C9C97E}"/>
    <cellStyle name="Insatisfaisant" xfId="733" xr:uid="{3AF7B78D-DBDA-47E4-9B33-9EDBCE0D9FFB}"/>
    <cellStyle name="Insatisfaisant 2" xfId="734" xr:uid="{5E0AA253-9AAA-4FEB-8767-B6EDBAC52F31}"/>
    <cellStyle name="intro" xfId="735" xr:uid="{0AC963D6-3506-4535-BD5B-C4524BDAAD6A}"/>
    <cellStyle name="ItalicHeader" xfId="736" xr:uid="{FD97AC52-CCE8-4507-A314-F06B613CEE39}"/>
    <cellStyle name="JLL" xfId="737" xr:uid="{34908CBE-2446-43A3-AAAD-CE7284C27DBF}"/>
    <cellStyle name="JLL 2" xfId="738" xr:uid="{D353C846-BBA9-4454-878B-3B262E22E443}"/>
    <cellStyle name="Komma" xfId="6" builtinId="3"/>
    <cellStyle name="Komma 2" xfId="8" xr:uid="{10236E4D-EF86-4C1D-A9BA-0BB9123D29A0}"/>
    <cellStyle name="Komma 2 2" xfId="740" xr:uid="{98C4AF88-67E1-4F71-B901-C60F59A8EC39}"/>
    <cellStyle name="Komma 2 2 2" xfId="741" xr:uid="{4377B709-355C-4F18-AE39-0CE9F3F2825B}"/>
    <cellStyle name="Komma 2 3" xfId="742" xr:uid="{8B4A9894-1E63-4EBA-A05E-84D04E57ED49}"/>
    <cellStyle name="Komma 2 3 2" xfId="4822" xr:uid="{F891B366-7462-4610-A3B7-D4CCC5BE65F2}"/>
    <cellStyle name="Komma 2 4" xfId="739" xr:uid="{7D06842E-5B01-433C-B8A8-3B3F162436B0}"/>
    <cellStyle name="Komma 2 5" xfId="4821" xr:uid="{A729D900-C08F-4738-882A-247C7DD5C7A4}"/>
    <cellStyle name="Komma 3" xfId="743" xr:uid="{8BE5D751-4822-48E9-9536-6C5F7FBF4B18}"/>
    <cellStyle name="Komma 3 2" xfId="744" xr:uid="{2C8E03D5-B985-4E7B-B9E4-BF1DE5FDAFAD}"/>
    <cellStyle name="Komma 4" xfId="745" xr:uid="{22E812B4-84ED-484A-85B2-0A05A048ABAD}"/>
    <cellStyle name="Komma 4 2" xfId="4823" xr:uid="{46A26756-BD45-40B4-95B1-EBC21998B5A6}"/>
    <cellStyle name="lettre" xfId="746" xr:uid="{AD76D938-1D14-427C-9295-D234A6F5D26A}"/>
    <cellStyle name="lettre 2" xfId="747" xr:uid="{EFF984C7-0632-4C89-9A27-CF8E4CF49AB3}"/>
    <cellStyle name="lettre 2 2" xfId="748" xr:uid="{EC9CE7EE-42A7-4690-9862-FE25EC07C5A0}"/>
    <cellStyle name="Link" xfId="5" builtinId="8"/>
    <cellStyle name="Link Currency (0)" xfId="749" xr:uid="{8F230709-CEA3-4F25-BF84-123CD14D983C}"/>
    <cellStyle name="Link Currency (2)" xfId="750" xr:uid="{D6435AA0-703A-4341-9340-6EEFBC3567E7}"/>
    <cellStyle name="Link Units (0)" xfId="751" xr:uid="{C8035D19-2626-400E-A970-E1BCFC50F6FC}"/>
    <cellStyle name="Link Units (1)" xfId="752" xr:uid="{2D2F71C7-2D4D-4B3A-84D6-DFE778C2B4DC}"/>
    <cellStyle name="Link Units (2)" xfId="753" xr:uid="{237F40D9-6284-43A9-B55C-75A1DD67894A}"/>
    <cellStyle name="Linked Cell 2" xfId="754" xr:uid="{5EB82698-2B08-441C-B578-3C01CC608601}"/>
    <cellStyle name="MacroComment" xfId="755" xr:uid="{E40A22A7-680D-4387-8254-A3731CC76D9A}"/>
    <cellStyle name="MacroHeading" xfId="756" xr:uid="{4E8F3CB9-40A0-49A1-A2FC-82853B3CBB83}"/>
    <cellStyle name="MAND_x000a_CHECK.COMMAND_x000e_RENAME.COMMAND_x0008_SHOW.BAR_x000b_DELETE.MENU_x000e_DELETE.COMMAND_x000e_GET.CHA" xfId="757" xr:uid="{4E530946-8DB1-48C3-BBC5-FF5AA97DC2A7}"/>
    <cellStyle name="MAND_x000a_CHECK.COMMAND_x000e_RENAME.COMMAND_x0008_SHOW.BAR_x000b_DELETE.MENU_x000e_DELETE.COMMAND_x000e_GET.CHA 2" xfId="758" xr:uid="{18E80256-2087-4B0A-9DC9-BBE90D3149C7}"/>
    <cellStyle name="MAND_x000a_CHECK.COMMAND_x000e_RENAME.COMMAND_x0008_SHOW.BAR_x000b_DELETE.MENU_x000e_DELETE.COMMAND_x000e_GET.CHA 2 2" xfId="759" xr:uid="{3C197EC0-CA55-4166-B94E-FA84DE7B2C6C}"/>
    <cellStyle name="MAND_x000a_CHECK.COMMAND_x000e_RENAME.COMMAND_x0008_SHOW.BAR_x000b_DELETE.MENU_x000e_DELETE.COMMAND_x000e_GET.CHA 2 2 2" xfId="760" xr:uid="{F0D2F551-A205-49CB-9431-C228626879F6}"/>
    <cellStyle name="MAND_x000a_CHECK.COMMAND_x000e_RENAME.COMMAND_x0008_SHOW.BAR_x000b_DELETE.MENU_x000e_DELETE.COMMAND_x000e_GET.CHA 2 2 2 2" xfId="761" xr:uid="{205881C4-03B1-4534-8DA7-81DE44F52A4E}"/>
    <cellStyle name="MAND_x000a_CHECK.COMMAND_x000e_RENAME.COMMAND_x0008_SHOW.BAR_x000b_DELETE.MENU_x000e_DELETE.COMMAND_x000e_GET.CHA 2 3" xfId="762" xr:uid="{8EF3AE6F-D6B3-455B-9552-1C5ECF8948EB}"/>
    <cellStyle name="MAND_x000a_CHECK.COMMAND_x000e_RENAME.COMMAND_x0008_SHOW.BAR_x000b_DELETE.MENU_x000e_DELETE.COMMAND_x000e_GET.CHA 2 3 2" xfId="763" xr:uid="{867E6530-AD51-4CC3-B251-C17FD87F233A}"/>
    <cellStyle name="MAND_x000a_CHECK.COMMAND_x000e_RENAME.COMMAND_x0008_SHOW.BAR_x000b_DELETE.MENU_x000e_DELETE.COMMAND_x000e_GET.CHA 2 4" xfId="764" xr:uid="{FD02454D-BAC8-495F-8D04-72959E0110A2}"/>
    <cellStyle name="MAND_x000a_CHECK.COMMAND_x000e_RENAME.COMMAND_x0008_SHOW.BAR_x000b_DELETE.MENU_x000e_DELETE.COMMAND_x000e_GET.CHA 3" xfId="765" xr:uid="{0480BE6F-0FCA-43CE-9E72-1F70E59A424D}"/>
    <cellStyle name="MAND_x000a_CHECK.COMMAND_x000e_RENAME.COMMAND_x0008_SHOW.BAR_x000b_DELETE.MENU_x000e_DELETE.COMMAND_x000e_GET.CHA 3 2" xfId="766" xr:uid="{FB5C0F93-C4BD-406E-9468-D2C7AF437DC6}"/>
    <cellStyle name="MAND_x000a_CHECK.COMMAND_x000e_RENAME.COMMAND_x0008_SHOW.BAR_x000b_DELETE.MENU_x000e_DELETE.COMMAND_x000e_GET.CHA 4" xfId="767" xr:uid="{0B94C260-4A87-4152-A223-B3876DD64B40}"/>
    <cellStyle name="MAND_x000a_CHECK.COMMAND_x000e_RENAME.COMMAND_x0008_SHOW.BAR_x000b_DELETE.MENU_x000e_DELETE.COMMAND_x000e_GET.CHA 4 2" xfId="768" xr:uid="{A98830D1-E050-4732-994C-0068C7D59C99}"/>
    <cellStyle name="MAND_x000a_CHECK.COMMAND_x000e_RENAME.COMMAND_x0008_SHOW.BAR_x000b_DELETE.MENU_x000e_DELETE.COMMAND_x000e_GET.CHA 5" xfId="769" xr:uid="{24968DE2-075B-4984-B82B-496174B486EF}"/>
    <cellStyle name="MAND_x000a_CHECK.COMMAND_x000e_RENAME.COMMAND_x0008_SHOW.BAR_x000b_DELETE.MENU_x000e_DELETE.COMMAND_x000e_GET.CHA 5 2" xfId="770" xr:uid="{D19F64A9-89EE-4DDC-9DF4-DDA93425DEC0}"/>
    <cellStyle name="MAND_x000a_CHECK.COMMAND_x000e_RENAME.COMMAND_x0008_SHOW.BAR_x000b_DELETE.MENU_x000e_DELETE.COMMAND_x000e_GET.CHA 6" xfId="771" xr:uid="{A53578D6-614E-4409-B21F-49511FDC8872}"/>
    <cellStyle name="MAND_x000a_CHECK.COMMAND_x000e_RENAME.COMMAND_x0008_SHOW.BAR_x000b_DELETE.MENU_x000e_DELETE.COMMAND_x000e_GET.CHA_2010 04 28 - CF Logelbach_closing funds2" xfId="772" xr:uid="{EE245AFA-703F-4D61-915D-B3299D1A9223}"/>
    <cellStyle name="mhOptionalDate" xfId="773" xr:uid="{817F2A44-FC3C-4ED1-A1A5-8078EDDD4808}"/>
    <cellStyle name="mhRequiredDate" xfId="774" xr:uid="{37793BDD-6829-4CB0-A56F-F8EB5375CCE2}"/>
    <cellStyle name="Milliers [0]_Modèles2" xfId="775" xr:uid="{8ADFA2B7-EA57-4E84-82E3-2CFDFA6AF6E9}"/>
    <cellStyle name="Milliers 2" xfId="776" xr:uid="{F2E5B39F-186C-499D-9F5B-B09827A6E455}"/>
    <cellStyle name="Milliers 2 2" xfId="777" xr:uid="{2389FCFB-BAD1-4FA1-95D5-765C7B9E2C54}"/>
    <cellStyle name="Milliers 2 2 2" xfId="778" xr:uid="{C212EDB0-D9C3-4A5E-A52C-A8481C78B111}"/>
    <cellStyle name="Milliers 2 2 2 2" xfId="779" xr:uid="{89CA9450-D7DD-4BDC-B182-F4C8DA0F8BE2}"/>
    <cellStyle name="Milliers 2 2 3" xfId="780" xr:uid="{B6FE0979-C94E-4AB8-861E-1612C01E6E00}"/>
    <cellStyle name="Milliers 2 2 3 2" xfId="781" xr:uid="{2AF50B54-09D2-425E-A2BD-B8E0F10800B9}"/>
    <cellStyle name="Milliers 2 2 4" xfId="782" xr:uid="{29D8B3CD-00C0-4179-AF99-8F8142D30917}"/>
    <cellStyle name="Milliers 2 3" xfId="783" xr:uid="{92238B93-3E5C-4460-973E-A26EBDAE4743}"/>
    <cellStyle name="Milliers 2 3 2" xfId="4824" xr:uid="{9556DE35-E2DE-4030-A798-DD115745B0EC}"/>
    <cellStyle name="Milliers 3" xfId="784" xr:uid="{792D0DCC-C567-4C84-97A5-45B6AD8CB275}"/>
    <cellStyle name="Milliers 3 2" xfId="785" xr:uid="{E3D7F8CF-0233-474B-9678-4D5709C84364}"/>
    <cellStyle name="Milliers 3 2 2" xfId="786" xr:uid="{A3FDAF0B-0A8B-48E3-BE5F-C89172A95CCB}"/>
    <cellStyle name="Milliers 3 2 2 2" xfId="787" xr:uid="{C50476FE-0F69-4727-BF51-12A94E95DF82}"/>
    <cellStyle name="Milliers 3 2 2 2 2" xfId="788" xr:uid="{5766565C-ADE8-4C54-9FF8-145E2F7792D4}"/>
    <cellStyle name="Milliers 3 2 2 2 2 2" xfId="789" xr:uid="{4B007D32-0762-47D8-8A60-E8D89197B261}"/>
    <cellStyle name="Milliers 3 2 2 2 2 2 2" xfId="790" xr:uid="{2CCFB7CF-5CAD-4D99-AE94-014CBB9B3F3F}"/>
    <cellStyle name="Milliers 3 2 2 2 2 2 2 2" xfId="791" xr:uid="{B88650B5-295C-4BAD-BC69-93D9F8F43E98}"/>
    <cellStyle name="Milliers 3 2 2 2 2 2 2 2 2" xfId="792" xr:uid="{F9A795E1-2AA2-4BA6-9C3F-395FD6979801}"/>
    <cellStyle name="Milliers 3 2 2 2 2 2 2 2 3" xfId="793" xr:uid="{4ABFC3BB-0C6D-48B8-9C55-C834B3650A85}"/>
    <cellStyle name="Milliers 3 2 2 2 2 2 2 3" xfId="794" xr:uid="{8FA0A9F2-4D91-42C7-98D6-950777B5FA6B}"/>
    <cellStyle name="Milliers 3 2 2 2 2 2 2 4" xfId="795" xr:uid="{D6AFAC22-8DBA-4780-B45A-577503A3483E}"/>
    <cellStyle name="Milliers 3 2 2 2 2 2 3" xfId="796" xr:uid="{85C6F371-7D6D-4F27-BACF-2627650FE747}"/>
    <cellStyle name="Milliers 3 2 2 2 2 2 3 2" xfId="797" xr:uid="{6F643FFE-899A-41A0-A412-EF93787619ED}"/>
    <cellStyle name="Milliers 3 2 2 2 2 2 3 3" xfId="798" xr:uid="{B71CB3B7-A97B-4988-ACDA-7EF50C2CA043}"/>
    <cellStyle name="Milliers 3 2 2 2 2 2 4" xfId="799" xr:uid="{12058200-8CEB-4FB7-9A96-AB62B0E9C656}"/>
    <cellStyle name="Milliers 3 2 2 2 2 2 5" xfId="800" xr:uid="{EB213F88-3844-4ED3-A2A0-85E930269777}"/>
    <cellStyle name="Milliers 3 2 2 2 2 3" xfId="801" xr:uid="{CF8511AA-E9D4-4048-B114-635A220257A0}"/>
    <cellStyle name="Milliers 3 2 2 2 2 3 2" xfId="802" xr:uid="{5FC45716-0796-4362-9F09-1EF6FD99138E}"/>
    <cellStyle name="Milliers 3 2 2 2 2 3 2 2" xfId="803" xr:uid="{DD61857D-F9F5-45E3-8708-3CEAFA02341F}"/>
    <cellStyle name="Milliers 3 2 2 2 2 3 2 3" xfId="804" xr:uid="{04487923-8FAF-44C9-A128-FBC6C7EF5C74}"/>
    <cellStyle name="Milliers 3 2 2 2 2 3 3" xfId="805" xr:uid="{FFCDF9F0-EB17-4099-B825-F55CEEAB32A1}"/>
    <cellStyle name="Milliers 3 2 2 2 2 3 4" xfId="806" xr:uid="{059493EF-4C55-4C86-8DE9-66B369F2637C}"/>
    <cellStyle name="Milliers 3 2 2 2 2 4" xfId="807" xr:uid="{76E703A0-6D5B-44FF-8E56-DBDC9E79E939}"/>
    <cellStyle name="Milliers 3 2 2 2 2 4 2" xfId="808" xr:uid="{0376DEA5-7713-4B8C-9161-1C656F028747}"/>
    <cellStyle name="Milliers 3 2 2 2 2 4 3" xfId="809" xr:uid="{6BE79D91-0533-4081-8A41-4645D8A5063F}"/>
    <cellStyle name="Milliers 3 2 2 2 2 5" xfId="810" xr:uid="{93FA0E2D-7D17-4308-AE1E-8CBCED7A3D35}"/>
    <cellStyle name="Milliers 3 2 2 2 2 6" xfId="811" xr:uid="{9961CE00-5EDD-469B-8755-DF799B439E18}"/>
    <cellStyle name="Milliers 3 2 2 2 3" xfId="812" xr:uid="{3DFC80C8-81AF-4FED-9242-C217D7B709FD}"/>
    <cellStyle name="Milliers 3 2 2 2 3 2" xfId="813" xr:uid="{7DBDCD75-07C3-484B-8EC0-54D1C8E09E61}"/>
    <cellStyle name="Milliers 3 2 2 2 3 2 2" xfId="814" xr:uid="{B560619E-DD86-40AD-8A0A-8EF030A1B263}"/>
    <cellStyle name="Milliers 3 2 2 2 3 2 2 2" xfId="815" xr:uid="{453C498F-AE42-497C-8291-C6207A9E23F5}"/>
    <cellStyle name="Milliers 3 2 2 2 3 2 2 3" xfId="816" xr:uid="{65DCB6EF-7F78-4A5F-A269-D2F150897967}"/>
    <cellStyle name="Milliers 3 2 2 2 3 2 3" xfId="817" xr:uid="{0EAA5EF7-D605-43A6-A024-DD22253DA532}"/>
    <cellStyle name="Milliers 3 2 2 2 3 2 4" xfId="818" xr:uid="{954F4298-DC93-47F3-AB0E-F026831FC255}"/>
    <cellStyle name="Milliers 3 2 2 2 3 3" xfId="819" xr:uid="{BC041B21-FBD2-4670-8B92-F04D87637EF4}"/>
    <cellStyle name="Milliers 3 2 2 2 3 3 2" xfId="820" xr:uid="{ECE363FF-2943-4CE0-A984-37908DB6CAD3}"/>
    <cellStyle name="Milliers 3 2 2 2 3 3 3" xfId="821" xr:uid="{3F806DF3-5D90-47B5-87E5-A7E0C321173D}"/>
    <cellStyle name="Milliers 3 2 2 2 3 4" xfId="822" xr:uid="{9E28C56F-7203-488C-8344-43A6436C8FEA}"/>
    <cellStyle name="Milliers 3 2 2 2 3 5" xfId="823" xr:uid="{8DD76126-E84A-4049-B497-D215FDED79C1}"/>
    <cellStyle name="Milliers 3 2 2 2 4" xfId="824" xr:uid="{8E690875-8ACE-4BA7-96E5-8FC9821101B8}"/>
    <cellStyle name="Milliers 3 2 2 2 4 2" xfId="825" xr:uid="{1D26F233-C547-49DE-ADA7-E0FE55F57078}"/>
    <cellStyle name="Milliers 3 2 2 2 4 2 2" xfId="826" xr:uid="{D67781A6-B3BE-49C6-A514-D72D58C12D4B}"/>
    <cellStyle name="Milliers 3 2 2 2 4 2 3" xfId="827" xr:uid="{422B9F56-C140-45E4-855B-672BDB0E79F7}"/>
    <cellStyle name="Milliers 3 2 2 2 4 3" xfId="828" xr:uid="{61E74F73-290E-4696-9CC8-0F00E1256996}"/>
    <cellStyle name="Milliers 3 2 2 2 4 4" xfId="829" xr:uid="{FD8E4D01-766E-46AF-93FF-7815E4A0389B}"/>
    <cellStyle name="Milliers 3 2 2 2 5" xfId="830" xr:uid="{E43604EA-C8C2-47F9-99BB-482AFC3B90DA}"/>
    <cellStyle name="Milliers 3 2 2 2 5 2" xfId="831" xr:uid="{DA77C586-BCA6-40A9-AA1F-08AE7C3744BD}"/>
    <cellStyle name="Milliers 3 2 2 2 5 3" xfId="832" xr:uid="{401FC7D8-3B05-4B52-ABB3-810BD20001B3}"/>
    <cellStyle name="Milliers 3 2 2 2 6" xfId="833" xr:uid="{F6C7D91A-B996-4116-ACA4-364658F9F643}"/>
    <cellStyle name="Milliers 3 2 2 2 7" xfId="834" xr:uid="{59381E82-F9D2-4078-9469-8C0FF425E343}"/>
    <cellStyle name="Milliers 3 2 2 3" xfId="835" xr:uid="{9D299540-7D03-40DF-8639-A97C7FC636A5}"/>
    <cellStyle name="Milliers 3 2 2 3 2" xfId="836" xr:uid="{3DB3CA16-7941-41EC-B344-EDD74D381724}"/>
    <cellStyle name="Milliers 3 2 2 3 2 2" xfId="837" xr:uid="{5FA897DC-2547-4062-8465-4C80209B5532}"/>
    <cellStyle name="Milliers 3 2 2 3 2 2 2" xfId="838" xr:uid="{74494C81-54C9-4586-9212-0A643E76F77B}"/>
    <cellStyle name="Milliers 3 2 2 3 2 2 2 2" xfId="839" xr:uid="{7734F942-03B8-4BBB-8893-4BAD139FB443}"/>
    <cellStyle name="Milliers 3 2 2 3 2 2 2 3" xfId="840" xr:uid="{1C239A30-ADF5-458D-81E0-C12981591E2B}"/>
    <cellStyle name="Milliers 3 2 2 3 2 2 3" xfId="841" xr:uid="{F0067C15-E871-4E63-9A86-141F627E5727}"/>
    <cellStyle name="Milliers 3 2 2 3 2 2 4" xfId="842" xr:uid="{6042EB66-B099-4039-9E57-AD122A46FE34}"/>
    <cellStyle name="Milliers 3 2 2 3 2 3" xfId="843" xr:uid="{8509F805-D71C-474F-A325-ED5B71F89B93}"/>
    <cellStyle name="Milliers 3 2 2 3 2 3 2" xfId="844" xr:uid="{11B39CEE-B13F-4774-9142-A086668E8F92}"/>
    <cellStyle name="Milliers 3 2 2 3 2 3 3" xfId="845" xr:uid="{D5D64EF0-97BA-4ECE-A2AB-C500E18EEF0A}"/>
    <cellStyle name="Milliers 3 2 2 3 2 4" xfId="846" xr:uid="{A4DDBA19-62F1-46DF-B43A-10896C9D5BA6}"/>
    <cellStyle name="Milliers 3 2 2 3 2 5" xfId="847" xr:uid="{4DC9841D-11EA-429F-857B-B6BC84286D90}"/>
    <cellStyle name="Milliers 3 2 2 3 3" xfId="848" xr:uid="{2852EB80-C9D5-48EC-B802-8F2615563995}"/>
    <cellStyle name="Milliers 3 2 2 3 3 2" xfId="849" xr:uid="{F18424A4-42DC-44C5-B5F1-C401761AC191}"/>
    <cellStyle name="Milliers 3 2 2 3 3 2 2" xfId="850" xr:uid="{224719A6-3597-4684-AA7A-3243C4655AD0}"/>
    <cellStyle name="Milliers 3 2 2 3 3 2 3" xfId="851" xr:uid="{3F742A7B-B2CF-4CB7-98AD-563D279F3F01}"/>
    <cellStyle name="Milliers 3 2 2 3 3 3" xfId="852" xr:uid="{1DF8B2FB-C910-4A7F-8EF6-776C25A8AD46}"/>
    <cellStyle name="Milliers 3 2 2 3 3 4" xfId="853" xr:uid="{0282C15F-996F-437E-985A-DFBBF52FD16E}"/>
    <cellStyle name="Milliers 3 2 2 3 4" xfId="854" xr:uid="{26BDAF60-4C27-43F9-A8F6-C10C866B4463}"/>
    <cellStyle name="Milliers 3 2 2 3 4 2" xfId="855" xr:uid="{D44C309E-8966-40FD-B26E-2302942B7976}"/>
    <cellStyle name="Milliers 3 2 2 3 4 3" xfId="856" xr:uid="{80736D5C-5430-4E5C-BEAE-33263F64304A}"/>
    <cellStyle name="Milliers 3 2 2 3 5" xfId="857" xr:uid="{300D6E8F-1598-4ACF-9AA7-EF0763A1F04B}"/>
    <cellStyle name="Milliers 3 2 2 3 6" xfId="858" xr:uid="{6728358D-04D0-49F3-BF9D-2ECD02E0B70E}"/>
    <cellStyle name="Milliers 3 2 2 4" xfId="859" xr:uid="{AFAF7748-DB17-456E-A27A-534FA5E9586B}"/>
    <cellStyle name="Milliers 3 2 2 4 2" xfId="860" xr:uid="{6D246E1D-2912-414B-A378-B11B212EE947}"/>
    <cellStyle name="Milliers 3 2 2 4 2 2" xfId="861" xr:uid="{F20901E5-3BED-4947-8019-376A5739E05E}"/>
    <cellStyle name="Milliers 3 2 2 4 2 2 2" xfId="862" xr:uid="{D356CF76-C0A7-4BBB-84BB-675C750BFD6C}"/>
    <cellStyle name="Milliers 3 2 2 4 2 2 3" xfId="863" xr:uid="{9755154B-AE8F-49C2-AA5B-E940C4E57EC9}"/>
    <cellStyle name="Milliers 3 2 2 4 2 3" xfId="864" xr:uid="{46FF0618-E199-466D-B8DC-250120CB9267}"/>
    <cellStyle name="Milliers 3 2 2 4 2 4" xfId="865" xr:uid="{05218F0F-8C51-471D-A877-57F084F29004}"/>
    <cellStyle name="Milliers 3 2 2 4 3" xfId="866" xr:uid="{3F660F6C-6CBF-4BB2-8A9D-5E33487B76F6}"/>
    <cellStyle name="Milliers 3 2 2 4 3 2" xfId="867" xr:uid="{157F6558-D442-44F7-BE8A-73999834BF6C}"/>
    <cellStyle name="Milliers 3 2 2 4 3 3" xfId="868" xr:uid="{8D5B812E-ECC9-4A77-99B2-758E428BE6E3}"/>
    <cellStyle name="Milliers 3 2 2 4 4" xfId="869" xr:uid="{1561B196-3294-45B2-9C79-8076C4890FC2}"/>
    <cellStyle name="Milliers 3 2 2 4 5" xfId="870" xr:uid="{A019BDDC-CA1D-428B-A047-A98A2A9E4E9D}"/>
    <cellStyle name="Milliers 3 2 2 5" xfId="871" xr:uid="{3454404D-909F-4B06-BC34-717E0244B06A}"/>
    <cellStyle name="Milliers 3 2 2 5 2" xfId="872" xr:uid="{08B22286-7ED1-4E51-A554-D2C6AE4AEA53}"/>
    <cellStyle name="Milliers 3 2 2 5 2 2" xfId="873" xr:uid="{8A7E3C17-2688-475D-BCDE-20BAB6D5DB9C}"/>
    <cellStyle name="Milliers 3 2 2 5 2 3" xfId="874" xr:uid="{0B40E37C-CB69-41F2-AD75-CE125FA7A631}"/>
    <cellStyle name="Milliers 3 2 2 5 3" xfId="875" xr:uid="{2E8F523B-5FCE-4C3D-B851-B2B88AD0A1ED}"/>
    <cellStyle name="Milliers 3 2 2 5 4" xfId="876" xr:uid="{2E44D1AC-5F41-4D47-9522-83A3442FBDF8}"/>
    <cellStyle name="Milliers 3 2 2 6" xfId="877" xr:uid="{DBDBE97F-4E11-4763-A150-2A03273FC00C}"/>
    <cellStyle name="Milliers 3 2 2 6 2" xfId="878" xr:uid="{95330638-5CFC-4E5B-BC86-6A46A7755F15}"/>
    <cellStyle name="Milliers 3 2 2 6 3" xfId="879" xr:uid="{2A74FABE-7B61-4CC7-BAD1-D2B10A2944DF}"/>
    <cellStyle name="Milliers 3 2 2 7" xfId="880" xr:uid="{BAD6D4CD-EFE7-4349-A104-54CD841AEF74}"/>
    <cellStyle name="Milliers 3 2 2 8" xfId="881" xr:uid="{84B6CC81-D02E-47F4-8F50-6310CC9AC018}"/>
    <cellStyle name="Milliers 3 2 3" xfId="882" xr:uid="{FC538DF0-6E83-4FAA-8CFA-6AA2767A955A}"/>
    <cellStyle name="Milliers 3 2 3 2" xfId="883" xr:uid="{7005E98A-3EA2-4CD1-8812-1383A2682E5D}"/>
    <cellStyle name="Milliers 3 2 3 2 2" xfId="884" xr:uid="{5FA8092B-8CF7-4F83-9B26-34CF4D180A0D}"/>
    <cellStyle name="Milliers 3 2 3 2 2 2" xfId="885" xr:uid="{ABC10F16-CE97-4081-A6FC-DBD29171C4B5}"/>
    <cellStyle name="Milliers 3 2 3 2 2 2 2" xfId="886" xr:uid="{79AC2ED8-9BFA-49C2-BF94-F66F16DB18EB}"/>
    <cellStyle name="Milliers 3 2 3 2 2 2 3" xfId="887" xr:uid="{65633CBD-6DFE-4370-9C19-5439F6CAB503}"/>
    <cellStyle name="Milliers 3 2 3 2 2 3" xfId="888" xr:uid="{F8250B51-2C63-40E1-A57B-E3F2EA719DEF}"/>
    <cellStyle name="Milliers 3 2 3 2 2 4" xfId="889" xr:uid="{B72681A5-B570-4053-9B8F-05898DDF76BE}"/>
    <cellStyle name="Milliers 3 2 3 2 3" xfId="890" xr:uid="{688DC9B8-BA2C-44C1-841D-19F850B06F60}"/>
    <cellStyle name="Milliers 3 2 3 2 3 2" xfId="891" xr:uid="{8B0F9B85-BB91-4270-938A-8934F0914378}"/>
    <cellStyle name="Milliers 3 2 3 2 3 3" xfId="892" xr:uid="{A299E96E-91E1-4DCC-A63A-BC820B6F4FB2}"/>
    <cellStyle name="Milliers 3 2 3 2 4" xfId="893" xr:uid="{8938FA02-1674-44CA-A7CF-0AA972C937C9}"/>
    <cellStyle name="Milliers 3 2 3 2 5" xfId="894" xr:uid="{9382E350-8C65-43A5-9709-8C1795E6A399}"/>
    <cellStyle name="Milliers 3 2 3 3" xfId="895" xr:uid="{5F7AA5A6-804C-43E4-91AB-4888A5C265BA}"/>
    <cellStyle name="Milliers 3 2 3 3 2" xfId="896" xr:uid="{92F427CB-2BBD-4CE5-BBA2-CC8AEFCB68D9}"/>
    <cellStyle name="Milliers 3 2 3 3 2 2" xfId="897" xr:uid="{DC443FF1-AAE9-4427-8C7A-97241B82E1F5}"/>
    <cellStyle name="Milliers 3 2 3 3 2 3" xfId="898" xr:uid="{90AFF3F5-37A4-4028-BD77-72515CF4E601}"/>
    <cellStyle name="Milliers 3 2 3 3 3" xfId="899" xr:uid="{5DD233AE-04C6-42A1-9FFC-4CA6F2A1ACEC}"/>
    <cellStyle name="Milliers 3 2 3 3 4" xfId="900" xr:uid="{871567DF-5EF9-466D-B699-BE1EEBE96A9C}"/>
    <cellStyle name="Milliers 3 2 3 4" xfId="901" xr:uid="{BEBE8687-CB4A-4D37-B825-62057A792B0A}"/>
    <cellStyle name="Milliers 3 2 3 4 2" xfId="902" xr:uid="{D7887F7D-94F9-4D5C-A0FA-1251B8C396B6}"/>
    <cellStyle name="Milliers 3 2 3 4 3" xfId="903" xr:uid="{0ECBBF01-1BB3-4BDF-90F5-48ED4FC007A4}"/>
    <cellStyle name="Milliers 3 2 3 5" xfId="904" xr:uid="{0C198D99-AC2C-445C-A638-68B7B5345771}"/>
    <cellStyle name="Milliers 3 2 3 6" xfId="905" xr:uid="{50A37EEB-CDAC-4C64-9FAB-6981270EF46D}"/>
    <cellStyle name="Milliers 3 2 4" xfId="906" xr:uid="{E019693D-2D05-4530-9E3E-83128A52C905}"/>
    <cellStyle name="Milliers 3 3" xfId="907" xr:uid="{8D061D90-3862-4AF6-9A03-529FAA2B209A}"/>
    <cellStyle name="Milliers 3 3 2" xfId="908" xr:uid="{5643E54D-FED4-411F-838A-DCFD1DE6130E}"/>
    <cellStyle name="Milliers 3 4" xfId="909" xr:uid="{AD7539A4-26BF-4B56-947F-7679EE37CECC}"/>
    <cellStyle name="Milliers 3 4 2" xfId="910" xr:uid="{5E7513D8-740C-4C2B-B1F9-76D3FA0FACA5}"/>
    <cellStyle name="Milliers 3 4 2 2" xfId="911" xr:uid="{AD3511AE-2B02-48BD-B404-27556ACD4D5F}"/>
    <cellStyle name="Milliers 3 4 2 2 2" xfId="912" xr:uid="{737D0A32-1346-4B1E-BA48-1740907A8A2E}"/>
    <cellStyle name="Milliers 3 4 2 2 2 2" xfId="913" xr:uid="{17088295-BBE1-44CB-9C02-840F7B8C6149}"/>
    <cellStyle name="Milliers 3 4 2 2 2 2 2" xfId="914" xr:uid="{C4FCCE1D-82DC-42D2-B9E6-C4E917B09238}"/>
    <cellStyle name="Milliers 3 4 2 2 2 2 3" xfId="915" xr:uid="{E7EF90D9-815B-4429-AD8F-D8EDADA2066A}"/>
    <cellStyle name="Milliers 3 4 2 2 2 3" xfId="916" xr:uid="{A3E70596-4E80-4BA1-834D-6318AA707D2D}"/>
    <cellStyle name="Milliers 3 4 2 2 2 4" xfId="917" xr:uid="{21ADF7BE-E38F-4574-B706-46475E6B1309}"/>
    <cellStyle name="Milliers 3 4 2 2 3" xfId="918" xr:uid="{3306CA7F-71DC-466C-89E7-FA20425B56E8}"/>
    <cellStyle name="Milliers 3 4 2 2 3 2" xfId="919" xr:uid="{1F66452F-6E51-449B-8E8C-382E14E6D000}"/>
    <cellStyle name="Milliers 3 4 2 2 3 3" xfId="920" xr:uid="{A4B55272-A1A3-4947-8F7C-2B647B7D1A9A}"/>
    <cellStyle name="Milliers 3 4 2 2 4" xfId="921" xr:uid="{E5A31B1F-5AE7-4FB1-8145-2E30B0D2A872}"/>
    <cellStyle name="Milliers 3 4 2 2 5" xfId="922" xr:uid="{A01F2B2B-7DBD-4AEB-9377-F353722C1D38}"/>
    <cellStyle name="Milliers 3 4 2 3" xfId="923" xr:uid="{B568C309-34EB-41F0-8DCC-240813B46B6A}"/>
    <cellStyle name="Milliers 3 4 2 3 2" xfId="924" xr:uid="{0B881364-A6CB-4A7D-8106-F28B1F07B1FB}"/>
    <cellStyle name="Milliers 3 4 2 3 2 2" xfId="925" xr:uid="{2BA8BCD4-B077-45F3-AE7C-26E6161E1C45}"/>
    <cellStyle name="Milliers 3 4 2 3 2 3" xfId="926" xr:uid="{B00CA06E-6B9F-4405-8C1D-864EF11E32BA}"/>
    <cellStyle name="Milliers 3 4 2 3 3" xfId="927" xr:uid="{8FE4E006-4BED-4B21-AAC1-DCE8EB820F49}"/>
    <cellStyle name="Milliers 3 4 2 3 4" xfId="928" xr:uid="{F5013D1C-F58F-49E0-90C9-57AEAAD4FCE1}"/>
    <cellStyle name="Milliers 3 4 2 4" xfId="929" xr:uid="{EE0CD4D6-23D7-4E80-8508-E9E0D48C747E}"/>
    <cellStyle name="Milliers 3 4 2 4 2" xfId="930" xr:uid="{25B333AC-E0DD-42B5-A3FF-976C0982B4B2}"/>
    <cellStyle name="Milliers 3 4 2 4 3" xfId="931" xr:uid="{DFC61955-7AE6-4368-8128-2DAF70969E03}"/>
    <cellStyle name="Milliers 3 4 2 5" xfId="932" xr:uid="{7A3E55A8-7A0B-4A11-B8B2-FE524AD5F18E}"/>
    <cellStyle name="Milliers 3 4 2 6" xfId="933" xr:uid="{F445CA76-38BB-470B-B7E0-5C922AC0B270}"/>
    <cellStyle name="Milliers 3 4 3" xfId="934" xr:uid="{8748EFB8-F707-4B43-A85F-44E187850751}"/>
    <cellStyle name="Milliers 3 4 3 2" xfId="935" xr:uid="{F8EB18B2-79BF-41A0-A94C-15BB3E246574}"/>
    <cellStyle name="Milliers 3 4 3 2 2" xfId="936" xr:uid="{AFF4E288-FDFB-4760-BD90-ED8A66DB1827}"/>
    <cellStyle name="Milliers 3 4 3 2 2 2" xfId="937" xr:uid="{B94CB512-13BF-452A-B7BA-A2E5AC5DA31E}"/>
    <cellStyle name="Milliers 3 4 3 2 2 3" xfId="938" xr:uid="{3BAF7830-D885-454D-9139-5E966390ED20}"/>
    <cellStyle name="Milliers 3 4 3 2 3" xfId="939" xr:uid="{59C2E6DD-FE7F-4ACC-A4AD-C490DF05E6B1}"/>
    <cellStyle name="Milliers 3 4 3 2 4" xfId="940" xr:uid="{B3AF862B-8D28-456D-910B-5591B90AF5E9}"/>
    <cellStyle name="Milliers 3 4 3 3" xfId="941" xr:uid="{6EE74FC8-37ED-4C51-9E67-0C84C9E2A899}"/>
    <cellStyle name="Milliers 3 4 3 3 2" xfId="942" xr:uid="{A164077F-BBA9-4E94-9F6F-41415B92DEAA}"/>
    <cellStyle name="Milliers 3 4 3 3 3" xfId="943" xr:uid="{A1F5136A-CB91-4049-B417-5D8B8C635C07}"/>
    <cellStyle name="Milliers 3 4 3 4" xfId="944" xr:uid="{09B9BD5B-6C12-45C6-85BE-E2628BE473DD}"/>
    <cellStyle name="Milliers 3 4 3 5" xfId="945" xr:uid="{B7FCF384-9E9D-4B75-9DA6-ECF2FB44FD88}"/>
    <cellStyle name="Milliers 3 4 4" xfId="946" xr:uid="{6F6A4507-6187-4C0B-BB16-8FA65F83BDFF}"/>
    <cellStyle name="Milliers 3 4 4 2" xfId="947" xr:uid="{937A33B3-B557-46F8-A7F5-6F08AC6FC0F2}"/>
    <cellStyle name="Milliers 3 4 4 2 2" xfId="948" xr:uid="{405E0A19-A3AF-41A3-8CE8-05040425386E}"/>
    <cellStyle name="Milliers 3 4 4 2 3" xfId="949" xr:uid="{33172CB2-12A7-42E3-847E-2A2BABDED26D}"/>
    <cellStyle name="Milliers 3 4 4 3" xfId="950" xr:uid="{76240356-7221-40D5-B1E9-F71AB0DCC5E2}"/>
    <cellStyle name="Milliers 3 4 4 4" xfId="951" xr:uid="{B9F887BB-C422-44AF-B0C6-70052FB832D9}"/>
    <cellStyle name="Milliers 3 4 5" xfId="952" xr:uid="{7CD23423-1D1C-42A4-B708-F245C04BF70C}"/>
    <cellStyle name="Milliers 3 4 5 2" xfId="953" xr:uid="{00A6B0ED-D500-43A4-9B5B-A4BEC25590DC}"/>
    <cellStyle name="Milliers 3 4 5 3" xfId="954" xr:uid="{6F4BF26F-9EF3-4B02-B732-38E4E32F0AD8}"/>
    <cellStyle name="Milliers 3 4 6" xfId="955" xr:uid="{90543E32-BB67-46C2-AC52-5E456A4AB8D2}"/>
    <cellStyle name="Milliers 3 4 7" xfId="956" xr:uid="{DCCC4533-5848-4244-A383-6E7358A7D23D}"/>
    <cellStyle name="Milliers 3 5" xfId="957" xr:uid="{DF0DE1C8-DD45-4F78-9E74-20AA877F0884}"/>
    <cellStyle name="Milliers 3 5 2" xfId="958" xr:uid="{9A2E2A54-DF47-4704-9BF7-F026FCF0D49B}"/>
    <cellStyle name="Milliers 3 5 2 2" xfId="959" xr:uid="{671C1A87-D318-4B4F-A2E0-25EA3CE8CF6C}"/>
    <cellStyle name="Milliers 3 5 2 2 2" xfId="960" xr:uid="{AC26266A-F214-4B65-AF6B-3158D81280B5}"/>
    <cellStyle name="Milliers 3 5 2 2 2 2" xfId="961" xr:uid="{EED1F3CC-4336-4A76-B06C-8A8C07478DF1}"/>
    <cellStyle name="Milliers 3 5 2 2 2 3" xfId="962" xr:uid="{6D1806BE-4C9D-4BC2-BD6A-189844354148}"/>
    <cellStyle name="Milliers 3 5 2 2 3" xfId="963" xr:uid="{C6151587-74F5-44BB-A016-CCE36A22A3E4}"/>
    <cellStyle name="Milliers 3 5 2 2 4" xfId="964" xr:uid="{60FB53B9-D48F-4795-B6CF-6D9A72F3E268}"/>
    <cellStyle name="Milliers 3 5 2 3" xfId="965" xr:uid="{CC95AE93-6198-4041-B065-F776421A3268}"/>
    <cellStyle name="Milliers 3 5 2 3 2" xfId="966" xr:uid="{A84DC5D5-4E41-40D9-9118-155B12870207}"/>
    <cellStyle name="Milliers 3 5 2 3 3" xfId="967" xr:uid="{03FB2195-6990-4B20-896E-4C399ABD226D}"/>
    <cellStyle name="Milliers 3 5 2 4" xfId="968" xr:uid="{4AE258DA-7BD8-4A7F-8F44-8586607ED69C}"/>
    <cellStyle name="Milliers 3 5 2 5" xfId="969" xr:uid="{DC471F0D-4F03-4D5F-98C8-4E0F9993D716}"/>
    <cellStyle name="Milliers 3 5 3" xfId="970" xr:uid="{926703D2-4085-49FC-8F74-D33B5F10BF5B}"/>
    <cellStyle name="Milliers 3 5 3 2" xfId="971" xr:uid="{563028EB-3285-4034-8391-48EA8CD082EE}"/>
    <cellStyle name="Milliers 3 5 3 2 2" xfId="972" xr:uid="{4ADB2357-A095-444C-B96B-62E1B6A17CE6}"/>
    <cellStyle name="Milliers 3 5 3 2 3" xfId="973" xr:uid="{926C8014-7DF2-4A1D-9E5E-9E72EC6CA575}"/>
    <cellStyle name="Milliers 3 5 3 3" xfId="974" xr:uid="{99FB43ED-D6DD-4AB3-BDEF-DD238A9B85AC}"/>
    <cellStyle name="Milliers 3 5 3 4" xfId="975" xr:uid="{D5F96463-6B1D-4AD9-8C4C-C86780D590B7}"/>
    <cellStyle name="Milliers 3 5 4" xfId="976" xr:uid="{A61CA8FF-4AE5-4BD1-9400-A33AECD7F554}"/>
    <cellStyle name="Milliers 3 5 4 2" xfId="977" xr:uid="{1522C59F-0C4D-4E16-A2E0-36283649BD49}"/>
    <cellStyle name="Milliers 3 5 4 3" xfId="978" xr:uid="{3E97B280-95CA-40CB-81DD-4A885F05A080}"/>
    <cellStyle name="Milliers 3 5 5" xfId="979" xr:uid="{DFE02FD0-BAEB-4B12-8776-A2FE80D161F7}"/>
    <cellStyle name="Milliers 3 5 6" xfId="980" xr:uid="{DB37F679-9002-40F1-A541-055D04FC116F}"/>
    <cellStyle name="Milliers 3 6" xfId="981" xr:uid="{CD95F390-F1EB-4E70-B47D-06F75FFB7CC9}"/>
    <cellStyle name="Milliers 3 6 2" xfId="982" xr:uid="{0F3E5A47-8F74-464E-B24C-ABF71549ACB5}"/>
    <cellStyle name="Milliers 3 6 2 2" xfId="983" xr:uid="{EB961DE1-B841-4079-9A08-A2325B18449E}"/>
    <cellStyle name="Milliers 3 6 2 2 2" xfId="984" xr:uid="{99244AB4-40CB-49B0-974E-5FBAB79F7740}"/>
    <cellStyle name="Milliers 3 6 2 2 2 2" xfId="985" xr:uid="{6F49FE72-D5FC-4208-B2BD-CD226C820D2E}"/>
    <cellStyle name="Milliers 3 6 2 2 2 3" xfId="986" xr:uid="{454A7E3C-3B3C-403C-B408-0AD819A8EEDD}"/>
    <cellStyle name="Milliers 3 6 2 2 3" xfId="987" xr:uid="{A524C2AD-423F-409D-BD3A-05F6030386FB}"/>
    <cellStyle name="Milliers 3 6 2 2 4" xfId="988" xr:uid="{E1BC5AAD-6B3B-4322-B35D-DFAD79897AA7}"/>
    <cellStyle name="Milliers 3 6 2 3" xfId="989" xr:uid="{1CAFD002-D936-4E35-9A5C-600061F3098E}"/>
    <cellStyle name="Milliers 3 6 2 3 2" xfId="990" xr:uid="{75D45174-A8C3-4CED-9CDE-4F449F1EBEAE}"/>
    <cellStyle name="Milliers 3 6 2 3 3" xfId="991" xr:uid="{A9F43DAE-0B87-4A06-85DE-AE85B3DA05AA}"/>
    <cellStyle name="Milliers 3 6 2 4" xfId="992" xr:uid="{99E1D556-23C0-4843-8A9F-E154101C08AE}"/>
    <cellStyle name="Milliers 3 6 2 5" xfId="993" xr:uid="{D2B955EB-E5A6-46BF-AB3A-66C220412329}"/>
    <cellStyle name="Milliers 3 6 3" xfId="994" xr:uid="{971E1FA5-B984-4914-8C19-17CA5734977F}"/>
    <cellStyle name="Milliers 3 6 3 2" xfId="995" xr:uid="{F2D2CC87-1698-4CBC-ADCD-279924D6C26B}"/>
    <cellStyle name="Milliers 3 6 3 2 2" xfId="996" xr:uid="{4E1BD542-27AC-4AD8-9139-ACC6A1A01437}"/>
    <cellStyle name="Milliers 3 6 3 2 3" xfId="997" xr:uid="{D8FDFAFD-6A17-4510-8F03-86C400DA08AD}"/>
    <cellStyle name="Milliers 3 6 3 3" xfId="998" xr:uid="{1AEE647E-00C1-4265-99F1-9D5DF400BE2A}"/>
    <cellStyle name="Milliers 3 6 3 4" xfId="999" xr:uid="{2C90DF12-28C8-4F34-96CA-09C0EAE0F0E4}"/>
    <cellStyle name="Milliers 3 6 4" xfId="1000" xr:uid="{A0F9A88F-8127-4482-BD64-CF59897F2C61}"/>
    <cellStyle name="Milliers 3 6 4 2" xfId="1001" xr:uid="{9DDDC2DA-2227-439C-99A3-AD600667864E}"/>
    <cellStyle name="Milliers 3 6 4 3" xfId="1002" xr:uid="{BB11446D-8F9D-40A2-B397-44FB8E0EC2EE}"/>
    <cellStyle name="Milliers 3 6 5" xfId="1003" xr:uid="{115C1E2C-AE94-49F9-AF0E-3BB9D31B19AC}"/>
    <cellStyle name="Milliers 3 6 6" xfId="1004" xr:uid="{E4CC38F2-85AC-4A9B-B5BF-51E74FC36E37}"/>
    <cellStyle name="Milliers 3 7" xfId="1005" xr:uid="{206F3DFE-A7B4-4462-AFF8-7076B69218F5}"/>
    <cellStyle name="Milliers 3 7 2" xfId="1006" xr:uid="{BE708DB5-DDE4-4B8B-A489-B57BB3875D19}"/>
    <cellStyle name="Milliers 3 7 2 2" xfId="1007" xr:uid="{1EDC723B-F9F6-46DC-8280-70C29D4F71EE}"/>
    <cellStyle name="Milliers 3 7 2 2 2" xfId="1008" xr:uid="{74AA1297-8E85-41BA-9AEC-A46B891BEBAC}"/>
    <cellStyle name="Milliers 3 7 2 2 3" xfId="1009" xr:uid="{09AB7683-F1BA-4ABD-A53F-3C2370918624}"/>
    <cellStyle name="Milliers 3 7 2 3" xfId="1010" xr:uid="{0614D6A2-933B-4586-A4F4-B2A7CB7617C5}"/>
    <cellStyle name="Milliers 3 7 2 4" xfId="1011" xr:uid="{82892F9D-98CD-4BCE-95D3-003C1F98C189}"/>
    <cellStyle name="Milliers 3 7 3" xfId="1012" xr:uid="{1DCE8F55-F0D5-45F2-A1FA-D5202FB3C39B}"/>
    <cellStyle name="Milliers 3 7 3 2" xfId="1013" xr:uid="{1E4B310B-949D-4FDF-A9B4-E644B275DCA6}"/>
    <cellStyle name="Milliers 3 7 3 3" xfId="1014" xr:uid="{3725B648-3794-46E5-8747-60806EF9286C}"/>
    <cellStyle name="Milliers 3 7 4" xfId="1015" xr:uid="{00F7EB02-742C-45C7-814C-73D8941ABC76}"/>
    <cellStyle name="Milliers 3 7 5" xfId="1016" xr:uid="{E16CF9D5-A23F-45B1-A878-40CB83D4CA73}"/>
    <cellStyle name="Milliers 4" xfId="1017" xr:uid="{EF684613-C4DE-43E8-94DC-2CD3A970E674}"/>
    <cellStyle name="Milliers 4 2" xfId="1018" xr:uid="{65928292-07B6-47B0-937B-4F95D11E2168}"/>
    <cellStyle name="Milliers 4 2 2" xfId="1019" xr:uid="{DF906592-D5EB-4BF8-B241-4CBEB570AB1D}"/>
    <cellStyle name="Milliers 4 3" xfId="1020" xr:uid="{A297DEC8-598C-4411-BDF0-FB6F342E3DBD}"/>
    <cellStyle name="Milliers 4 3 2" xfId="1021" xr:uid="{F46A21D7-0412-49A9-A909-2B5099639C5F}"/>
    <cellStyle name="Milliers 4 4" xfId="1022" xr:uid="{9EF874B7-7231-4137-BE4E-7559DAD8E5E4}"/>
    <cellStyle name="Milliers 5" xfId="1023" xr:uid="{E67A81FA-0CBC-4098-B678-F9F0D3FC8523}"/>
    <cellStyle name="Milliers 5 2" xfId="1024" xr:uid="{EE64A631-55A7-4446-B914-6BBA9E038F4C}"/>
    <cellStyle name="Milliers 5 2 2" xfId="1025" xr:uid="{B80DE086-CD21-4FCC-8C0B-05B1E311E8D3}"/>
    <cellStyle name="Milliers 5 2 3" xfId="1026" xr:uid="{3B6F50C5-C1BA-4AFE-93CD-DE1898010994}"/>
    <cellStyle name="Milliers 6" xfId="1027" xr:uid="{EA2EFC4B-6B99-4899-88A4-599A04B933CB}"/>
    <cellStyle name="Milliers 6 2" xfId="1028" xr:uid="{8D1DCE67-3906-4296-9DA7-74F7CAC33D5B}"/>
    <cellStyle name="Milliers 6 2 2" xfId="1029" xr:uid="{7E48CB83-61F0-4884-8152-92FC8F6FF546}"/>
    <cellStyle name="Milliers 6 2 2 2" xfId="4827" xr:uid="{2420B683-E822-4E7A-86E4-ADBF82DBF997}"/>
    <cellStyle name="Milliers 6 2 3" xfId="4826" xr:uid="{5D16099A-BA35-4448-8B20-9AC462116F97}"/>
    <cellStyle name="Milliers 6 3" xfId="1030" xr:uid="{B67B360E-6A5D-4284-9EAF-DCA92E7AFF1E}"/>
    <cellStyle name="Milliers 6 4" xfId="4825" xr:uid="{36166ADE-E642-480A-B249-58B3047CACD0}"/>
    <cellStyle name="Milliers 7" xfId="1031" xr:uid="{A41DCFF8-04B3-4745-85A2-676130AFFE1B}"/>
    <cellStyle name="Milliers 7 2" xfId="1032" xr:uid="{E4636BDC-FD2B-4DB1-8CDB-17C16FEADA32}"/>
    <cellStyle name="Milliers 7 2 2" xfId="1033" xr:uid="{EBA450E3-9A22-4144-A22B-A877F57A92D9}"/>
    <cellStyle name="Milliers 7 2 2 2" xfId="4829" xr:uid="{9ABE891A-A30C-4DD5-9423-B1C681DD2054}"/>
    <cellStyle name="Milliers 7 2 3" xfId="4828" xr:uid="{F4B0DDB7-6C49-4F24-BD00-781E6471BE9F}"/>
    <cellStyle name="Milliers 7 3" xfId="1034" xr:uid="{1AD5A1DD-252C-4098-9673-2C35A5171463}"/>
    <cellStyle name="Milliers 8" xfId="1035" xr:uid="{904A50FD-4906-4854-8C27-2FE413FD2014}"/>
    <cellStyle name="Milliers 8 2" xfId="1036" xr:uid="{4C7E19D5-2251-4023-BB5A-332BB8B143A2}"/>
    <cellStyle name="Milliers 8 2 2" xfId="1037" xr:uid="{C2EA7572-C4CD-4EF8-A015-9D5FD3E9AA62}"/>
    <cellStyle name="Milliers 9" xfId="1038" xr:uid="{391A4D27-32B7-48FC-9648-E76F5B514576}"/>
    <cellStyle name="Milliers 9 2" xfId="1039" xr:uid="{30568BC1-1429-4D1F-876F-98CE9CDBB36E}"/>
    <cellStyle name="Milliers 9 2 2" xfId="1040" xr:uid="{45EDC6F3-9211-4CD8-B755-E33292165F3E}"/>
    <cellStyle name="Milliers 9 2 2 2" xfId="1041" xr:uid="{EA74D810-A4BE-439E-B4E8-0191367A52EB}"/>
    <cellStyle name="Milliers 9 2 2 2 2" xfId="1042" xr:uid="{24ECD2F9-8047-4E8F-BBD9-53E5AC82243A}"/>
    <cellStyle name="Milliers 9 2 2 2 2 2" xfId="1043" xr:uid="{6974E0C9-5F52-4FCD-BB7B-3B4B70E0255A}"/>
    <cellStyle name="Milliers 9 2 2 2 2 2 2" xfId="1044" xr:uid="{76DCB891-75B0-4E27-8638-3641B1751575}"/>
    <cellStyle name="Milliers 9 2 2 2 2 2 3" xfId="1045" xr:uid="{B0B5624E-DD61-48E2-995A-A98AC540EE8F}"/>
    <cellStyle name="Milliers 9 2 2 2 2 3" xfId="1046" xr:uid="{17C43056-8021-4511-B534-48979D51517E}"/>
    <cellStyle name="Milliers 9 2 2 2 2 4" xfId="1047" xr:uid="{6F5BC447-115A-4E1B-A35C-4A698731BA4B}"/>
    <cellStyle name="Milliers 9 2 2 2 3" xfId="1048" xr:uid="{226BEC6B-88D2-4E28-A7FA-B6B2563A4E9A}"/>
    <cellStyle name="Milliers 9 2 2 2 3 2" xfId="1049" xr:uid="{07F6E3BE-92E0-4E95-AF60-7EC3D3C4D969}"/>
    <cellStyle name="Milliers 9 2 2 2 3 3" xfId="1050" xr:uid="{F9760BE8-23B3-4179-B4FA-6EB3C04221EE}"/>
    <cellStyle name="Milliers 9 2 2 2 4" xfId="1051" xr:uid="{E60EF6F4-359A-41D6-9F14-2CCEC25C9DD6}"/>
    <cellStyle name="Milliers 9 2 2 2 5" xfId="1052" xr:uid="{E0A7103A-0E5C-4409-A679-7664DE627F21}"/>
    <cellStyle name="Milliers 9 2 2 3" xfId="1053" xr:uid="{9DCD4BD4-9E1F-4029-B314-796CE3486E76}"/>
    <cellStyle name="Milliers 9 2 2 3 2" xfId="1054" xr:uid="{0E610583-E9DC-4E53-B5D3-DCBF305FF9A3}"/>
    <cellStyle name="Milliers 9 2 2 3 2 2" xfId="1055" xr:uid="{60D55A21-270B-4A2B-83C9-E6FC7FD73875}"/>
    <cellStyle name="Milliers 9 2 2 3 2 3" xfId="1056" xr:uid="{8A5D9258-1EE5-4630-8E79-0CBCF3D3D739}"/>
    <cellStyle name="Milliers 9 2 2 3 3" xfId="1057" xr:uid="{03A4D951-B485-4125-91CB-4080065CDE55}"/>
    <cellStyle name="Milliers 9 2 2 3 4" xfId="1058" xr:uid="{3E9F3612-D5C1-4362-8050-6DFEB2C47CBF}"/>
    <cellStyle name="Milliers 9 2 2 4" xfId="1059" xr:uid="{F5AEC77C-F462-4CE9-89EB-640D1B48B0C2}"/>
    <cellStyle name="Milliers 9 2 2 4 2" xfId="1060" xr:uid="{695C5636-45FA-422A-805D-DD3251D84D93}"/>
    <cellStyle name="Milliers 9 2 2 4 3" xfId="1061" xr:uid="{82653629-5D34-4FE7-997E-084386873E53}"/>
    <cellStyle name="Milliers 9 2 2 5" xfId="1062" xr:uid="{F99FB2B0-40C7-4223-AE14-106B9163D4A4}"/>
    <cellStyle name="Milliers 9 2 2 6" xfId="1063" xr:uid="{9ACB0194-605F-45B0-9D58-A2E33FF9D9BF}"/>
    <cellStyle name="Milliers 9 2 3" xfId="1064" xr:uid="{05F94187-8D29-4A8E-B6E8-1C0569652239}"/>
    <cellStyle name="Milliers 9 2 3 2" xfId="1065" xr:uid="{30FB9BEB-BA44-43AE-8286-38101EC1FC1F}"/>
    <cellStyle name="Milliers 9 2 3 2 2" xfId="1066" xr:uid="{0C04EAFC-D35C-4835-B084-2A5CA951F028}"/>
    <cellStyle name="Milliers 9 2 3 2 2 2" xfId="1067" xr:uid="{A87A76C8-625F-4468-9E3A-63FD93E4272F}"/>
    <cellStyle name="Milliers 9 2 3 2 2 3" xfId="1068" xr:uid="{C4873C19-D320-4462-AC18-BDCFFB01F86D}"/>
    <cellStyle name="Milliers 9 2 3 2 3" xfId="1069" xr:uid="{198B7452-B682-4C3C-9226-A5111632711E}"/>
    <cellStyle name="Milliers 9 2 3 2 4" xfId="1070" xr:uid="{CA7841F8-0C47-4FA0-957D-1F814D037B8F}"/>
    <cellStyle name="Milliers 9 2 3 3" xfId="1071" xr:uid="{D95FFF54-1C92-4BF0-899A-A10A07F3E578}"/>
    <cellStyle name="Milliers 9 2 3 3 2" xfId="1072" xr:uid="{D13D5E37-4DEA-4D40-AB8D-FC613F72DF27}"/>
    <cellStyle name="Milliers 9 2 3 3 3" xfId="1073" xr:uid="{4A8EF56E-E2B8-470E-93AA-7B173D8B4647}"/>
    <cellStyle name="Milliers 9 2 3 4" xfId="1074" xr:uid="{35260124-D885-4BE0-8DA7-6F95EA2BC7AE}"/>
    <cellStyle name="Milliers 9 2 3 5" xfId="1075" xr:uid="{2022467F-0498-4377-BCE6-EC1B35828B59}"/>
    <cellStyle name="Milliers 9 2 4" xfId="1076" xr:uid="{1EB1ED79-D055-4FD5-8BE2-3F80EBC2BF7C}"/>
    <cellStyle name="Milliers 9 2 4 2" xfId="1077" xr:uid="{C3C6D81B-55C3-44CE-B645-8EF19BBF123F}"/>
    <cellStyle name="Milliers 9 2 4 2 2" xfId="1078" xr:uid="{74FEC7CC-F331-4BA9-BEA5-C9CF98767C20}"/>
    <cellStyle name="Milliers 9 2 4 2 3" xfId="1079" xr:uid="{96B88053-D0F1-401B-8F7A-C733BAFB0CFF}"/>
    <cellStyle name="Milliers 9 2 4 3" xfId="1080" xr:uid="{CF1EF710-B204-46A7-8A49-B510A604E3D0}"/>
    <cellStyle name="Milliers 9 2 4 4" xfId="1081" xr:uid="{CA4DBD35-044A-4257-AAA4-F9FD6579DAF8}"/>
    <cellStyle name="Milliers 9 2 5" xfId="1082" xr:uid="{1FA3DE92-BB51-476F-8D80-22CB1C999033}"/>
    <cellStyle name="Milliers 9 2 5 2" xfId="1083" xr:uid="{DA1A4D1C-F8B3-43F6-9037-865630C686FA}"/>
    <cellStyle name="Milliers 9 2 5 3" xfId="1084" xr:uid="{33B1B229-9DE8-4113-8DC6-C794EAD1669D}"/>
    <cellStyle name="Milliers 9 2 6" xfId="1085" xr:uid="{3ABB8BE1-ECCF-46C3-81B2-32D99A930C33}"/>
    <cellStyle name="Milliers 9 2 7" xfId="1086" xr:uid="{062B16EC-5EBD-4B4B-8DED-CE8B7767CD7D}"/>
    <cellStyle name="Milliers 9 3" xfId="1087" xr:uid="{7CB35A7C-77DD-4376-AD06-67AC4FBCAC75}"/>
    <cellStyle name="Milliers 9 3 2" xfId="1088" xr:uid="{DDEE165C-FED4-4789-9309-A37925253300}"/>
    <cellStyle name="Milliers 9 3 2 2" xfId="1089" xr:uid="{718A1246-3197-4363-9DC4-BBD8527073C1}"/>
    <cellStyle name="Milliers 9 3 2 2 2" xfId="1090" xr:uid="{0FB9A681-E4A7-4908-90E4-1E8643E4BEAD}"/>
    <cellStyle name="Milliers 9 3 2 2 2 2" xfId="1091" xr:uid="{D9484C87-D3D4-4B30-9F29-4D93FE92F68A}"/>
    <cellStyle name="Milliers 9 3 2 2 2 3" xfId="1092" xr:uid="{93EC953F-F166-42F3-B682-67C375A10684}"/>
    <cellStyle name="Milliers 9 3 2 2 3" xfId="1093" xr:uid="{7B88EFEA-7B3A-4E62-A976-29F42041460C}"/>
    <cellStyle name="Milliers 9 3 2 2 4" xfId="1094" xr:uid="{FFFF2748-3911-4DA7-B70C-54B012A27C3E}"/>
    <cellStyle name="Milliers 9 3 2 3" xfId="1095" xr:uid="{FB2F3BBA-22C1-4B52-A32B-471E389645B6}"/>
    <cellStyle name="Milliers 9 3 2 3 2" xfId="1096" xr:uid="{802259AC-DCEE-41FF-A5F8-BD49F4BC3DBF}"/>
    <cellStyle name="Milliers 9 3 2 3 3" xfId="1097" xr:uid="{904D1C1A-6C5A-4FDB-8183-928E6A752583}"/>
    <cellStyle name="Milliers 9 3 2 4" xfId="1098" xr:uid="{A79A92B6-997C-40F7-8559-2624C9F5D7DE}"/>
    <cellStyle name="Milliers 9 3 2 5" xfId="1099" xr:uid="{59459878-24BF-49FA-B617-80E3F26C85DC}"/>
    <cellStyle name="Milliers 9 3 3" xfId="1100" xr:uid="{BE479DB9-4482-4A49-BA82-299B909821CD}"/>
    <cellStyle name="Milliers 9 3 3 2" xfId="1101" xr:uid="{97C77115-0AED-4EEF-AEA1-1F69703FD3C8}"/>
    <cellStyle name="Milliers 9 3 3 2 2" xfId="1102" xr:uid="{9908673A-E094-4E66-936F-4FDDCAC89EB4}"/>
    <cellStyle name="Milliers 9 3 3 2 3" xfId="1103" xr:uid="{11D2FB13-EB3B-4FC6-8929-6CD62A3A7CA5}"/>
    <cellStyle name="Milliers 9 3 3 3" xfId="1104" xr:uid="{41720BBE-0010-4266-A0FB-61CEA05A45E9}"/>
    <cellStyle name="Milliers 9 3 3 4" xfId="1105" xr:uid="{13E54095-664C-4D2F-BAAE-23DD864638B2}"/>
    <cellStyle name="Milliers 9 3 4" xfId="1106" xr:uid="{A4B3DF3B-9489-4750-91A9-ECC7B13A84A8}"/>
    <cellStyle name="Milliers 9 3 4 2" xfId="1107" xr:uid="{283EAAB7-20BF-46DA-968A-4C931DF7E379}"/>
    <cellStyle name="Milliers 9 3 4 3" xfId="1108" xr:uid="{19146CB9-C50D-409F-AFED-88EAD115632A}"/>
    <cellStyle name="Milliers 9 3 5" xfId="1109" xr:uid="{6F77F57B-9AF4-4120-9CE6-6DB5E8F55037}"/>
    <cellStyle name="Milliers 9 3 6" xfId="1110" xr:uid="{D57E1B80-C889-494B-A711-C0E5F57C5540}"/>
    <cellStyle name="Milliers 9 4" xfId="1111" xr:uid="{3EBE050E-B16F-4702-A981-1069F2770CA7}"/>
    <cellStyle name="Milliers 9 4 2" xfId="1112" xr:uid="{BE49F757-A067-40B4-8790-8A621D4D10ED}"/>
    <cellStyle name="Milliers 9 4 2 2" xfId="1113" xr:uid="{12749040-20EA-4394-8C11-5BE73C7D41DF}"/>
    <cellStyle name="Milliers 9 4 2 2 2" xfId="1114" xr:uid="{CBAE2EC5-C2B6-4149-890F-0E600BEDA6FB}"/>
    <cellStyle name="Milliers 9 4 2 2 3" xfId="1115" xr:uid="{8DFB2E31-38E3-407E-81D3-BFFD585FE92B}"/>
    <cellStyle name="Milliers 9 4 2 3" xfId="1116" xr:uid="{B7D52D35-E529-49C4-A8CF-B6FE717B7375}"/>
    <cellStyle name="Milliers 9 4 2 4" xfId="1117" xr:uid="{7C15C674-FE35-449F-815D-2B86240C6FB5}"/>
    <cellStyle name="Milliers 9 4 3" xfId="1118" xr:uid="{BB5990D3-5FD1-4911-A6B0-B57CA1027BB6}"/>
    <cellStyle name="Milliers 9 4 3 2" xfId="1119" xr:uid="{C4EFFCA2-0FD1-46F4-80A8-758F3E5B0703}"/>
    <cellStyle name="Milliers 9 4 3 3" xfId="1120" xr:uid="{514CC3B9-20F7-4BB4-87D6-8337C220C60D}"/>
    <cellStyle name="Milliers 9 4 4" xfId="1121" xr:uid="{4390C713-9178-44B2-80DA-818A9EE7E198}"/>
    <cellStyle name="Milliers 9 4 5" xfId="1122" xr:uid="{7537DE53-C924-457F-89F3-D29339B28871}"/>
    <cellStyle name="Milliers 9 5" xfId="1123" xr:uid="{01B18C69-493B-4D53-BE7D-9F89D15073F6}"/>
    <cellStyle name="Milliers 9 5 2" xfId="1124" xr:uid="{C9E1D098-CFFD-412A-9474-C3D37AB4E578}"/>
    <cellStyle name="Milliers 9 5 2 2" xfId="1125" xr:uid="{6D10F295-B5A5-43DF-ABE8-3A90EB2ACDA3}"/>
    <cellStyle name="Milliers 9 5 2 3" xfId="1126" xr:uid="{B5F2264A-96BE-40F7-BE2E-6549783A8E77}"/>
    <cellStyle name="Milliers 9 5 3" xfId="1127" xr:uid="{2B7986E1-D881-4527-8CE8-F8EA3C5784C6}"/>
    <cellStyle name="Milliers 9 5 4" xfId="1128" xr:uid="{2B64E9F0-12A6-4303-B61E-4C7D5D1B2CC6}"/>
    <cellStyle name="Milliers 9 6" xfId="1129" xr:uid="{A1305D52-17A7-40EB-BA8F-04C347C8DBDC}"/>
    <cellStyle name="Milliers 9 6 2" xfId="1130" xr:uid="{E1B80D60-E0B0-4FFC-B1E3-E2237F85E331}"/>
    <cellStyle name="Milliers 9 6 3" xfId="1131" xr:uid="{6BEFFAAF-2D1A-4093-B0C8-5C8FF208CDB6}"/>
    <cellStyle name="Milliers 9 7" xfId="1132" xr:uid="{7BFBC163-0219-4689-96C5-0AE192D0E443}"/>
    <cellStyle name="Milliers 9 8" xfId="1133" xr:uid="{C0A9498C-54F2-46F3-A6CE-34635C176B00}"/>
    <cellStyle name="Milliers O2K" xfId="1134" xr:uid="{E8DF7F4D-535B-4976-8C65-B3BD0E0CB61E}"/>
    <cellStyle name="Milliers_AXA PEM - Interests details" xfId="1135" xr:uid="{1CD0C89A-888E-4EA0-B387-0C6147AE961A}"/>
    <cellStyle name="Monétaire [0]_Modèles2" xfId="1136" xr:uid="{0A8C66B5-AD09-4F28-8D19-6FB9E13A5797}"/>
    <cellStyle name="Monétaire 2" xfId="1137" xr:uid="{4851F160-5907-4B67-A94B-E2C1FEA6F23A}"/>
    <cellStyle name="Monétaire 2 2" xfId="1138" xr:uid="{8BD79A09-C9E8-4720-8DA8-129745491457}"/>
    <cellStyle name="Monétaire 2 2 2" xfId="4831" xr:uid="{B9BFE74A-110E-4018-AA1A-490D1D3C7F2D}"/>
    <cellStyle name="Monétaire 2 3" xfId="1139" xr:uid="{EB48E1ED-4452-46BB-AB94-340062CD21BD}"/>
    <cellStyle name="Monétaire 2 3 2" xfId="1140" xr:uid="{E8B65B76-6CDA-4C44-A45A-F22003205795}"/>
    <cellStyle name="Monétaire 2 3 2 2" xfId="1141" xr:uid="{337DAEC4-2404-4BD4-B6F5-BBF0C0F0BACA}"/>
    <cellStyle name="Monétaire 2 3 2 2 2" xfId="1142" xr:uid="{606F75AB-0574-4F17-9162-605CDEA9174F}"/>
    <cellStyle name="Monétaire 2 3 2 2 2 2" xfId="1143" xr:uid="{F07D7A8B-7444-459A-8720-E83F5078EB32}"/>
    <cellStyle name="Monétaire 2 3 2 2 2 2 2" xfId="4836" xr:uid="{5280C0A3-2A57-479A-BE68-DC2573C4BB16}"/>
    <cellStyle name="Monétaire 2 3 2 2 2 3" xfId="1144" xr:uid="{C68EFC85-B3B9-4D91-A57E-4FC77DAEF7DB}"/>
    <cellStyle name="Monétaire 2 3 2 2 2 3 2" xfId="4837" xr:uid="{65046606-F686-4207-A297-F87CDBA91514}"/>
    <cellStyle name="Monétaire 2 3 2 2 2 4" xfId="4835" xr:uid="{EE3DD758-4668-4175-80BF-8716D6BA55C3}"/>
    <cellStyle name="Monétaire 2 3 2 2 3" xfId="1145" xr:uid="{81423CDE-73FB-4166-9629-A3C961364B46}"/>
    <cellStyle name="Monétaire 2 3 2 2 3 2" xfId="4838" xr:uid="{2B30756C-7BCC-4B3A-8414-1D0289EBD918}"/>
    <cellStyle name="Monétaire 2 3 2 2 4" xfId="1146" xr:uid="{CCE1A73F-4075-4B78-891D-D9CA224357E9}"/>
    <cellStyle name="Monétaire 2 3 2 2 4 2" xfId="4839" xr:uid="{9BAA168C-E722-449E-AF7C-FD14CAD54BB0}"/>
    <cellStyle name="Monétaire 2 3 2 2 5" xfId="4834" xr:uid="{910F928A-ABF9-4C46-8943-7B1AAB38D1DA}"/>
    <cellStyle name="Monétaire 2 3 2 3" xfId="1147" xr:uid="{56521140-ACB5-4E7A-BA5C-2C553AA3F633}"/>
    <cellStyle name="Monétaire 2 3 2 3 2" xfId="1148" xr:uid="{6265103B-DE9E-4043-A30B-C7F58C48A210}"/>
    <cellStyle name="Monétaire 2 3 2 3 2 2" xfId="4841" xr:uid="{78151706-43B6-4AF2-99F9-553AAFC5B9D5}"/>
    <cellStyle name="Monétaire 2 3 2 3 3" xfId="1149" xr:uid="{F30C492B-AE11-4190-B592-DE6B9B953199}"/>
    <cellStyle name="Monétaire 2 3 2 3 3 2" xfId="4842" xr:uid="{D860194D-E6AD-402E-89F1-1A07D767EBAA}"/>
    <cellStyle name="Monétaire 2 3 2 3 4" xfId="4840" xr:uid="{4AA63354-C7A0-4A8B-AB1F-768AAE0B30DD}"/>
    <cellStyle name="Monétaire 2 3 2 4" xfId="1150" xr:uid="{81B8CDB3-56A5-4EF0-87F1-3B94DC275719}"/>
    <cellStyle name="Monétaire 2 3 2 4 2" xfId="4843" xr:uid="{E97BBC16-304C-4172-89C5-DF11D65D90B2}"/>
    <cellStyle name="Monétaire 2 3 2 5" xfId="1151" xr:uid="{60EA7A82-43A7-454B-9B9E-79CC23E9C159}"/>
    <cellStyle name="Monétaire 2 3 2 5 2" xfId="4844" xr:uid="{0DECB43E-6CA0-4862-9C97-B228786841F6}"/>
    <cellStyle name="Monétaire 2 3 2 6" xfId="4833" xr:uid="{1E7EEE0B-0E82-440C-AB9A-FB7FFA8AE354}"/>
    <cellStyle name="Monétaire 2 3 3" xfId="1152" xr:uid="{13C190DC-B790-49BE-BF9C-EEDE4DDBCADD}"/>
    <cellStyle name="Monétaire 2 3 3 2" xfId="1153" xr:uid="{98015FAB-EF8F-43F3-BC3A-D9B0C68F4193}"/>
    <cellStyle name="Monétaire 2 3 3 2 2" xfId="1154" xr:uid="{BA63BFE7-92B0-43AA-AA8B-CEA55A01E7A1}"/>
    <cellStyle name="Monétaire 2 3 3 2 2 2" xfId="4847" xr:uid="{D588A954-E8CB-4EB7-BD6C-CC9271396BA8}"/>
    <cellStyle name="Monétaire 2 3 3 2 3" xfId="1155" xr:uid="{8D359F71-DC81-478F-937C-D2A154B8CA1E}"/>
    <cellStyle name="Monétaire 2 3 3 2 3 2" xfId="4848" xr:uid="{415F2B3F-A9EB-4259-A019-6483C059D890}"/>
    <cellStyle name="Monétaire 2 3 3 2 4" xfId="4846" xr:uid="{855D5DDE-F5FD-4D10-AE06-0E682E95E9BF}"/>
    <cellStyle name="Monétaire 2 3 3 3" xfId="1156" xr:uid="{870D34B6-FB4D-4D81-93A5-944A908A1299}"/>
    <cellStyle name="Monétaire 2 3 3 3 2" xfId="4849" xr:uid="{522CAAAE-3497-4950-9233-1FBF2E0672D9}"/>
    <cellStyle name="Monétaire 2 3 3 4" xfId="1157" xr:uid="{6BC95D8C-5086-4AD9-A7F1-BDA0F7870E83}"/>
    <cellStyle name="Monétaire 2 3 3 4 2" xfId="4850" xr:uid="{8EEEF0F7-BAC0-47E5-9639-E643E0D63D74}"/>
    <cellStyle name="Monétaire 2 3 3 5" xfId="4845" xr:uid="{8165BE40-A6D7-4E7C-A0CC-CB40ED3A863E}"/>
    <cellStyle name="Monétaire 2 3 4" xfId="1158" xr:uid="{E285A9FE-7D23-4CAF-A62C-418A5A805CCB}"/>
    <cellStyle name="Monétaire 2 3 4 2" xfId="1159" xr:uid="{99F5478B-E8E0-4FF2-82EB-39E60EB360BD}"/>
    <cellStyle name="Monétaire 2 3 4 2 2" xfId="4852" xr:uid="{52B977E2-764D-4C96-BE8B-416283B1365C}"/>
    <cellStyle name="Monétaire 2 3 4 3" xfId="1160" xr:uid="{73376CCC-6EC6-4A65-A2A9-4163C935DD3B}"/>
    <cellStyle name="Monétaire 2 3 4 3 2" xfId="4853" xr:uid="{096F9E3F-3B27-4C75-8EFB-8EC8CBF1E778}"/>
    <cellStyle name="Monétaire 2 3 4 4" xfId="4851" xr:uid="{B6B54DE1-BE7E-4C5C-9FA0-AC3D4D600C1F}"/>
    <cellStyle name="Monétaire 2 3 5" xfId="1161" xr:uid="{0EA0F7F3-0832-4B56-AFE1-88924BBAFD03}"/>
    <cellStyle name="Monétaire 2 3 5 2" xfId="4854" xr:uid="{BF7C5576-AA91-4D1A-BBD8-A966F4365FA5}"/>
    <cellStyle name="Monétaire 2 3 6" xfId="1162" xr:uid="{C5BA2D3E-8FA5-44DE-B904-7CA42151A61A}"/>
    <cellStyle name="Monétaire 2 3 6 2" xfId="4855" xr:uid="{E033AE1E-926E-45EA-93B9-0843B3D328C4}"/>
    <cellStyle name="Monétaire 2 3 7" xfId="4832" xr:uid="{382486F0-D7D5-455E-89B6-0382F43E5FB3}"/>
    <cellStyle name="Monétaire 2 4" xfId="1163" xr:uid="{A8EEE6C6-A0F3-45CA-8304-017B8ECD0A3D}"/>
    <cellStyle name="Monétaire 2 4 2" xfId="1164" xr:uid="{8733E335-1F47-4465-A11F-C2208FE81E2F}"/>
    <cellStyle name="Monétaire 2 4 2 2" xfId="1165" xr:uid="{3E29B707-E70C-4360-90E2-4DF33DCE5D92}"/>
    <cellStyle name="Monétaire 2 4 2 2 2" xfId="1166" xr:uid="{3715321E-E6F3-40F2-8535-73B514972650}"/>
    <cellStyle name="Monétaire 2 4 2 2 2 2" xfId="4859" xr:uid="{E5FD6333-ACDC-4A7E-8574-34B497EC7ABE}"/>
    <cellStyle name="Monétaire 2 4 2 2 3" xfId="1167" xr:uid="{37B9DBB2-7129-4184-9076-144FEFC9AC89}"/>
    <cellStyle name="Monétaire 2 4 2 2 3 2" xfId="4860" xr:uid="{1A964EE1-5289-4442-9900-7877934DA8D2}"/>
    <cellStyle name="Monétaire 2 4 2 2 4" xfId="4858" xr:uid="{DED53298-A898-43CD-AD7B-127C04A2A8AA}"/>
    <cellStyle name="Monétaire 2 4 2 3" xfId="1168" xr:uid="{7EB9BCEA-472B-426C-92E0-9CDC0A1A2262}"/>
    <cellStyle name="Monétaire 2 4 2 3 2" xfId="4861" xr:uid="{9EB63676-FBE2-487A-B818-591A79E8B4DC}"/>
    <cellStyle name="Monétaire 2 4 2 4" xfId="1169" xr:uid="{7C8AEEB2-8FDF-4B9C-B811-83E55243DC55}"/>
    <cellStyle name="Monétaire 2 4 2 4 2" xfId="4862" xr:uid="{5C9675C6-937E-4B47-A990-A69CFCE601DE}"/>
    <cellStyle name="Monétaire 2 4 2 5" xfId="4857" xr:uid="{61730A3E-7C9A-4308-9602-9B20733F0505}"/>
    <cellStyle name="Monétaire 2 4 3" xfId="1170" xr:uid="{B6FA92E6-5DD6-4BFE-B691-7FCE1D4983A6}"/>
    <cellStyle name="Monétaire 2 4 3 2" xfId="1171" xr:uid="{D5A07ED7-41FF-4125-B540-CFAB4BCD17A1}"/>
    <cellStyle name="Monétaire 2 4 3 2 2" xfId="4864" xr:uid="{5973AE4D-1B57-4A9E-A369-7F9E3CB6F435}"/>
    <cellStyle name="Monétaire 2 4 3 3" xfId="1172" xr:uid="{AC642632-16B0-4C40-96E5-2C15D9453730}"/>
    <cellStyle name="Monétaire 2 4 3 3 2" xfId="4865" xr:uid="{144B580E-36B6-441C-88D7-DD0A3FBE8979}"/>
    <cellStyle name="Monétaire 2 4 3 4" xfId="4863" xr:uid="{9C9C1CEB-4428-41F0-B382-64BC2DB5B3EF}"/>
    <cellStyle name="Monétaire 2 4 4" xfId="1173" xr:uid="{7FF62EE5-9618-4988-AEE1-DA5FEA8DDA9B}"/>
    <cellStyle name="Monétaire 2 4 4 2" xfId="4866" xr:uid="{CA4A5E0A-3BD7-49A1-B477-208132D290D2}"/>
    <cellStyle name="Monétaire 2 4 5" xfId="1174" xr:uid="{08BC0FAA-6CAE-4AEF-8E40-0FF84DC281D6}"/>
    <cellStyle name="Monétaire 2 4 5 2" xfId="4867" xr:uid="{F300E531-0173-4A63-A9FE-68DFD36C8549}"/>
    <cellStyle name="Monétaire 2 4 6" xfId="4856" xr:uid="{9B78C220-1D87-4321-8E32-D020AC8A4B32}"/>
    <cellStyle name="Monétaire 2 5" xfId="1175" xr:uid="{08433E07-E7C8-4C23-90AD-6ADD46F4DF50}"/>
    <cellStyle name="Monétaire 2 5 2" xfId="1176" xr:uid="{97AEFE3A-5E45-4AA7-B332-95DE49E0DB20}"/>
    <cellStyle name="Monétaire 2 5 2 2" xfId="1177" xr:uid="{3A8572D0-4AF3-45E9-A9E0-3D83659176A7}"/>
    <cellStyle name="Monétaire 2 5 2 2 2" xfId="4870" xr:uid="{C0455675-FD70-4241-9038-D655A114A5B6}"/>
    <cellStyle name="Monétaire 2 5 2 3" xfId="1178" xr:uid="{D297686B-ABF1-4060-9FF5-70C9430A2BC2}"/>
    <cellStyle name="Monétaire 2 5 2 3 2" xfId="4871" xr:uid="{22FC84AE-E4A7-42E6-AE63-AB322835FE39}"/>
    <cellStyle name="Monétaire 2 5 2 4" xfId="4869" xr:uid="{417B147C-4014-4C63-9905-72705BF831DD}"/>
    <cellStyle name="Monétaire 2 5 3" xfId="1179" xr:uid="{A044F9B7-F298-4457-BD91-A71A3482BB1C}"/>
    <cellStyle name="Monétaire 2 5 3 2" xfId="4872" xr:uid="{41F51C4D-7EE5-42EA-AF92-F5CE2FD5F019}"/>
    <cellStyle name="Monétaire 2 5 4" xfId="1180" xr:uid="{5224032A-8863-448C-96FB-AEB6B926929F}"/>
    <cellStyle name="Monétaire 2 5 4 2" xfId="4873" xr:uid="{F1DE32CC-007D-42E9-812D-9822E10DF2FD}"/>
    <cellStyle name="Monétaire 2 5 5" xfId="4868" xr:uid="{4B69224C-4458-45AD-8912-EDF9841C8B71}"/>
    <cellStyle name="Monétaire 2 6" xfId="1181" xr:uid="{0E502C20-AA17-48E3-8DB0-682E152E62B9}"/>
    <cellStyle name="Monétaire 2 6 2" xfId="1182" xr:uid="{21A74A09-0AEC-45CF-BE2C-7A0737133575}"/>
    <cellStyle name="Monétaire 2 6 2 2" xfId="4875" xr:uid="{78B722A6-CF65-4198-8388-ED2A7614C634}"/>
    <cellStyle name="Monétaire 2 6 3" xfId="1183" xr:uid="{78D20AA2-A335-4493-B6B7-6D6CF9BC50AF}"/>
    <cellStyle name="Monétaire 2 6 3 2" xfId="4876" xr:uid="{1DF97B7E-1D5D-462E-9919-2D716A9680DB}"/>
    <cellStyle name="Monétaire 2 6 4" xfId="4874" xr:uid="{B2C3EFAB-63A8-4BB8-AFA5-B3F970E29B67}"/>
    <cellStyle name="Monétaire 2 7" xfId="1184" xr:uid="{B88BE1E9-A8A3-489A-845C-F0B1BD4D1E27}"/>
    <cellStyle name="Monétaire 2 7 2" xfId="4877" xr:uid="{30150F71-5928-47CF-85C4-2D0DA2A21B8C}"/>
    <cellStyle name="Monétaire 2 8" xfId="1185" xr:uid="{5C63C101-42FC-4FB1-A14F-02411DB6E81C}"/>
    <cellStyle name="Monétaire 2 8 2" xfId="4878" xr:uid="{AD076122-38ED-494A-8AB9-96E5CD7A67BD}"/>
    <cellStyle name="Monétaire 2 9" xfId="4830" xr:uid="{1BCF5970-5A8B-496F-8A7D-E22D3FFD28A0}"/>
    <cellStyle name="Monétaire_Modèles2" xfId="1186" xr:uid="{2E906B5C-3A0F-47BF-88F4-D7A0A88F5DE6}"/>
    <cellStyle name="Monétaire0" xfId="1187" xr:uid="{A5AAFE2D-E0D5-4DA2-822B-320518A7ACE8}"/>
    <cellStyle name="Neutral 2" xfId="1188" xr:uid="{762A19CD-6320-4D83-B472-EB09873BF2CB}"/>
    <cellStyle name="Neutre" xfId="1189" xr:uid="{D74EB42C-AAA0-43F2-B51D-670856B8A725}"/>
    <cellStyle name="Neutre 2" xfId="1190" xr:uid="{4CDDF2BC-723A-424B-8744-2E1A9F6F2E7F}"/>
    <cellStyle name="Normal - Style1" xfId="1191" xr:uid="{C8A81247-7EA3-451E-A0B5-BE3DF1ED8FA8}"/>
    <cellStyle name="Normal - Style1 2" xfId="1192" xr:uid="{0DBD7CEA-9939-4D83-9265-338026E8C8C1}"/>
    <cellStyle name="Normal - Style1 3" xfId="1193" xr:uid="{2C6ADE6E-DB22-4797-AF2F-78DA4D8D8051}"/>
    <cellStyle name="Normal 10" xfId="1194" xr:uid="{727B017A-6BD6-4DEA-A2EF-5A5A1D1475F5}"/>
    <cellStyle name="Normal 10 2" xfId="1195" xr:uid="{9D343AC5-6325-499E-B5AC-F2CC00F591EC}"/>
    <cellStyle name="Normal 100" xfId="1196" xr:uid="{4CF80D64-FB45-4571-BA35-DFE922B074E4}"/>
    <cellStyle name="Normal 100 2" xfId="1197" xr:uid="{6DE09EAC-E2E9-4466-B98B-F53FA688CBB6}"/>
    <cellStyle name="Normal 101" xfId="1198" xr:uid="{26057A60-F20A-41A7-8F71-A96D2773C592}"/>
    <cellStyle name="Normal 101 2" xfId="1199" xr:uid="{EE71F7E3-7495-4484-8E74-C3180111E327}"/>
    <cellStyle name="Normal 102" xfId="1200" xr:uid="{88BF2151-94DB-4251-81E4-F1A747CDD8E3}"/>
    <cellStyle name="Normal 102 2" xfId="1201" xr:uid="{04BD8574-3E39-4E3C-A616-84CDC4DABC21}"/>
    <cellStyle name="Normal 103" xfId="1202" xr:uid="{C26B8E25-EC27-442C-9A54-E3A505C009CA}"/>
    <cellStyle name="Normal 103 2" xfId="1203" xr:uid="{52A9B3EC-0A63-4206-983F-B01684787EF3}"/>
    <cellStyle name="Normal 104" xfId="1204" xr:uid="{64B50B0A-CAB9-4805-8EFE-E09D97D3FD86}"/>
    <cellStyle name="Normal 104 2" xfId="1205" xr:uid="{96C2A42A-4C45-4DE1-8CD1-20A23400C600}"/>
    <cellStyle name="Normal 105" xfId="1206" xr:uid="{07977E94-CB7E-4CC7-8FAD-AA56C922925F}"/>
    <cellStyle name="Normal 105 2" xfId="1207" xr:uid="{0C89C137-54B8-4888-A4FE-D8A4B3C19BB2}"/>
    <cellStyle name="Normal 106" xfId="1208" xr:uid="{756942CB-9051-4CFB-9D83-7003A45FB94B}"/>
    <cellStyle name="Normal 106 2" xfId="1209" xr:uid="{595CF99E-CE1C-4621-8576-E6335C8F2AB3}"/>
    <cellStyle name="Normal 107" xfId="1210" xr:uid="{E99685DD-CBBA-499D-9DED-D43C053409B0}"/>
    <cellStyle name="Normal 108" xfId="1211" xr:uid="{6129540B-CADB-433F-9B87-2A1E2AFC23E4}"/>
    <cellStyle name="Normal 108 2" xfId="1212" xr:uid="{C901D743-8941-4568-85B6-774A8EABF1E5}"/>
    <cellStyle name="Normal 108 2 2" xfId="1213" xr:uid="{1F6EDB5A-55DB-4376-A4EF-3A56C961D85B}"/>
    <cellStyle name="Normal 108 2 2 2" xfId="1214" xr:uid="{679741F5-8D97-4226-99E5-65ACC47AF48D}"/>
    <cellStyle name="Normal 108 2 2 3" xfId="1215" xr:uid="{B0C508D4-5634-48B8-89B1-322965EE149C}"/>
    <cellStyle name="Normal 108 2 3" xfId="1216" xr:uid="{D7AB62A3-8BAB-4CD4-97D3-A4725CB4BDB4}"/>
    <cellStyle name="Normal 108 2 4" xfId="1217" xr:uid="{678D69C8-8446-4BC1-8EFE-37DFD97C29D3}"/>
    <cellStyle name="Normal 108 3" xfId="1218" xr:uid="{AAE1B706-85BF-4C46-B1D4-8D7E196BB096}"/>
    <cellStyle name="Normal 108 3 2" xfId="1219" xr:uid="{28F29416-9DD3-4A53-AA6C-BDADFE10FD40}"/>
    <cellStyle name="Normal 108 3 3" xfId="1220" xr:uid="{FFC588AC-72C5-4F34-A645-0D9625571352}"/>
    <cellStyle name="Normal 108 4" xfId="1221" xr:uid="{1F99C4D3-508F-49CA-86BC-A82BCBBC2F7C}"/>
    <cellStyle name="Normal 108 5" xfId="1222" xr:uid="{FB8F5CF7-CFDC-4A51-9165-7701FB5B1A32}"/>
    <cellStyle name="Normal 108_TB" xfId="1223" xr:uid="{9AD36150-89E4-4903-B6C5-8401BAECE7C0}"/>
    <cellStyle name="Normal 109" xfId="1224" xr:uid="{C4BAAC69-B4C7-4D03-A64B-D34B104510D4}"/>
    <cellStyle name="Normal 109 2" xfId="1225" xr:uid="{3BA5D4C7-CD61-43FF-ACA1-4551883A49CC}"/>
    <cellStyle name="Normal 109 2 2" xfId="1226" xr:uid="{89000D4A-1C2C-4933-A69A-1147EB023319}"/>
    <cellStyle name="Normal 109 2 2 2" xfId="1227" xr:uid="{1E45174E-93DF-425A-9CFA-CDA873092989}"/>
    <cellStyle name="Normal 109 2 2 3" xfId="1228" xr:uid="{FE2CA5B1-4DDC-41DD-AF71-CF64529A2BFA}"/>
    <cellStyle name="Normal 109 2 3" xfId="1229" xr:uid="{A51E7148-331F-46AB-B447-C8084058BC1B}"/>
    <cellStyle name="Normal 109 2 4" xfId="1230" xr:uid="{96745604-B612-4F96-9BAD-27251A6413E9}"/>
    <cellStyle name="Normal 109 3" xfId="1231" xr:uid="{E47B37C1-F559-4E89-8201-50E7C9F703D8}"/>
    <cellStyle name="Normal 109 3 2" xfId="1232" xr:uid="{D6EFAC56-6A62-4838-AB58-4422D834AEE8}"/>
    <cellStyle name="Normal 109 3 3" xfId="1233" xr:uid="{9F8835C2-D431-41C8-A0E0-BE34608EA7A2}"/>
    <cellStyle name="Normal 109 4" xfId="1234" xr:uid="{BE0D4EC2-100E-4EFE-913C-6D9809E05E65}"/>
    <cellStyle name="Normal 109 5" xfId="1235" xr:uid="{56297A7B-3CAD-4B9C-8243-BE0A9EFE656A}"/>
    <cellStyle name="Normal 109_TB" xfId="1236" xr:uid="{1B690BD2-1B34-41C8-A248-671C234595B8}"/>
    <cellStyle name="Normal 11" xfId="1237" xr:uid="{5BB9E744-645D-4F32-AF3C-E316CD831C69}"/>
    <cellStyle name="Normal 11 2" xfId="1238" xr:uid="{98F6617F-2BDE-4A52-B599-4747AC66FB23}"/>
    <cellStyle name="Normal 110" xfId="1239" xr:uid="{BD193809-0D2F-42A4-A1AD-4072C41640F9}"/>
    <cellStyle name="Normal 111" xfId="1240" xr:uid="{84759508-9EAD-49C3-82B6-094A2068712C}"/>
    <cellStyle name="Normal 111 2" xfId="1241" xr:uid="{D976CC33-28F6-41D4-9701-850D499556D1}"/>
    <cellStyle name="Normal 112" xfId="1242" xr:uid="{BF80AA32-F06E-40DD-8998-C313734FCB8E}"/>
    <cellStyle name="Normal 112 2" xfId="1243" xr:uid="{70CCBCDB-340C-4EF1-8067-24C9A9243B0D}"/>
    <cellStyle name="Normal 113" xfId="1244" xr:uid="{45808591-8546-4CF7-9C8E-A417EBA7107F}"/>
    <cellStyle name="Normal 113 2" xfId="1245" xr:uid="{7CDAE1D5-8A00-4011-9948-27ED3B6307CC}"/>
    <cellStyle name="Normal 114" xfId="1246" xr:uid="{1BA69054-6B3F-4713-AA3A-6AA3FE744367}"/>
    <cellStyle name="Normal 114 2" xfId="1247" xr:uid="{BDD41958-335B-4A12-8DBE-068955EE376A}"/>
    <cellStyle name="Normal 115" xfId="1248" xr:uid="{671EA1FB-4FEF-4103-970B-DDABAAEF1296}"/>
    <cellStyle name="Normal 115 2" xfId="1249" xr:uid="{AC7F3AE0-99B3-45CD-97D3-AF18D4F68549}"/>
    <cellStyle name="Normal 116" xfId="1250" xr:uid="{E6C6A88A-EAAA-4D9D-9541-98BB224CCA6A}"/>
    <cellStyle name="Normal 116 2" xfId="1251" xr:uid="{F8A9906D-76ED-464A-A670-C8401F55FFD1}"/>
    <cellStyle name="Normal 117" xfId="1252" xr:uid="{7D20C556-F511-4614-ACFF-2904D8595331}"/>
    <cellStyle name="Normal 117 2" xfId="1253" xr:uid="{50AB51D7-EE2E-4B6D-87EA-5E68AE5159D5}"/>
    <cellStyle name="Normal 118" xfId="1254" xr:uid="{02F640D8-4FFC-49DB-91AC-3C6BB2C7B91A}"/>
    <cellStyle name="Normal 118 2" xfId="1255" xr:uid="{AA8AFB24-565F-4591-B771-1411890911B2}"/>
    <cellStyle name="Normal 119" xfId="1256" xr:uid="{457AF4E2-CA9F-4049-B4CD-070C61842EB3}"/>
    <cellStyle name="Normal 119 2" xfId="1257" xr:uid="{B62CAD66-1687-4B9A-BABB-FFE5323FA2A3}"/>
    <cellStyle name="Normal 12" xfId="1258" xr:uid="{E7BA2C95-9F09-4D2E-A35B-E1856440AEA9}"/>
    <cellStyle name="Normal 12 2" xfId="1259" xr:uid="{02E1C9EB-0A40-4EFE-9522-B8F88D78C0AF}"/>
    <cellStyle name="Normal 120" xfId="1260" xr:uid="{66D09F1C-8960-4265-81E2-778C215222C4}"/>
    <cellStyle name="Normal 120 2" xfId="1261" xr:uid="{6D138E92-278F-453F-AB4D-BD93870E477E}"/>
    <cellStyle name="Normal 121" xfId="1262" xr:uid="{7124E016-CAC6-4FB7-9533-5EE3B8CCB4DB}"/>
    <cellStyle name="Normal 122" xfId="1263" xr:uid="{3A0832CB-9E97-47DB-B6DC-DF6C5BE83E68}"/>
    <cellStyle name="Normal 123" xfId="1264" xr:uid="{9D431297-DE61-49E7-8FEE-1EDBDB41F6EE}"/>
    <cellStyle name="Normal 124" xfId="1265" xr:uid="{5D8FBA81-96F7-4EC9-A6A9-896047F05FBA}"/>
    <cellStyle name="Normal 124 2" xfId="1266" xr:uid="{1EBD01B8-3B80-48BB-ACC0-914B418AA5B3}"/>
    <cellStyle name="Normal 125" xfId="1267" xr:uid="{7E403712-3545-4973-929F-B6912031DBF7}"/>
    <cellStyle name="Normal 125 2" xfId="1268" xr:uid="{6C009B7D-6FA6-4F8C-8041-FC77A99126C2}"/>
    <cellStyle name="Normal 126" xfId="1269" xr:uid="{F1D95FA1-E2D3-437C-9C69-695A5F10EA53}"/>
    <cellStyle name="Normal 126 2" xfId="1270" xr:uid="{E2A3F813-06AE-4F89-A2FD-FF12EA69A165}"/>
    <cellStyle name="Normal 127" xfId="1271" xr:uid="{21C73D8E-8464-4DA6-A12B-3F697273A53B}"/>
    <cellStyle name="Normal 127 2" xfId="1272" xr:uid="{3674721C-4838-453B-9C60-7FD361AF7F8C}"/>
    <cellStyle name="Normal 128" xfId="1273" xr:uid="{AF317CD5-CE92-4F90-B431-0A890BBFD2B1}"/>
    <cellStyle name="Normal 128 2" xfId="1274" xr:uid="{D2136C1B-B66C-46AE-869D-5707C48E191E}"/>
    <cellStyle name="Normal 129" xfId="1275" xr:uid="{DBF9D624-A388-4486-8799-20FC9F5C2A27}"/>
    <cellStyle name="Normal 13" xfId="1276" xr:uid="{A3955DA7-DBA6-4010-8662-A71D228148B7}"/>
    <cellStyle name="Normal 13 2" xfId="1277" xr:uid="{B1F74545-E80B-40F1-8379-734E03915D54}"/>
    <cellStyle name="Normal 130" xfId="1278" xr:uid="{A7CD3C71-BE5A-40C0-8FF7-C60E4586A8D9}"/>
    <cellStyle name="Normal 130 2" xfId="1279" xr:uid="{DCF0C2B8-0758-4C0E-9D40-37886F9EDBAC}"/>
    <cellStyle name="Normal 130 2 2" xfId="1280" xr:uid="{A925A281-4E0F-42BF-8DBD-BF191EBDEAEB}"/>
    <cellStyle name="Normal 130 2 2 2" xfId="1281" xr:uid="{A1461945-DEF9-4312-B9FA-E1BADC70E1E1}"/>
    <cellStyle name="Normal 130 2 2 3" xfId="1282" xr:uid="{6223883F-4768-45C6-A5A4-8251BAC7B3F6}"/>
    <cellStyle name="Normal 130 2 3" xfId="1283" xr:uid="{7E0223B3-C905-4505-9CBC-C58B7F8B285E}"/>
    <cellStyle name="Normal 130 2 4" xfId="1284" xr:uid="{D0CD721D-3BB8-4D85-844B-5FDEBAF64F74}"/>
    <cellStyle name="Normal 130 3" xfId="1285" xr:uid="{EA1B0596-3ABE-44C6-8114-06D284D7755A}"/>
    <cellStyle name="Normal 130 3 2" xfId="1286" xr:uid="{D7F82CEA-E39A-45A0-9866-129518A0BAB1}"/>
    <cellStyle name="Normal 130 3 3" xfId="1287" xr:uid="{6B93EBCC-CD5C-4B83-9301-52C7C54108B0}"/>
    <cellStyle name="Normal 130 4" xfId="1288" xr:uid="{D27ED331-7BA2-4A4D-BB99-7AC4BB487E60}"/>
    <cellStyle name="Normal 130 5" xfId="1289" xr:uid="{877D7FE5-DE20-4301-B014-F0E6895CC904}"/>
    <cellStyle name="Normal 130_TB" xfId="1290" xr:uid="{247806B8-9CD4-4A6B-8984-1E73872E236B}"/>
    <cellStyle name="Normal 131" xfId="1291" xr:uid="{8DB50F1E-4DF3-455B-8321-A8A0EFB716EF}"/>
    <cellStyle name="Normal 131 2" xfId="1292" xr:uid="{6336B06C-568E-491D-BD89-AE65296A623E}"/>
    <cellStyle name="Normal 131 2 2" xfId="1293" xr:uid="{90A4F345-8C99-4FE9-B000-5AF1ECAD77A1}"/>
    <cellStyle name="Normal 131 2 2 2" xfId="1294" xr:uid="{35361BBE-D8DD-4D9F-9A27-210200F963AA}"/>
    <cellStyle name="Normal 131 2 2 3" xfId="1295" xr:uid="{758CC11C-7E1D-48C6-A030-48CBB73070BD}"/>
    <cellStyle name="Normal 131 2 3" xfId="1296" xr:uid="{B4253EE4-4F5C-4BA6-ADBC-0DE6661ECF97}"/>
    <cellStyle name="Normal 131 2 4" xfId="1297" xr:uid="{5942A06D-4661-416C-8DF5-73C5E4F04048}"/>
    <cellStyle name="Normal 131 3" xfId="1298" xr:uid="{C852B605-EA82-4EE9-BCC9-0AA311212481}"/>
    <cellStyle name="Normal 131 3 2" xfId="1299" xr:uid="{02EC1863-CB1F-4F23-B8B1-C5FB877F9DE1}"/>
    <cellStyle name="Normal 131 3 3" xfId="1300" xr:uid="{FC0D97F8-A7CA-4020-BD32-A535B88F672A}"/>
    <cellStyle name="Normal 131 4" xfId="1301" xr:uid="{A369A7D3-1AF4-4467-8F07-43A81625CAA2}"/>
    <cellStyle name="Normal 131 5" xfId="1302" xr:uid="{43D5E219-9184-4A71-B0AB-E79627606C5A}"/>
    <cellStyle name="Normal 131_TB" xfId="1303" xr:uid="{51F23C25-CF2A-4C01-8175-69F7F64E3BCA}"/>
    <cellStyle name="Normal 132" xfId="1304" xr:uid="{0DF9C730-A68D-4DFC-8C42-AFC27D9BF0BE}"/>
    <cellStyle name="Normal 132 2" xfId="1305" xr:uid="{92AF1477-309F-423F-8136-8E257548674E}"/>
    <cellStyle name="Normal 132 2 2" xfId="1306" xr:uid="{E75AEA66-AFEB-44CA-A8A9-A3DCB27E61BD}"/>
    <cellStyle name="Normal 132 2 2 2" xfId="1307" xr:uid="{B4F454BA-FDAA-4C01-BA07-72CE15C0AD0A}"/>
    <cellStyle name="Normal 132 2 2 3" xfId="1308" xr:uid="{790B6658-7ECC-4E46-BA66-31B1B6B495EF}"/>
    <cellStyle name="Normal 132 2 3" xfId="1309" xr:uid="{C2ABFADF-3753-4186-BA92-595010E515B8}"/>
    <cellStyle name="Normal 132 2 4" xfId="1310" xr:uid="{422974ED-1E32-440D-B91E-447D565FE9EE}"/>
    <cellStyle name="Normal 132 3" xfId="1311" xr:uid="{C71ED929-CB38-405B-8E61-1CC8CE8B2D7E}"/>
    <cellStyle name="Normal 132 3 2" xfId="1312" xr:uid="{D9ECA1B1-47B2-46DB-9AAF-B5E61402BB89}"/>
    <cellStyle name="Normal 132 3 3" xfId="1313" xr:uid="{4F929568-B0FE-4408-A150-931089729A1E}"/>
    <cellStyle name="Normal 132 4" xfId="1314" xr:uid="{5970F809-B3D0-4AC8-8C2C-7067494E6917}"/>
    <cellStyle name="Normal 132 5" xfId="1315" xr:uid="{C07D7618-D6E7-46DE-9B32-C2981AF910E8}"/>
    <cellStyle name="Normal 132_TB" xfId="1316" xr:uid="{6990D356-F038-4FBA-9C88-D403B44DA891}"/>
    <cellStyle name="Normal 133" xfId="1317" xr:uid="{A8E4C0AA-863F-4B74-AB24-CDA4DC87158B}"/>
    <cellStyle name="Normal 134" xfId="1318" xr:uid="{C2286AD0-56B9-478E-8BD8-6251FF790DBC}"/>
    <cellStyle name="Normal 135" xfId="1319" xr:uid="{A7EFC191-2E0E-4DA0-9E1C-DBB2E6FA0A94}"/>
    <cellStyle name="Normal 135 2" xfId="1320" xr:uid="{8C4EE85D-C557-4007-B033-0A0E3846A12A}"/>
    <cellStyle name="Normal 135_TB" xfId="1321" xr:uid="{A99A2C7E-C8EF-47DB-929B-387D31938684}"/>
    <cellStyle name="Normal 136" xfId="1322" xr:uid="{EB8E066F-E92F-4CC6-AE93-D3E45C0D639A}"/>
    <cellStyle name="Normal 136 2" xfId="1323" xr:uid="{47386DE7-AF56-474B-B134-A34A2449BA4C}"/>
    <cellStyle name="Normal 136 2 2" xfId="1324" xr:uid="{B20F288D-B804-4FD3-A509-77B4995C2384}"/>
    <cellStyle name="Normal 136 2 2 2" xfId="1325" xr:uid="{0E614403-80D2-46CC-994A-73080B857564}"/>
    <cellStyle name="Normal 136 2 2 3" xfId="1326" xr:uid="{6919D57F-7BD1-43B7-820F-4A1E6E92D984}"/>
    <cellStyle name="Normal 136 2 3" xfId="1327" xr:uid="{07F8F41C-0B2C-45C9-89E5-187A4CCF89FA}"/>
    <cellStyle name="Normal 136 2 4" xfId="1328" xr:uid="{1D32B4A4-ED92-49BF-8A0C-AA61C07BC5F8}"/>
    <cellStyle name="Normal 136 3" xfId="1329" xr:uid="{7DC9BF65-3379-4844-A7C8-87F8E1227FAB}"/>
    <cellStyle name="Normal 136 3 2" xfId="1330" xr:uid="{8D7285D4-94C2-48C9-8436-957834253BB3}"/>
    <cellStyle name="Normal 136 3 3" xfId="1331" xr:uid="{3B60ACB3-CD97-48E6-8CED-6C6734FA24CB}"/>
    <cellStyle name="Normal 136 4" xfId="1332" xr:uid="{A16AB2EA-454E-48F9-B0EA-275189708A64}"/>
    <cellStyle name="Normal 136 5" xfId="1333" xr:uid="{6ECB3C98-C84D-4DF4-995B-0A1DB7530081}"/>
    <cellStyle name="Normal 136_TB" xfId="1334" xr:uid="{B1E1DAE0-8390-4C05-8F76-8D204195D881}"/>
    <cellStyle name="Normal 137" xfId="1335" xr:uid="{834CF733-0BF8-4D67-8BFE-4A80D62DAC63}"/>
    <cellStyle name="Normal 138" xfId="1336" xr:uid="{55DB3378-C6BB-40D7-81BE-39603188637A}"/>
    <cellStyle name="Normal 138 2" xfId="1337" xr:uid="{0597B5BD-5B12-47EA-8D50-1A1D870738BD}"/>
    <cellStyle name="Normal 139" xfId="1338" xr:uid="{151AB7BF-81A0-488A-9984-14F1CD36CF24}"/>
    <cellStyle name="Normal 139 2" xfId="1339" xr:uid="{608CF442-9F99-4EA7-9C74-EC8A8BA09F21}"/>
    <cellStyle name="Normal 139 3" xfId="1340" xr:uid="{A6BDFF86-E327-4A61-A868-867E22D8965A}"/>
    <cellStyle name="Normal 139 4" xfId="1341" xr:uid="{D1E5A9B0-81BC-4D42-9BF0-56D127B66878}"/>
    <cellStyle name="Normal 14" xfId="1342" xr:uid="{A078360A-E3FC-467B-94E5-CE81E8AD57D4}"/>
    <cellStyle name="Normal 14 2" xfId="1343" xr:uid="{5B0DB7A2-BE8F-4E5B-BD7F-DC8D3E25F8FB}"/>
    <cellStyle name="Normal 140" xfId="1344" xr:uid="{A2EEF799-46B2-4BDF-9F3D-70880D48843A}"/>
    <cellStyle name="Normal 141" xfId="1345" xr:uid="{B8CB17F8-2327-42F6-9B6A-93DF4CC36EA5}"/>
    <cellStyle name="Normal 141 2" xfId="1346" xr:uid="{1D3BB052-E9DB-4D82-AFBD-65B6920C52BF}"/>
    <cellStyle name="Normal 141 3" xfId="1347" xr:uid="{A0516D8B-060F-4DA0-9AFC-A3B52723CF14}"/>
    <cellStyle name="Normal 142" xfId="1348" xr:uid="{BD7F248C-A6CD-4CAA-AEE9-A3FC4AECDD0D}"/>
    <cellStyle name="Normal 142 2" xfId="1349" xr:uid="{76FEA39D-24B7-43F7-A4ED-32DD1DDE62E7}"/>
    <cellStyle name="Normal 142 3" xfId="1350" xr:uid="{E72C5ADA-404C-4138-884C-0A2652374208}"/>
    <cellStyle name="Normal 143" xfId="1351" xr:uid="{E8260798-69C7-45F1-9FB0-EA76ABB68ED2}"/>
    <cellStyle name="Normal 143 2" xfId="1352" xr:uid="{37D64396-7028-4F94-909C-B4ECCC0D8D8A}"/>
    <cellStyle name="Normal 143 3" xfId="1353" xr:uid="{7827F13B-579D-4603-8188-5182420C0DAA}"/>
    <cellStyle name="Normal 144" xfId="1354" xr:uid="{A3A986C6-F99C-4B39-A52A-D88A4D147A1D}"/>
    <cellStyle name="Normal 144 2" xfId="1355" xr:uid="{2A2EA863-5517-48C5-AFCC-FCBBF32DA8C6}"/>
    <cellStyle name="Normal 144 3" xfId="1356" xr:uid="{9251067A-EE2B-4FEF-95FD-5D9E5E704771}"/>
    <cellStyle name="Normal 145" xfId="1357" xr:uid="{F9A16EBF-ED59-49FB-872E-C36E3DD76AE8}"/>
    <cellStyle name="Normal 145 2" xfId="1358" xr:uid="{6FF71C77-B310-4CE3-945C-B95D24791DBC}"/>
    <cellStyle name="Normal 145 3" xfId="1359" xr:uid="{E224F983-66D3-4FD8-A958-D2E26962202F}"/>
    <cellStyle name="Normal 146" xfId="1360" xr:uid="{46F967D5-64CC-4CEE-8455-8D33CC15E7F9}"/>
    <cellStyle name="Normal 146 2" xfId="1361" xr:uid="{031A3808-D866-4964-B171-17C2461624EB}"/>
    <cellStyle name="Normal 146 3" xfId="1362" xr:uid="{F0ED8C82-93D7-4DAE-8A23-306A8CCDFDC8}"/>
    <cellStyle name="Normal 147" xfId="1363" xr:uid="{A0B5455D-4AAA-4B90-8CD6-1CE773B8266C}"/>
    <cellStyle name="Normal 147 2" xfId="1364" xr:uid="{346C8816-501E-494A-A7C9-6F16949674AF}"/>
    <cellStyle name="Normal 147 3" xfId="1365" xr:uid="{BC598C1F-DCF3-4477-9A67-4B6CA6A3FD3D}"/>
    <cellStyle name="Normal 148" xfId="1366" xr:uid="{6BCD1C8C-FB48-4A69-AB5A-58A47CAFC2B8}"/>
    <cellStyle name="Normal 148 2" xfId="1367" xr:uid="{EE903E64-72B0-4E16-9BC3-18D896ECB540}"/>
    <cellStyle name="Normal 148 3" xfId="1368" xr:uid="{65F8D820-A586-4FB2-AD8E-0ECB2F7B3662}"/>
    <cellStyle name="Normal 149" xfId="1369" xr:uid="{A5212533-E407-4C8F-B78E-86CA009EA7A3}"/>
    <cellStyle name="Normal 149 2" xfId="1370" xr:uid="{A0386314-4176-4652-A94A-679D52A0C00D}"/>
    <cellStyle name="Normal 149 3" xfId="1371" xr:uid="{AA21F83E-40C0-4778-A372-3A5AD1A7F03C}"/>
    <cellStyle name="Normal 15" xfId="1372" xr:uid="{BC88C43D-957F-46E1-BC14-F2EC37888ED1}"/>
    <cellStyle name="Normal 15 2" xfId="1373" xr:uid="{694777AB-2FBB-4F51-8B9D-DEF15007AD05}"/>
    <cellStyle name="Normal 150" xfId="1374" xr:uid="{8DC20554-9648-4354-B650-591F4B283262}"/>
    <cellStyle name="Normal 150 2" xfId="1375" xr:uid="{6FD30067-5503-4A6A-BFF4-7D755EE3CFD6}"/>
    <cellStyle name="Normal 150 3" xfId="1376" xr:uid="{DD12FD6D-3FFE-4AB9-BB6A-212C8225D2B0}"/>
    <cellStyle name="Normal 151" xfId="1377" xr:uid="{F2A8E051-EA3B-4603-A801-8636BF3E3033}"/>
    <cellStyle name="Normal 151 2" xfId="1378" xr:uid="{068AEE98-201D-4B86-851F-257EE40164BE}"/>
    <cellStyle name="Normal 151 3" xfId="1379" xr:uid="{0F8B3023-D0E5-475E-B389-76727390A496}"/>
    <cellStyle name="Normal 152" xfId="1380" xr:uid="{30695AAC-6448-4230-A234-47981069BD40}"/>
    <cellStyle name="Normal 152 2" xfId="1381" xr:uid="{804E1D09-4204-492E-9D75-58A3BFBD416B}"/>
    <cellStyle name="Normal 152 3" xfId="1382" xr:uid="{CF1593BD-0B79-497F-A9D4-B0DA52052DAE}"/>
    <cellStyle name="Normal 153" xfId="1383" xr:uid="{101FA0F0-58CA-441C-87D0-B31D5FD80FF3}"/>
    <cellStyle name="Normal 153 2" xfId="1384" xr:uid="{8882F31B-5FDD-46B9-9567-565418933D5D}"/>
    <cellStyle name="Normal 153 3" xfId="1385" xr:uid="{FEBE9B70-6463-40F1-B284-3CED597234BE}"/>
    <cellStyle name="Normal 154" xfId="1386" xr:uid="{1A0F290A-B623-4BF2-858E-9F66B8EFB49E}"/>
    <cellStyle name="Normal 155" xfId="1387" xr:uid="{6B1801F6-3ABF-4891-A77A-E6647BFC06F0}"/>
    <cellStyle name="Normal 156" xfId="9" xr:uid="{9234A68D-E0CC-47B2-A780-6F483E15CE23}"/>
    <cellStyle name="Normal 157" xfId="4600" xr:uid="{B052F75F-226B-4A88-B05E-2F452CC84A00}"/>
    <cellStyle name="Normal 158" xfId="4602" xr:uid="{949CB603-1670-4675-9988-F9989BBC7FFC}"/>
    <cellStyle name="Normal 159" xfId="4607" xr:uid="{E3C1250B-A932-415C-B4CE-4E2115B2E603}"/>
    <cellStyle name="Normal 16" xfId="1388" xr:uid="{425FD021-2D28-4D59-A32E-A928B3119CF5}"/>
    <cellStyle name="Normal 16 2" xfId="1389" xr:uid="{BDCF7A78-6BEA-4B0D-97CE-C589C1DA4800}"/>
    <cellStyle name="Normal 17" xfId="1390" xr:uid="{0197E993-6FDE-498A-AB00-A7FDA70BF505}"/>
    <cellStyle name="Normal 17 2" xfId="1391" xr:uid="{97F212C8-BC6B-4079-9022-0D0D8FC37F8A}"/>
    <cellStyle name="Normal 18" xfId="1392" xr:uid="{E276AE1B-5BF6-45D2-9799-5D73F29309F6}"/>
    <cellStyle name="Normal 18 2" xfId="1393" xr:uid="{363B763E-CE7F-4E55-8E03-57BED857B31D}"/>
    <cellStyle name="Normal 19" xfId="1394" xr:uid="{2369E269-B867-4B07-AB8B-9DC3FE4FCF30}"/>
    <cellStyle name="Normal 19 2" xfId="1395" xr:uid="{6F320D92-13AE-4FE9-9378-B61CD483B14D}"/>
    <cellStyle name="Normal 2" xfId="4" xr:uid="{66CAB0A5-FCB2-4883-AFCF-55F2059E6340}"/>
    <cellStyle name="Normal 2 10" xfId="1396" xr:uid="{EB07781E-2EA9-43DE-A3EE-3F98410BAB8D}"/>
    <cellStyle name="Normal 2 10 2" xfId="1397" xr:uid="{CDE2FDF8-32FE-456B-93B5-34B0C9351F0A}"/>
    <cellStyle name="Normal 2 11" xfId="1398" xr:uid="{8D6EA422-106C-4CB0-8742-A0F12FE78E29}"/>
    <cellStyle name="Normal 2 11 2" xfId="1399" xr:uid="{A8135584-7534-467A-8F5E-6D44A18596D8}"/>
    <cellStyle name="Normal 2 12" xfId="1400" xr:uid="{8FB154B6-BB46-45DF-8548-AA76F1212EDF}"/>
    <cellStyle name="Normal 2 12 2" xfId="1401" xr:uid="{D17F8E66-23EF-4D79-8D4B-015E8F39A266}"/>
    <cellStyle name="Normal 2 12 2 2" xfId="1402" xr:uid="{06B04BC0-3066-4C9C-96B7-AE777D4B1651}"/>
    <cellStyle name="Normal 2 12 2 2 2" xfId="1403" xr:uid="{B35A8D56-2AC4-4EB1-B6CE-8743B1A563DB}"/>
    <cellStyle name="Normal 2 12 2 2 3" xfId="1404" xr:uid="{320D0304-5E17-4C02-A1DE-48DB11DDEC31}"/>
    <cellStyle name="Normal 2 12 2 3" xfId="1405" xr:uid="{5B12CBC7-9482-41FD-B17D-7B1CBC805B06}"/>
    <cellStyle name="Normal 2 12 2 4" xfId="1406" xr:uid="{F77317A1-2F1B-49DB-AB66-71365D5AB285}"/>
    <cellStyle name="Normal 2 12 3" xfId="1407" xr:uid="{61DAC6AF-2339-4FAE-A24F-537E134C45F0}"/>
    <cellStyle name="Normal 2 12 3 2" xfId="1408" xr:uid="{E28DEE0D-91F9-4BD1-BDD0-1AC9A0B2058F}"/>
    <cellStyle name="Normal 2 12 3 3" xfId="1409" xr:uid="{F3702C50-F9F3-42BE-9489-846D915E5C28}"/>
    <cellStyle name="Normal 2 12 4" xfId="1410" xr:uid="{A92331BC-4753-4412-AC47-8A9B32EA6742}"/>
    <cellStyle name="Normal 2 12 5" xfId="1411" xr:uid="{ABDCCAA2-49B3-497D-BFB2-AA2C1DAA5015}"/>
    <cellStyle name="Normal 2 12_TB" xfId="1412" xr:uid="{641CE176-D1E7-429A-8B9F-EC5E9B00A4F8}"/>
    <cellStyle name="Normal 2 13" xfId="1413" xr:uid="{152448FF-B72E-47FE-9D72-D537AB6599D1}"/>
    <cellStyle name="Normal 2 14" xfId="1414" xr:uid="{977A4E67-C64D-4043-B5C1-92A2FA579DEB}"/>
    <cellStyle name="Normal 2 15" xfId="4603" xr:uid="{4A72CAD6-4574-47BF-A9DC-359D6E1373BA}"/>
    <cellStyle name="Normal 2 16" xfId="4605" xr:uid="{DA98850A-3F9B-4642-947A-0216A109DF17}"/>
    <cellStyle name="Normal 2 2" xfId="1415" xr:uid="{30596C3D-5A47-495B-8462-C36AA5DCAD66}"/>
    <cellStyle name="Normal 2 2 2" xfId="1416" xr:uid="{B5346079-9FD5-499A-9BFE-2E3BDE5C0E02}"/>
    <cellStyle name="Normal 2 2 2 2" xfId="1417" xr:uid="{BDE41796-5FF4-4740-891A-690A130C7EBB}"/>
    <cellStyle name="Normal 2 2 2 2 2" xfId="1418" xr:uid="{4C050644-0414-4A3C-B6F3-357C16E3895A}"/>
    <cellStyle name="Normal 2 2 2 3" xfId="1419" xr:uid="{2ADD3294-75C5-476E-8EC9-D788622C8ABF}"/>
    <cellStyle name="Normal 2 2 3" xfId="1420" xr:uid="{EA543BDC-367F-4BF7-B5DD-E2E7AB0EEBAE}"/>
    <cellStyle name="Normal 2 2 3 2" xfId="1421" xr:uid="{4FC65449-D9B2-46F2-B71B-B287C46C4F9F}"/>
    <cellStyle name="Normal 2 2 4" xfId="1422" xr:uid="{34826E7C-0E3D-4994-A011-370BD468647B}"/>
    <cellStyle name="Normal 2 2 4 2" xfId="1423" xr:uid="{BCBAC443-13F7-4E51-9D7F-94EBAAE97E2C}"/>
    <cellStyle name="Normal 2 2 5" xfId="1424" xr:uid="{87D94EAB-2A2A-4E6B-8C2A-5BB228C61610}"/>
    <cellStyle name="Normal 2 2 5 2" xfId="1425" xr:uid="{6D59BC45-B856-447C-A7D3-D8142C52D3AE}"/>
    <cellStyle name="Normal 2 2 6" xfId="1426" xr:uid="{2DF4EBEF-925A-470A-BDE3-F431BB0C73E4}"/>
    <cellStyle name="Normal 2 3" xfId="1427" xr:uid="{A630C771-FF85-4AF2-9DAB-65776A12705D}"/>
    <cellStyle name="Normal 2 3 2" xfId="1428" xr:uid="{3E82240E-AC6C-471E-B4B8-8FB8F4099D7B}"/>
    <cellStyle name="Normal 2 3 2 2" xfId="1429" xr:uid="{97E87992-EE87-444D-9A72-BAC6C8B49CD1}"/>
    <cellStyle name="Normal 2 3 3" xfId="1430" xr:uid="{DBD23323-A155-4A1D-831C-174AE487A36F}"/>
    <cellStyle name="Normal 2 3 3 2" xfId="1431" xr:uid="{4B4A0BA9-FD68-4C39-A14F-8D0E2E04FDCC}"/>
    <cellStyle name="Normal 2 3 4" xfId="1432" xr:uid="{7332AF36-3786-4DE7-9173-8C656A5301DE}"/>
    <cellStyle name="Normal 2 3 4 2" xfId="1433" xr:uid="{EF6349FB-CB50-4337-B796-4BCC20DAE54D}"/>
    <cellStyle name="Normal 2 3 5" xfId="1434" xr:uid="{D163245B-393A-41EA-9FC6-EF3F0ED338A1}"/>
    <cellStyle name="Normal 2 3 6" xfId="1435" xr:uid="{0404F8B1-B9A5-40FB-B147-46CF38208547}"/>
    <cellStyle name="Normal 2 3 6 2" xfId="1436" xr:uid="{1FB3D4F9-22BF-425B-B1DD-A7C04A858059}"/>
    <cellStyle name="Normal 2 3 6 2 2" xfId="1437" xr:uid="{43018391-20ED-47E0-84CE-BB84DCD90519}"/>
    <cellStyle name="Normal 2 3 6 2 3" xfId="1438" xr:uid="{0C2D7E9F-9DA2-498A-8003-CFA65E22D1B5}"/>
    <cellStyle name="Normal 2 3 6 3" xfId="1439" xr:uid="{05A7A34E-BB1D-46BD-AD4A-243570C45DC8}"/>
    <cellStyle name="Normal 2 3 6 4" xfId="1440" xr:uid="{63933974-2803-4225-AC93-791C1D24109F}"/>
    <cellStyle name="Normal 2 3 7" xfId="1441" xr:uid="{CA8B3A20-7248-4ABA-8791-D0398ACEC817}"/>
    <cellStyle name="Normal 2 3 7 2" xfId="1442" xr:uid="{54721CE1-22D5-43A6-8669-2DBEEDF0D103}"/>
    <cellStyle name="Normal 2 3 7 3" xfId="1443" xr:uid="{2AD86048-86EA-4062-A992-9FBB2C086806}"/>
    <cellStyle name="Normal 2 3_TB" xfId="1444" xr:uid="{6725C8EC-944F-47F1-A314-85290DF121B6}"/>
    <cellStyle name="Normal 2 4" xfId="1445" xr:uid="{C37E34CF-8426-4632-AB45-9CA517E9B759}"/>
    <cellStyle name="Normal 2 4 2" xfId="1446" xr:uid="{9683C0AB-EA06-4A3F-9831-1FF5814DC4CF}"/>
    <cellStyle name="Normal 2 4 2 2" xfId="1447" xr:uid="{D430D6CC-FE2F-4F40-A028-F04066EB35E1}"/>
    <cellStyle name="Normal 2 4 3" xfId="1448" xr:uid="{F0BC3150-C3AE-4A54-9A53-7591120EB417}"/>
    <cellStyle name="Normal 2 4 3 2" xfId="1449" xr:uid="{1205C08E-DC74-41E7-8F69-039A916891AB}"/>
    <cellStyle name="Normal 2 4 3 2 2" xfId="1450" xr:uid="{8CD83132-2462-4B9F-B205-882498772EBA}"/>
    <cellStyle name="Normal 2 4 3 2 2 2" xfId="1451" xr:uid="{6C65FEE1-FE35-41DD-BCE2-0095B74F6623}"/>
    <cellStyle name="Normal 2 4 3 2 2 2 2" xfId="1452" xr:uid="{3B274559-23B0-4116-AF17-B87F0763D47D}"/>
    <cellStyle name="Normal 2 4 3 2 2 2 2 2" xfId="1453" xr:uid="{873ACA13-3603-4E7C-9F2A-7D54042F6F75}"/>
    <cellStyle name="Normal 2 4 3 2 2 2 2 3" xfId="1454" xr:uid="{D2DDC989-7453-423E-9659-352153D201E5}"/>
    <cellStyle name="Normal 2 4 3 2 2 2 3" xfId="1455" xr:uid="{FC62E4EB-3ED1-4DCD-87C5-A8A72EE76574}"/>
    <cellStyle name="Normal 2 4 3 2 2 2 4" xfId="1456" xr:uid="{921CCD3B-3B82-4E46-8A5D-1B2133378C1F}"/>
    <cellStyle name="Normal 2 4 3 2 2 3" xfId="1457" xr:uid="{2433ECC5-8966-4BAA-A20B-C90C7FB3C861}"/>
    <cellStyle name="Normal 2 4 3 2 2 3 2" xfId="1458" xr:uid="{02F9A61B-03AD-47B4-B841-BB21F837B21A}"/>
    <cellStyle name="Normal 2 4 3 2 2 3 3" xfId="1459" xr:uid="{E9D14FE6-9EC1-490D-9D97-7406BDA2E43C}"/>
    <cellStyle name="Normal 2 4 3 2 2 4" xfId="1460" xr:uid="{94326DC3-696D-4F8A-A226-AB802EB4F99A}"/>
    <cellStyle name="Normal 2 4 3 2 2 5" xfId="1461" xr:uid="{3ED48A3E-AA90-4D1C-934A-A6560167E6A1}"/>
    <cellStyle name="Normal 2 4 3 2 2_TB" xfId="1462" xr:uid="{C16CFFF4-351E-4850-989E-4AD24AAE16BD}"/>
    <cellStyle name="Normal 2 4 3 2 3" xfId="1463" xr:uid="{36D786CF-CBBA-4C28-A3DD-ABB280755567}"/>
    <cellStyle name="Normal 2 4 3 2 3 2" xfId="1464" xr:uid="{8DD74126-2EAF-4F95-A4D5-4C504467962E}"/>
    <cellStyle name="Normal 2 4 3 2 3 2 2" xfId="1465" xr:uid="{B3C3A605-9F7D-4AD1-A2B0-BA8E215C2940}"/>
    <cellStyle name="Normal 2 4 3 2 3 2 3" xfId="1466" xr:uid="{25910895-EF65-4DB2-B9A8-ECDC80F9FD38}"/>
    <cellStyle name="Normal 2 4 3 2 3 3" xfId="1467" xr:uid="{F702D5A0-6193-41EC-A887-0642D10B9353}"/>
    <cellStyle name="Normal 2 4 3 2 3 4" xfId="1468" xr:uid="{6DEA9B2B-E14C-4BD4-8FFE-482BED0D2DFB}"/>
    <cellStyle name="Normal 2 4 3 2 4" xfId="1469" xr:uid="{9117FD62-83A9-44B5-9EEC-0893E65AF1A4}"/>
    <cellStyle name="Normal 2 4 3 2 4 2" xfId="1470" xr:uid="{66524BCB-074F-4A7E-BDE8-083353BDED16}"/>
    <cellStyle name="Normal 2 4 3 2 4 3" xfId="1471" xr:uid="{E33E40C8-4D2B-442F-A97C-CA1A2586FD8C}"/>
    <cellStyle name="Normal 2 4 3 2 5" xfId="1472" xr:uid="{AC93A884-0DBE-4D48-A064-E85BC6099108}"/>
    <cellStyle name="Normal 2 4 3 2 6" xfId="1473" xr:uid="{71957B1D-7771-4DD4-A1F4-9578DEF5B7B2}"/>
    <cellStyle name="Normal 2 4 3 2_TB" xfId="1474" xr:uid="{3E3B938D-987D-4318-8502-4B94D0784550}"/>
    <cellStyle name="Normal 2 4 3 3" xfId="1475" xr:uid="{10ABA9D8-9461-4AD5-BDDF-272D39724096}"/>
    <cellStyle name="Normal 2 4 3 3 2" xfId="1476" xr:uid="{611CBAF7-E7A7-4A2F-8007-293F6E5D1B3B}"/>
    <cellStyle name="Normal 2 4 3 3 2 2" xfId="1477" xr:uid="{34D7C605-6CBC-42A2-B514-5FF29EACAC59}"/>
    <cellStyle name="Normal 2 4 3 3 2 2 2" xfId="1478" xr:uid="{C37076B3-17E2-438D-BCBE-0DBD0CA7937B}"/>
    <cellStyle name="Normal 2 4 3 3 2 2 3" xfId="1479" xr:uid="{1EDF20D5-A34D-46DA-AF4C-ED402E548393}"/>
    <cellStyle name="Normal 2 4 3 3 2 3" xfId="1480" xr:uid="{3BCB8943-4C7A-459A-9B46-21082542769A}"/>
    <cellStyle name="Normal 2 4 3 3 2 4" xfId="1481" xr:uid="{24BF1D5E-5990-49D5-8498-9097729ECD50}"/>
    <cellStyle name="Normal 2 4 3 3 3" xfId="1482" xr:uid="{A52AD452-A480-4B78-B7BB-1330CD6B4FF7}"/>
    <cellStyle name="Normal 2 4 3 3 3 2" xfId="1483" xr:uid="{0A20F338-BC9F-4768-9FC3-481A86D23B59}"/>
    <cellStyle name="Normal 2 4 3 3 3 3" xfId="1484" xr:uid="{960CB890-892A-4D86-AAE9-4C52BEC0E609}"/>
    <cellStyle name="Normal 2 4 3 3 4" xfId="1485" xr:uid="{8D83DE2B-025C-4B46-AE2B-1CFB748B58BB}"/>
    <cellStyle name="Normal 2 4 3 3 5" xfId="1486" xr:uid="{379D4EB0-8EDA-4B96-B5C5-DCBF3E526376}"/>
    <cellStyle name="Normal 2 4 3 3_TB" xfId="1487" xr:uid="{ED4C4497-7D5A-4AE2-9E75-DA143962EEE9}"/>
    <cellStyle name="Normal 2 4 3 4" xfId="1488" xr:uid="{B8FDFB9B-6C7C-47C4-A1B7-0BA9D47DE4C5}"/>
    <cellStyle name="Normal 2 4 3 4 2" xfId="1489" xr:uid="{EFED5875-AD18-4A73-94DB-5FD013026365}"/>
    <cellStyle name="Normal 2 4 3 4 2 2" xfId="1490" xr:uid="{2BFA7CDB-F7DE-454A-9971-2D42F0E13054}"/>
    <cellStyle name="Normal 2 4 3 4 2 3" xfId="1491" xr:uid="{039BB3E5-2041-4347-8A93-CC694F30B9FA}"/>
    <cellStyle name="Normal 2 4 3 4 3" xfId="1492" xr:uid="{563F19B0-FF91-47C0-8581-9104808A1712}"/>
    <cellStyle name="Normal 2 4 3 4 4" xfId="1493" xr:uid="{79778F80-91D7-4BB1-9277-39803B35F266}"/>
    <cellStyle name="Normal 2 4 3 5" xfId="1494" xr:uid="{1686AFD5-B0A8-4E39-B343-F192D233DE4F}"/>
    <cellStyle name="Normal 2 4 3 5 2" xfId="1495" xr:uid="{1709FC9F-CAF2-4EAD-AD88-8EBE8394666C}"/>
    <cellStyle name="Normal 2 4 3 5 3" xfId="1496" xr:uid="{BA320203-9A3A-46E7-B70B-57FE10D4A7EA}"/>
    <cellStyle name="Normal 2 4 3 6" xfId="1497" xr:uid="{B026AA47-4B4F-4A22-B201-62973C1C6924}"/>
    <cellStyle name="Normal 2 4 3 7" xfId="1498" xr:uid="{13C7D76D-7496-4F77-A1CE-9B361F9B344C}"/>
    <cellStyle name="Normal 2 4 3_TB" xfId="1499" xr:uid="{A65A5D04-0A7A-49C1-91B5-685031060F1F}"/>
    <cellStyle name="Normal 2 4 4" xfId="1500" xr:uid="{BAB325A6-56A8-43A2-B196-532C938A0852}"/>
    <cellStyle name="Normal 2 4 4 2" xfId="1501" xr:uid="{D6523812-B32A-4F8E-9612-F87337BC3256}"/>
    <cellStyle name="Normal 2 4 4 2 2" xfId="1502" xr:uid="{50D91565-1D95-4E64-ABCF-BB1FC8E2CBEC}"/>
    <cellStyle name="Normal 2 4 4 2 2 2" xfId="1503" xr:uid="{0C7B0644-A8EF-44A8-9428-E74784057FB9}"/>
    <cellStyle name="Normal 2 4 4 2 2 2 2" xfId="1504" xr:uid="{8CB2B36B-9A34-412B-8A8E-D116E53290CF}"/>
    <cellStyle name="Normal 2 4 4 2 2 2 3" xfId="1505" xr:uid="{EF908588-5B93-4206-9243-0D6C741DF778}"/>
    <cellStyle name="Normal 2 4 4 2 2 3" xfId="1506" xr:uid="{8580E76C-EF53-4974-B0F9-7EE59445741D}"/>
    <cellStyle name="Normal 2 4 4 2 2 4" xfId="1507" xr:uid="{1DFF4108-EC79-482C-8B95-9EA98A8CCDD5}"/>
    <cellStyle name="Normal 2 4 4 2 3" xfId="1508" xr:uid="{BFEC4353-9780-475B-8D0D-844C7017BD58}"/>
    <cellStyle name="Normal 2 4 4 2 3 2" xfId="1509" xr:uid="{D5B27C50-98B9-4BF3-9DBD-E7EA0465D109}"/>
    <cellStyle name="Normal 2 4 4 2 3 3" xfId="1510" xr:uid="{1C16A31F-786C-40BB-839B-B72C0E65FF27}"/>
    <cellStyle name="Normal 2 4 4 2 4" xfId="1511" xr:uid="{D4531393-1445-4E0F-8E09-C2F7ABF7E4F1}"/>
    <cellStyle name="Normal 2 4 4 2 5" xfId="1512" xr:uid="{4F301C6E-C3EA-4243-8862-299FB79E7D5E}"/>
    <cellStyle name="Normal 2 4 4 2_TB" xfId="1513" xr:uid="{749F663E-9F2C-4A58-8CE9-A737ADB815DF}"/>
    <cellStyle name="Normal 2 4 4 3" xfId="1514" xr:uid="{4EBA46E9-4EBA-47BE-B071-BE898456B562}"/>
    <cellStyle name="Normal 2 4 4 3 2" xfId="1515" xr:uid="{3C9FE82B-341B-4D7A-9548-BF23ECA574C5}"/>
    <cellStyle name="Normal 2 4 4 3 2 2" xfId="1516" xr:uid="{911B09CD-25D4-470B-AF34-29B27EC0646B}"/>
    <cellStyle name="Normal 2 4 4 3 2 3" xfId="1517" xr:uid="{461D242E-F372-4664-BFC8-A03680C171D1}"/>
    <cellStyle name="Normal 2 4 4 3 3" xfId="1518" xr:uid="{13F10D03-06DE-4C7F-BF7D-D85B72D0ABEC}"/>
    <cellStyle name="Normal 2 4 4 3 4" xfId="1519" xr:uid="{F187F5B0-BFB9-4ABC-8292-036CA07D5622}"/>
    <cellStyle name="Normal 2 4 4 4" xfId="1520" xr:uid="{16FB0F17-C398-4CC6-9FC5-1403AD5C1BA0}"/>
    <cellStyle name="Normal 2 4 4 4 2" xfId="1521" xr:uid="{D07A365D-6659-43A1-B799-FAE109D95C5F}"/>
    <cellStyle name="Normal 2 4 4 4 3" xfId="1522" xr:uid="{5F99FF0B-B9C7-4B5C-B596-489586A6B37C}"/>
    <cellStyle name="Normal 2 4 4 5" xfId="1523" xr:uid="{29D4AB2C-74D9-440E-8D57-BEB2A4DECB79}"/>
    <cellStyle name="Normal 2 4 4 6" xfId="1524" xr:uid="{DDF2311F-52F9-4CB6-96AA-6791CF516E7D}"/>
    <cellStyle name="Normal 2 4 4_TB" xfId="1525" xr:uid="{18CFD7CE-A3DD-475B-B714-2B9B3D41DEBF}"/>
    <cellStyle name="Normal 2 4 5" xfId="1526" xr:uid="{9657106A-1590-495C-9172-1B0CDBEA3398}"/>
    <cellStyle name="Normal 2 4 5 2" xfId="1527" xr:uid="{55B54EFF-7401-481F-848C-AD05F6ACAA21}"/>
    <cellStyle name="Normal 2 4 5 2 2" xfId="1528" xr:uid="{AE591B15-9240-4F05-9D52-FC909E2F48F4}"/>
    <cellStyle name="Normal 2 4 5 2 2 2" xfId="1529" xr:uid="{86FF4F17-B3E7-493F-AB91-C22D003AEE18}"/>
    <cellStyle name="Normal 2 4 5 2 2 2 2" xfId="1530" xr:uid="{0C5CA106-BB4D-489D-B885-EFD9479F693A}"/>
    <cellStyle name="Normal 2 4 5 2 2 2 3" xfId="1531" xr:uid="{927158FE-9884-4FC9-BF25-C164537384DC}"/>
    <cellStyle name="Normal 2 4 5 2 2 3" xfId="1532" xr:uid="{438BB60C-D25C-4A54-A253-F4E19F3A9659}"/>
    <cellStyle name="Normal 2 4 5 2 2 4" xfId="1533" xr:uid="{3444506B-BF8F-4FA2-96D6-F9C87CCE1E98}"/>
    <cellStyle name="Normal 2 4 5 2 3" xfId="1534" xr:uid="{7A09AF4D-5DF5-492D-ACE8-F4A33B27AA03}"/>
    <cellStyle name="Normal 2 4 5 2 3 2" xfId="1535" xr:uid="{22A19D7A-BAC7-4578-88B2-1E233AAA5B44}"/>
    <cellStyle name="Normal 2 4 5 2 3 3" xfId="1536" xr:uid="{D5C92A40-219E-4EAF-AD3C-39AC9DD3F0AA}"/>
    <cellStyle name="Normal 2 4 5 2 4" xfId="1537" xr:uid="{D6D20563-CBBC-4230-B6C9-E8A33D2A1793}"/>
    <cellStyle name="Normal 2 4 5 2 5" xfId="1538" xr:uid="{9E5B6960-2C6E-47F8-8FBB-7F07C91C190D}"/>
    <cellStyle name="Normal 2 4 5 2_TB" xfId="1539" xr:uid="{EE662981-63AB-4351-8975-BD9E81DE50F5}"/>
    <cellStyle name="Normal 2 4 5 3" xfId="1540" xr:uid="{9437F149-D3FF-4B70-9A07-B709D90B714C}"/>
    <cellStyle name="Normal 2 4 5 3 2" xfId="1541" xr:uid="{6D91C460-9003-4CBC-BD4C-F3424F64D5D6}"/>
    <cellStyle name="Normal 2 4 5 3 2 2" xfId="1542" xr:uid="{C0ADD594-CA7A-4005-880D-F957D9C7018A}"/>
    <cellStyle name="Normal 2 4 5 3 2 3" xfId="1543" xr:uid="{01971596-63B8-4739-B480-B1FA82C87A1A}"/>
    <cellStyle name="Normal 2 4 5 3 3" xfId="1544" xr:uid="{AD408A7A-F059-4325-816C-3DB2558C62BC}"/>
    <cellStyle name="Normal 2 4 5 3 4" xfId="1545" xr:uid="{DDCAB6AF-AF5E-48D7-98DB-597C53536297}"/>
    <cellStyle name="Normal 2 4 5 4" xfId="1546" xr:uid="{CC4ADF7E-FED6-4F56-A1E0-1DAB2D20E774}"/>
    <cellStyle name="Normal 2 4 5 4 2" xfId="1547" xr:uid="{78677CB2-A05C-471D-8360-549E0899F655}"/>
    <cellStyle name="Normal 2 4 5 4 3" xfId="1548" xr:uid="{78472DAE-DC08-4861-B1D3-3B34DB81CC20}"/>
    <cellStyle name="Normal 2 4 5 5" xfId="1549" xr:uid="{6DDBE353-1F94-4DFB-90B6-2A64B47BA285}"/>
    <cellStyle name="Normal 2 4 5 6" xfId="1550" xr:uid="{81FDD6C5-E582-4F10-AFBB-BC4919887798}"/>
    <cellStyle name="Normal 2 4 5_TB" xfId="1551" xr:uid="{521631E1-B766-4D4A-BE54-346113EA22AA}"/>
    <cellStyle name="Normal 2 4 6" xfId="1552" xr:uid="{A1B33A35-BAFB-4678-9FF8-57D46B3ADEBA}"/>
    <cellStyle name="Normal 2 4 6 2" xfId="1553" xr:uid="{2FB260F3-CC54-4452-B871-879FCB11847C}"/>
    <cellStyle name="Normal 2 4 6 2 2" xfId="1554" xr:uid="{8D8CD5C2-2FBF-4A67-B4B6-7A86F61EFB13}"/>
    <cellStyle name="Normal 2 4 6 2 2 2" xfId="1555" xr:uid="{3E788F2B-467A-44E2-8B38-EEDDC18537E4}"/>
    <cellStyle name="Normal 2 4 6 2 2 3" xfId="1556" xr:uid="{8D41BBF2-1752-4A17-8452-3209FDE68FAF}"/>
    <cellStyle name="Normal 2 4 6 2 3" xfId="1557" xr:uid="{8DA147DF-9B6B-47BF-A712-7209E37C63B3}"/>
    <cellStyle name="Normal 2 4 6 2 4" xfId="1558" xr:uid="{87220DFC-B894-4B01-A76D-6339F3FA0947}"/>
    <cellStyle name="Normal 2 4 6 3" xfId="1559" xr:uid="{31CD40AF-68DE-4AA1-9F4F-1FF234CD8CAE}"/>
    <cellStyle name="Normal 2 4 6 3 2" xfId="1560" xr:uid="{B5CBB4F2-A6FA-4991-81B1-3E295948FBB8}"/>
    <cellStyle name="Normal 2 4 6 3 3" xfId="1561" xr:uid="{D470946D-4261-43A3-8B3B-94E9F141EC75}"/>
    <cellStyle name="Normal 2 4 6 4" xfId="1562" xr:uid="{10858A3C-3A62-46D4-B817-A4B48F62AD8E}"/>
    <cellStyle name="Normal 2 4 6 5" xfId="1563" xr:uid="{14F5C64B-073D-44C5-B92C-A065A549897C}"/>
    <cellStyle name="Normal 2 4 6_TB" xfId="1564" xr:uid="{A9B4578C-BA63-47B9-B1EF-E561FEEC63AA}"/>
    <cellStyle name="Normal 2 4 7" xfId="1565" xr:uid="{F3564DE9-270D-430D-B8B1-2A34784BCCFF}"/>
    <cellStyle name="Normal 2 4 7 2" xfId="1566" xr:uid="{BF0CA4E6-044F-464F-88AB-CCF47CCBB117}"/>
    <cellStyle name="Normal 2 4 7 2 2" xfId="1567" xr:uid="{41F72E5F-2D0A-432F-8C86-A1C7677EE8B9}"/>
    <cellStyle name="Normal 2 4 7 2 2 2" xfId="1568" xr:uid="{5B6A0C57-0791-407B-993B-74474BF41071}"/>
    <cellStyle name="Normal 2 4 7 2 2 3" xfId="1569" xr:uid="{AF7A532B-AE99-4AE1-A6F9-FA773A1E81E2}"/>
    <cellStyle name="Normal 2 4 7 2 3" xfId="1570" xr:uid="{2555FE77-AD0E-4164-A0DF-5905F3177857}"/>
    <cellStyle name="Normal 2 4 7 2 4" xfId="1571" xr:uid="{7F0A1D1F-3CF6-42C9-BF01-FB72742D2950}"/>
    <cellStyle name="Normal 2 4 7 3" xfId="1572" xr:uid="{945F1319-0580-4CA6-A461-E5F76A3609E6}"/>
    <cellStyle name="Normal 2 4 7 3 2" xfId="1573" xr:uid="{F824720D-6BCE-4C75-A15F-3CC4B7943668}"/>
    <cellStyle name="Normal 2 4 7 3 3" xfId="1574" xr:uid="{B2B9089C-19A0-41F3-9F5B-B1FCBAF7954A}"/>
    <cellStyle name="Normal 2 4 7 4" xfId="1575" xr:uid="{94855048-8709-449E-99B3-D2BDB55E7F2A}"/>
    <cellStyle name="Normal 2 4 7 5" xfId="1576" xr:uid="{80873391-B83B-4D21-958E-F9F1A15D6214}"/>
    <cellStyle name="Normal 2 4 7_TB" xfId="1577" xr:uid="{2F534CF3-E186-4770-8AE7-1B61BBFE1931}"/>
    <cellStyle name="Normal 2 4 8" xfId="1578" xr:uid="{CE06C8BF-B94E-4749-8A98-BFF3ECBCD397}"/>
    <cellStyle name="Normal 2 4 8 2" xfId="1579" xr:uid="{758EEC2A-04DF-4F1B-BE43-054DC94A591A}"/>
    <cellStyle name="Normal 2 4 8 2 2" xfId="1580" xr:uid="{677309F9-7BA2-4E8E-BB52-7FFE9A8263CF}"/>
    <cellStyle name="Normal 2 4 8 2 3" xfId="1581" xr:uid="{9AFE1C8D-5B3B-4524-823D-DBDB4661A3C8}"/>
    <cellStyle name="Normal 2 4 8 3" xfId="1582" xr:uid="{FE60CD69-E04E-4798-ACD6-C8FB04CFE0F4}"/>
    <cellStyle name="Normal 2 4 8 4" xfId="1583" xr:uid="{CB05BA4C-CB2C-4EF7-A4A9-4D09941125B3}"/>
    <cellStyle name="Normal 2 4 9" xfId="1584" xr:uid="{1E06FCCD-57AD-49B6-A08C-DF3833280C50}"/>
    <cellStyle name="Normal 2 4 9 2" xfId="1585" xr:uid="{170CDCB8-D03C-457B-873C-376202735AF0}"/>
    <cellStyle name="Normal 2 4 9 3" xfId="1586" xr:uid="{EF622525-5811-4BF5-85C6-04412AF20DD6}"/>
    <cellStyle name="Normal 2 4_TB" xfId="1587" xr:uid="{01E09058-0A0E-4C6D-96BD-80C3ADD0ED8F}"/>
    <cellStyle name="Normal 2 5" xfId="1588" xr:uid="{59E080FB-7CE0-4CF1-AC58-EF744D0B2069}"/>
    <cellStyle name="Normal 2 5 2" xfId="1589" xr:uid="{D134D8AF-13F9-4113-8F53-05EB2226F314}"/>
    <cellStyle name="Normal 2 5 2 2" xfId="1590" xr:uid="{FD0215C5-C962-46C9-878B-CF74D21BEC6E}"/>
    <cellStyle name="Normal 2 5 2 2 2" xfId="1591" xr:uid="{AD8BB6CC-6A37-475A-89D1-F3818BBA16D2}"/>
    <cellStyle name="Normal 2 5 2 2 2 2" xfId="1592" xr:uid="{5D9F977E-748B-4AA3-9345-4B6FDF34E2F3}"/>
    <cellStyle name="Normal 2 5 2 2 2 2 2" xfId="1593" xr:uid="{8C26F64C-B057-44DC-95CD-9EDC3F6A4535}"/>
    <cellStyle name="Normal 2 5 2 2 2 2 3" xfId="1594" xr:uid="{E947E9F4-6623-4093-9D2A-CB0A905A4D25}"/>
    <cellStyle name="Normal 2 5 2 2 2 3" xfId="1595" xr:uid="{F06AE079-0848-4076-91DD-E3E73ABE3021}"/>
    <cellStyle name="Normal 2 5 2 2 2 4" xfId="1596" xr:uid="{76217FF1-1160-49C2-BE8E-EDFA99AC25F3}"/>
    <cellStyle name="Normal 2 5 2 2 3" xfId="1597" xr:uid="{2C172D84-AD94-4615-AE2F-11447B186DA8}"/>
    <cellStyle name="Normal 2 5 2 2 3 2" xfId="1598" xr:uid="{1B4DD728-DD14-49F4-907B-6FEA58184034}"/>
    <cellStyle name="Normal 2 5 2 2 3 3" xfId="1599" xr:uid="{10A02B93-0480-46A4-8CBC-130AB5C25C82}"/>
    <cellStyle name="Normal 2 5 2 2 4" xfId="1600" xr:uid="{80396949-50E0-4E71-97CB-E57AD9322DAF}"/>
    <cellStyle name="Normal 2 5 2 2 5" xfId="1601" xr:uid="{27D7FAE8-BBF4-457A-B520-763865204471}"/>
    <cellStyle name="Normal 2 5 2 2_TB" xfId="1602" xr:uid="{82F846AB-EB69-4BE9-8FE0-43E3C38BBB72}"/>
    <cellStyle name="Normal 2 5 2 3" xfId="1603" xr:uid="{E66172AB-F9A6-4C59-B8E2-E0B2DC261206}"/>
    <cellStyle name="Normal 2 5 2 3 2" xfId="1604" xr:uid="{FF954A1B-8A53-42D3-B768-10DFD7944672}"/>
    <cellStyle name="Normal 2 5 2 3 2 2" xfId="1605" xr:uid="{88B4B777-4932-470A-93AE-02976155EA77}"/>
    <cellStyle name="Normal 2 5 2 3 2 3" xfId="1606" xr:uid="{3A8AE884-1E71-4514-99B3-A78DD9475305}"/>
    <cellStyle name="Normal 2 5 2 3 3" xfId="1607" xr:uid="{A4B7D247-1397-4150-9998-2F06750CBF20}"/>
    <cellStyle name="Normal 2 5 2 3 4" xfId="1608" xr:uid="{7D9C0CFE-E3AC-4B18-9F31-2D874C2D50DA}"/>
    <cellStyle name="Normal 2 5 2 4" xfId="1609" xr:uid="{9010D5FE-BC4C-441E-86BE-E2801520C8E3}"/>
    <cellStyle name="Normal 2 5 2 4 2" xfId="1610" xr:uid="{5DD96189-571B-455A-AC51-5B90B41690AD}"/>
    <cellStyle name="Normal 2 5 2 4 3" xfId="1611" xr:uid="{6127746E-E4F6-4822-8D15-E3C882942B21}"/>
    <cellStyle name="Normal 2 5 2_TB" xfId="1612" xr:uid="{91B82BEF-2E5F-4AF0-860C-A4639100FC7A}"/>
    <cellStyle name="Normal 2 5 3" xfId="1613" xr:uid="{0EEF6AC4-BF9A-46E9-8ED0-BBBF4E704B9D}"/>
    <cellStyle name="Normal 2 5 3 2" xfId="1614" xr:uid="{992E8F87-D6F6-4848-A7CF-616DF165D45E}"/>
    <cellStyle name="Normal 2 5 3 2 2" xfId="1615" xr:uid="{EEC621E5-3B6E-466D-BE6A-62515E1762F8}"/>
    <cellStyle name="Normal 2 5 3 2 2 2" xfId="1616" xr:uid="{FA7478F3-B449-4268-9128-4F22507338A3}"/>
    <cellStyle name="Normal 2 5 3 2 2 3" xfId="1617" xr:uid="{03604040-28B5-4E68-9BD7-364290B6B8BC}"/>
    <cellStyle name="Normal 2 5 3 2 3" xfId="1618" xr:uid="{A267D60E-7528-40DF-A81B-DF92F453634E}"/>
    <cellStyle name="Normal 2 5 3 2 4" xfId="1619" xr:uid="{5482EE53-7B7E-4026-A69B-D394E4752B47}"/>
    <cellStyle name="Normal 2 5 3 3" xfId="1620" xr:uid="{4765A1A0-B619-4E63-AFD4-03F2203A4045}"/>
    <cellStyle name="Normal 2 5 3 3 2" xfId="1621" xr:uid="{E1D7D4FB-2D69-4004-B121-6255FBCA7C9D}"/>
    <cellStyle name="Normal 2 5 3 3 3" xfId="1622" xr:uid="{D3E58F30-EB23-4BEE-9787-C2F38B2D06A3}"/>
    <cellStyle name="Normal 2 5 3 4" xfId="1623" xr:uid="{C47FB7DD-FC86-459F-8A93-7FE19FB90AE3}"/>
    <cellStyle name="Normal 2 5 3 5" xfId="1624" xr:uid="{5B9BDE3D-9359-433F-8518-805C78D9A330}"/>
    <cellStyle name="Normal 2 5 3_TB" xfId="1625" xr:uid="{9B4D34EE-8D21-4159-8375-9ED762F40FB6}"/>
    <cellStyle name="Normal 2 5 4" xfId="1626" xr:uid="{59F05D44-80DE-4BF8-BA09-6CDD101326A4}"/>
    <cellStyle name="Normal 2 5 4 2" xfId="1627" xr:uid="{46D26453-F2BA-4A0A-B9F8-7F1FC0E18EBB}"/>
    <cellStyle name="Normal 2 5 4 2 2" xfId="1628" xr:uid="{2B400000-830E-4362-8FFB-A48B3EBB7BC1}"/>
    <cellStyle name="Normal 2 5 4 2 3" xfId="1629" xr:uid="{44FDB89C-D002-482B-9CBA-70F493C5A5B6}"/>
    <cellStyle name="Normal 2 5 4 3" xfId="1630" xr:uid="{9A864BE1-B0DC-4B18-B4B7-60ADFA570528}"/>
    <cellStyle name="Normal 2 5 4 4" xfId="1631" xr:uid="{A05E7C63-B544-4DE8-9D25-EB6AF5EC08AC}"/>
    <cellStyle name="Normal 2 5 5" xfId="1632" xr:uid="{C8A9A972-8586-417A-A36D-AD51338C4015}"/>
    <cellStyle name="Normal 2 5 5 2" xfId="1633" xr:uid="{C1CC9EC0-74E7-4EB5-A642-2DE37F1B9B79}"/>
    <cellStyle name="Normal 2 5 5 3" xfId="1634" xr:uid="{221CB441-0620-4542-A105-BD9B22813389}"/>
    <cellStyle name="Normal 2 5_TB" xfId="1635" xr:uid="{A60004F3-AF3D-49C3-AB9A-944BFF47195C}"/>
    <cellStyle name="Normal 2 6" xfId="1636" xr:uid="{D13D5AFD-8629-4FF5-BC24-103040B18100}"/>
    <cellStyle name="Normal 2 6 2" xfId="1637" xr:uid="{58F3345A-199B-487F-A49C-3401925E9AB9}"/>
    <cellStyle name="Normal 2 6 2 2" xfId="1638" xr:uid="{C1D6E760-9359-4975-BF56-7D4743681301}"/>
    <cellStyle name="Normal 2 6 2 2 2" xfId="1639" xr:uid="{30D0EC46-5F71-4AC6-8563-8AF561D96EC3}"/>
    <cellStyle name="Normal 2 6 2 2 2 2" xfId="1640" xr:uid="{DCDB2BBA-C1BF-4518-8A6B-3AF4EDF76336}"/>
    <cellStyle name="Normal 2 6 2 2 2 2 2" xfId="1641" xr:uid="{A98641F7-3D4A-4534-A3A4-C9FA394DFB4B}"/>
    <cellStyle name="Normal 2 6 2 2 2 2 3" xfId="1642" xr:uid="{0D3C0367-170A-4918-8B51-6616CE03C24C}"/>
    <cellStyle name="Normal 2 6 2 2 2 3" xfId="1643" xr:uid="{ABADA2F1-702C-4E3B-8EA0-51D4581A5362}"/>
    <cellStyle name="Normal 2 6 2 2 2 4" xfId="1644" xr:uid="{011C3A99-1C82-4D7C-81D8-E0CBEBA1D62B}"/>
    <cellStyle name="Normal 2 6 2 2 3" xfId="1645" xr:uid="{170127AE-0C6C-4323-8677-5A8E65A40873}"/>
    <cellStyle name="Normal 2 6 2 2 3 2" xfId="1646" xr:uid="{65F8B2BB-7F8F-43DE-86FF-24EDEF65AEE2}"/>
    <cellStyle name="Normal 2 6 2 2 3 3" xfId="1647" xr:uid="{7F739C2F-94A1-45BD-A4F6-795D114CBC65}"/>
    <cellStyle name="Normal 2 6 2 2 4" xfId="1648" xr:uid="{6BFBBB88-91AD-466C-968B-ED4FE1F4A3AA}"/>
    <cellStyle name="Normal 2 6 2 2 5" xfId="1649" xr:uid="{5AADF19E-3A59-4691-875D-4CD768F09E45}"/>
    <cellStyle name="Normal 2 6 2 2_TB" xfId="1650" xr:uid="{76114F42-3AB0-43EC-B580-113463DA6ACC}"/>
    <cellStyle name="Normal 2 6 2 3" xfId="1651" xr:uid="{6658CE00-EED9-4C9A-BD34-1A383DF89B46}"/>
    <cellStyle name="Normal 2 6 2 3 2" xfId="1652" xr:uid="{300FB25B-B05B-4304-9EFD-3B9FA632717C}"/>
    <cellStyle name="Normal 2 6 2 3 2 2" xfId="1653" xr:uid="{F0EFE065-6111-4316-8686-ECA0608B266C}"/>
    <cellStyle name="Normal 2 6 2 3 2 3" xfId="1654" xr:uid="{8208CEC4-BF33-4BCF-BCF2-73A40683B32B}"/>
    <cellStyle name="Normal 2 6 2 3 3" xfId="1655" xr:uid="{FD4A5469-A985-42D4-B87E-AF90476B7FA7}"/>
    <cellStyle name="Normal 2 6 2 3 4" xfId="1656" xr:uid="{D42FB550-21BC-4FF1-81A0-7E8E2845C0A5}"/>
    <cellStyle name="Normal 2 6 2 4" xfId="1657" xr:uid="{FB49B04F-5FF4-4F81-BF77-5DBFF7E3AA22}"/>
    <cellStyle name="Normal 2 6 2 4 2" xfId="1658" xr:uid="{F37BC42F-E5E2-4DA5-9422-75BC425D8C8E}"/>
    <cellStyle name="Normal 2 6 2 4 3" xfId="1659" xr:uid="{D54F78E4-71F7-4718-9A4B-91C33C4BC5FB}"/>
    <cellStyle name="Normal 2 6 2 5" xfId="1660" xr:uid="{22993210-AC3E-4F32-96F7-CC10CD1AD3BF}"/>
    <cellStyle name="Normal 2 6 2 6" xfId="1661" xr:uid="{8AC3E3B8-782F-4E4D-9A26-A08B274DE738}"/>
    <cellStyle name="Normal 2 6 2_TB" xfId="1662" xr:uid="{9397AD29-191E-47D7-892D-FF7EFDFD3FC3}"/>
    <cellStyle name="Normal 2 6 3" xfId="1663" xr:uid="{64C4B24D-DF7F-46D9-A852-908E41729E2C}"/>
    <cellStyle name="Normal 2 6 3 2" xfId="1664" xr:uid="{CCDE65A7-F7E6-435A-A13F-F61943675700}"/>
    <cellStyle name="Normal 2 6 3 2 2" xfId="1665" xr:uid="{B06522EA-17D4-4919-8747-64272CAD2F94}"/>
    <cellStyle name="Normal 2 6 3 2 2 2" xfId="1666" xr:uid="{5CBF663A-6E2E-4859-8C16-C63221F7596A}"/>
    <cellStyle name="Normal 2 6 3 2 2 3" xfId="1667" xr:uid="{04A9F829-F579-4266-9A9E-CAB206BC5688}"/>
    <cellStyle name="Normal 2 6 3 2 3" xfId="1668" xr:uid="{918A7371-4928-4636-A44B-AA87AE6744A1}"/>
    <cellStyle name="Normal 2 6 3 2 4" xfId="1669" xr:uid="{3CC5C71F-BD74-4B4D-B79D-909E5D9CB341}"/>
    <cellStyle name="Normal 2 6 3 3" xfId="1670" xr:uid="{B3CF1847-0432-4691-A17F-F454FCE5432E}"/>
    <cellStyle name="Normal 2 6 3 3 2" xfId="1671" xr:uid="{CDDDC958-2B23-4E56-A990-FB06BA9B8210}"/>
    <cellStyle name="Normal 2 6 3 3 3" xfId="1672" xr:uid="{196DC037-E7B6-4857-A100-89E695582E02}"/>
    <cellStyle name="Normal 2 6 3 4" xfId="1673" xr:uid="{6AB605FE-2BDB-4ADD-BD29-7B000D5A384E}"/>
    <cellStyle name="Normal 2 6 3 5" xfId="1674" xr:uid="{06AAF115-7C7E-4979-984E-5D2B0BA42CB7}"/>
    <cellStyle name="Normal 2 6 3_TB" xfId="1675" xr:uid="{912C14CD-0D72-4CA6-BD5F-112005ADC1C6}"/>
    <cellStyle name="Normal 2 6 4" xfId="1676" xr:uid="{D667BD53-AB2D-461A-B876-6BD9041A3B7D}"/>
    <cellStyle name="Normal 2 6 4 2" xfId="1677" xr:uid="{277D2056-77F0-4035-BD35-FD084F88C52C}"/>
    <cellStyle name="Normal 2 6 4 2 2" xfId="1678" xr:uid="{B6626335-B9B4-4F50-B00F-3E4367A5D704}"/>
    <cellStyle name="Normal 2 6 4 2 3" xfId="1679" xr:uid="{828635AE-5539-48AF-9D03-DA10BC7A17FE}"/>
    <cellStyle name="Normal 2 6 4 3" xfId="1680" xr:uid="{C176177A-3957-45DC-BBEB-9D6CACACA295}"/>
    <cellStyle name="Normal 2 6 4 4" xfId="1681" xr:uid="{0E31A26A-D8A3-44BF-91C1-F00AB9404E39}"/>
    <cellStyle name="Normal 2 6 5" xfId="1682" xr:uid="{2113ED20-54C3-46F0-A395-C6E98C75B7EC}"/>
    <cellStyle name="Normal 2 6 5 2" xfId="1683" xr:uid="{BDF60C7B-38F0-4666-A7CA-440D3CF2A378}"/>
    <cellStyle name="Normal 2 6 5 3" xfId="1684" xr:uid="{5D72B6B3-3672-49D8-8FE7-B4722B735E8A}"/>
    <cellStyle name="Normal 2 6_TB" xfId="1685" xr:uid="{A366A990-F492-4347-9B67-37BDD61B01FF}"/>
    <cellStyle name="Normal 2 7" xfId="1686" xr:uid="{56C0230E-5A44-4BE8-9A7F-99E73FB96362}"/>
    <cellStyle name="Normal 2 7 2" xfId="1687" xr:uid="{2374BE29-6F05-4404-B035-6D47EFFBADCB}"/>
    <cellStyle name="Normal 2 7 2 2" xfId="1688" xr:uid="{F58085E0-2FD9-4EBD-9829-8257ECE69A74}"/>
    <cellStyle name="Normal 2 7 2 2 2" xfId="1689" xr:uid="{B47B49C5-7631-44F1-8DD1-5C7E74676806}"/>
    <cellStyle name="Normal 2 7 2 2 2 2" xfId="1690" xr:uid="{0EAE1215-05A3-407D-ACAD-9194CA87234A}"/>
    <cellStyle name="Normal 2 7 2 2 2 3" xfId="1691" xr:uid="{26B0B36D-83E1-4FCF-81D4-1738F9064707}"/>
    <cellStyle name="Normal 2 7 2 2 3" xfId="1692" xr:uid="{77E8FE4F-4DE4-4415-B010-7E1F6D04B477}"/>
    <cellStyle name="Normal 2 7 2 2 4" xfId="1693" xr:uid="{E2088D8F-5559-4183-BAD7-04454A14F1F5}"/>
    <cellStyle name="Normal 2 7 2 3" xfId="1694" xr:uid="{E4D806BC-E1A3-49D5-96DD-3F7886C3D9D8}"/>
    <cellStyle name="Normal 2 7 2 3 2" xfId="1695" xr:uid="{2C516E21-1F31-4A23-949C-9403E38A6F07}"/>
    <cellStyle name="Normal 2 7 2 3 3" xfId="1696" xr:uid="{76053ADF-4B70-4004-BE2B-82BA14920E20}"/>
    <cellStyle name="Normal 2 7 2 4" xfId="1697" xr:uid="{F4C6F345-6181-47DB-8AB0-5DFE3B8C6A64}"/>
    <cellStyle name="Normal 2 7 2 5" xfId="1698" xr:uid="{168D442D-7A5A-4D63-91C8-6B373B1A6EB4}"/>
    <cellStyle name="Normal 2 7 2_TB" xfId="1699" xr:uid="{85138F14-B09E-4485-BFE3-2039917AD806}"/>
    <cellStyle name="Normal 2 7 3" xfId="1700" xr:uid="{0844656D-51F2-421F-B7E5-F08262FBD42D}"/>
    <cellStyle name="Normal 2 7 3 2" xfId="1701" xr:uid="{AECDC173-6B8C-4DA1-98CA-700FFF30047E}"/>
    <cellStyle name="Normal 2 7 3 2 2" xfId="1702" xr:uid="{351D9512-5E5E-4693-A3C6-B4711B2739DB}"/>
    <cellStyle name="Normal 2 7 3 2 3" xfId="1703" xr:uid="{2F551077-C4F5-4C7B-BB05-E4FE200D78D4}"/>
    <cellStyle name="Normal 2 7 3 3" xfId="1704" xr:uid="{76322945-B3C2-4C99-AF7F-E17981318E86}"/>
    <cellStyle name="Normal 2 7 3 4" xfId="1705" xr:uid="{42A2CB34-2F06-4197-82DE-1FC902A84FBE}"/>
    <cellStyle name="Normal 2 7 4" xfId="1706" xr:uid="{B5F8C695-DED1-437B-AA8F-DF09823031F3}"/>
    <cellStyle name="Normal 2 7 4 2" xfId="1707" xr:uid="{D781B7BB-76DF-4D36-ABDF-36F2C189F6C5}"/>
    <cellStyle name="Normal 2 7 4 3" xfId="1708" xr:uid="{706D66B7-5728-4B96-83AF-620F875D6890}"/>
    <cellStyle name="Normal 2 7 5" xfId="1709" xr:uid="{48E0A563-826D-459A-8B4B-CC197EF12E3C}"/>
    <cellStyle name="Normal 2 7 6" xfId="1710" xr:uid="{838DA512-EE6F-4ADD-AFB2-A90146D25279}"/>
    <cellStyle name="Normal 2 7_TB" xfId="1711" xr:uid="{9C396531-C467-4A5E-A233-B489F73CEF2F}"/>
    <cellStyle name="Normal 2 8" xfId="1712" xr:uid="{D9ED4B07-11E6-4A82-8D8D-2C357E851F42}"/>
    <cellStyle name="Normal 2 8 2" xfId="1713" xr:uid="{7576A68F-3146-4DED-95CB-C989842767FD}"/>
    <cellStyle name="Normal 2 9" xfId="1714" xr:uid="{8EFD8290-C173-44F1-A240-1D50FE40834D}"/>
    <cellStyle name="Normal 2_SAS ALLERAY - Etude sous capitalisation 31.12.2008" xfId="1715" xr:uid="{C2F1F57C-B7AC-485A-B15D-F5121AB5CCE6}"/>
    <cellStyle name="Normal 20" xfId="1716" xr:uid="{F82EC4C0-03A8-4D12-AE32-4CA810FECA5F}"/>
    <cellStyle name="Normal 20 2" xfId="1717" xr:uid="{895B0918-A62C-44C4-9B87-05B37437679C}"/>
    <cellStyle name="Normal 21" xfId="1718" xr:uid="{C089D784-F50B-4D4C-8D50-1713BF4681D0}"/>
    <cellStyle name="Normal 21 2" xfId="1719" xr:uid="{46D508F9-C529-4131-9D21-80250F07CF8B}"/>
    <cellStyle name="Normal 22" xfId="1720" xr:uid="{2F74A7E1-634D-4E41-9B68-578D6913913E}"/>
    <cellStyle name="Normal 22 2" xfId="1721" xr:uid="{7C44F1C3-050C-4D8B-AAF2-F36B772FDFD7}"/>
    <cellStyle name="Normal 23" xfId="1722" xr:uid="{978191E6-5D5C-4BA8-9925-DBEDF8B6E93F}"/>
    <cellStyle name="Normal 23 2" xfId="1723" xr:uid="{233DEDF9-BDEF-43E8-8ACA-A014DA85C0DE}"/>
    <cellStyle name="Normal 24" xfId="1724" xr:uid="{4EBBC0E5-9813-45CF-8FE3-462C8F488ED2}"/>
    <cellStyle name="Normal 24 2" xfId="1725" xr:uid="{5C084FCB-5393-46CD-BFC2-97FA1049D2C6}"/>
    <cellStyle name="Normal 25" xfId="1726" xr:uid="{59F3B300-2C48-4A42-9100-CECC81BE9B36}"/>
    <cellStyle name="Normal 25 2" xfId="1727" xr:uid="{C01706B4-4429-430E-8C89-D58F3FAD47B5}"/>
    <cellStyle name="Normal 26" xfId="1728" xr:uid="{1BDCE072-BA76-4E47-B9DD-8A52AF4D7812}"/>
    <cellStyle name="Normal 26 2" xfId="1729" xr:uid="{42C2E9AA-19DA-4790-84E2-8CDE6BD5E3CD}"/>
    <cellStyle name="Normal 27" xfId="1730" xr:uid="{C951C3A8-73AE-499C-BECB-E5F008D9EEED}"/>
    <cellStyle name="Normal 27 2" xfId="1731" xr:uid="{6D72BEF5-9E3A-4089-8AC7-C9571DC50FF2}"/>
    <cellStyle name="Normal 28" xfId="1732" xr:uid="{208EDA63-189C-49E0-8132-B4D3C4983242}"/>
    <cellStyle name="Normal 28 2" xfId="1733" xr:uid="{9BA37901-EE20-4CB8-AE6B-2A39E970B27B}"/>
    <cellStyle name="Normal 29" xfId="1734" xr:uid="{43357DE1-A113-47FE-9CFF-30E81AE49137}"/>
    <cellStyle name="Normal 29 2" xfId="1735" xr:uid="{8302DC34-29DC-4D29-B52B-8049742B0B12}"/>
    <cellStyle name="Normal 3" xfId="1736" xr:uid="{B01CE711-8145-416C-AC1E-03A6A8607D91}"/>
    <cellStyle name="Normal 3 10" xfId="1737" xr:uid="{A48096BB-3FF2-4187-8A39-8652B82BE900}"/>
    <cellStyle name="Normal 3 11" xfId="1738" xr:uid="{9496DA88-1923-41AB-9C42-07B4DE1ED72C}"/>
    <cellStyle name="Normal 3 2" xfId="1739" xr:uid="{870992D8-1205-40E2-A842-64BD9A9AD860}"/>
    <cellStyle name="Normal 3 2 2" xfId="1740" xr:uid="{99DA195E-AA54-47D7-AF78-366FA6A93BF1}"/>
    <cellStyle name="Normal 3 2 2 2" xfId="1741" xr:uid="{989570F8-9311-4D43-AD4D-6EEB22A1934A}"/>
    <cellStyle name="Normal 3 2 2 2 2" xfId="1742" xr:uid="{3AF1F5D9-D88D-474F-B5DC-C942F0EBF39C}"/>
    <cellStyle name="Normal 3 2 2 2 2 2" xfId="1743" xr:uid="{26298E4E-C87B-4B31-8A3A-182EE4841C7C}"/>
    <cellStyle name="Normal 3 2 2 2 2 2 2" xfId="1744" xr:uid="{78AA294C-7DD2-4A22-A94E-686EF107EC21}"/>
    <cellStyle name="Normal 3 2 2 2 2 2 2 2" xfId="1745" xr:uid="{A5BB1FA4-03C6-4919-8D9C-F35DD8DC74CC}"/>
    <cellStyle name="Normal 3 2 2 2 2 2 2 2 2" xfId="1746" xr:uid="{3FADBF31-4405-474E-8C81-3287F16269F0}"/>
    <cellStyle name="Normal 3 2 2 2 2 2 2 3" xfId="1747" xr:uid="{96EEDDBF-F7A1-49F7-AF65-D4F4FED70EBE}"/>
    <cellStyle name="Normal 3 2 2 2 2 2 3" xfId="1748" xr:uid="{15BD7EBD-62F3-48DD-8653-6C82C36C5476}"/>
    <cellStyle name="Normal 3 2 2 2 2 2 3 2" xfId="1749" xr:uid="{700E4558-8F9F-4CB4-B831-083BE60E9148}"/>
    <cellStyle name="Normal 3 2 2 2 2 2 4" xfId="1750" xr:uid="{77CB4E78-D30E-4BD6-A6D6-5DD0E43CD455}"/>
    <cellStyle name="Normal 3 2 2 2 2 3" xfId="1751" xr:uid="{64758BFA-CC70-41EE-95C7-C90AD73D3DAD}"/>
    <cellStyle name="Normal 3 2 2 2 2 3 2" xfId="1752" xr:uid="{ACE94685-F340-415C-8B6D-24639453D1E3}"/>
    <cellStyle name="Normal 3 2 2 2 2 3 2 2" xfId="1753" xr:uid="{957E5C19-05BB-41F7-ACB2-8CB1C502EF17}"/>
    <cellStyle name="Normal 3 2 2 2 2 3 2 2 2" xfId="1754" xr:uid="{668A8BF2-1BC9-4739-B431-9D8E788F6788}"/>
    <cellStyle name="Normal 3 2 2 2 2 3 2 3" xfId="1755" xr:uid="{CC5D4BD9-6F1A-4AA9-AF65-A9D603A1A64E}"/>
    <cellStyle name="Normal 3 2 2 2 2 3 3" xfId="1756" xr:uid="{6D2F89A6-4690-41BC-9757-AA41D3ABB579}"/>
    <cellStyle name="Normal 3 2 2 2 2 3 3 2" xfId="1757" xr:uid="{561C9372-ABAF-4B18-97A0-B8FDAC9F34B4}"/>
    <cellStyle name="Normal 3 2 2 2 2 3 4" xfId="1758" xr:uid="{8F4AFF47-6597-4761-8BFB-3A3CF04BDC5B}"/>
    <cellStyle name="Normal 3 2 2 2 2 4" xfId="1759" xr:uid="{AFE339EA-9E16-4E28-818E-4109BBDBAD36}"/>
    <cellStyle name="Normal 3 2 2 2 2 4 2" xfId="1760" xr:uid="{994752BC-4701-4360-A2FE-F13348A70598}"/>
    <cellStyle name="Normal 3 2 2 2 2 4 2 2" xfId="1761" xr:uid="{2C999325-C679-4978-BD68-80F7B1897AE9}"/>
    <cellStyle name="Normal 3 2 2 2 2 4 3" xfId="1762" xr:uid="{69D26CD0-D56B-40C2-9DFD-1B3087708485}"/>
    <cellStyle name="Normal 3 2 2 2 2 5" xfId="1763" xr:uid="{DDF7612F-436B-4590-91C3-971D1346807E}"/>
    <cellStyle name="Normal 3 2 2 2 2 5 2" xfId="1764" xr:uid="{B38C210B-D54D-4605-86B8-46106B0D7B28}"/>
    <cellStyle name="Normal 3 2 2 2 2 6" xfId="1765" xr:uid="{BC364A6F-42E7-4E19-AC69-9634E77DCA1E}"/>
    <cellStyle name="Normal 3 2 2 2 3" xfId="1766" xr:uid="{7989304A-C0E3-4DC8-B318-E6E6B6BC5541}"/>
    <cellStyle name="Normal 3 2 2 2 3 2" xfId="1767" xr:uid="{56DC616F-9F78-4240-9BF5-BDFFD207146F}"/>
    <cellStyle name="Normal 3 2 2 2 3 2 2" xfId="1768" xr:uid="{62B9A084-03C2-4E6B-B22D-D8A7EDE18401}"/>
    <cellStyle name="Normal 3 2 2 2 3 3" xfId="1769" xr:uid="{11302C85-47EE-423F-B6C4-8D21E73CEAEF}"/>
    <cellStyle name="Normal 3 2 2 2 4" xfId="1770" xr:uid="{5C10C454-B67A-4F11-8135-7B5E7A4F06F0}"/>
    <cellStyle name="Normal 3 2 2 2 4 2" xfId="1771" xr:uid="{114FB736-D2E3-473C-899A-E02330F73566}"/>
    <cellStyle name="Normal 3 2 2 2 4 2 2" xfId="1772" xr:uid="{E2882603-AA3A-473A-B8D0-5EC39CB58246}"/>
    <cellStyle name="Normal 3 2 2 2 4 3" xfId="1773" xr:uid="{A5A13BEC-FC7F-486C-82A9-A4E252425212}"/>
    <cellStyle name="Normal 3 2 2 2 5" xfId="1774" xr:uid="{3CA03D6D-BEE5-448A-80FA-1B0A21299201}"/>
    <cellStyle name="Normal 3 2 2 2 5 2" xfId="1775" xr:uid="{78B756A3-9A59-45A4-8DD6-092642C08A04}"/>
    <cellStyle name="Normal 3 2 2 2 6" xfId="1776" xr:uid="{274CB57D-534B-4601-A455-247735B8FD71}"/>
    <cellStyle name="Normal 3 2 2 3" xfId="1777" xr:uid="{89B3AEAF-6822-4AE8-A065-980F92E9F08A}"/>
    <cellStyle name="Normal 3 2 2 3 2" xfId="1778" xr:uid="{9A38FA54-FA07-4BF2-B1E0-DF8BD7867C70}"/>
    <cellStyle name="Normal 3 2 2 3 2 2" xfId="1779" xr:uid="{70F2CB27-2FA2-4952-B824-48CC93940791}"/>
    <cellStyle name="Normal 3 2 2 3 2 2 2" xfId="1780" xr:uid="{4CA36859-4870-4BFA-947B-0581ECC3C110}"/>
    <cellStyle name="Normal 3 2 2 3 2 2 2 2" xfId="1781" xr:uid="{823E3B7B-7D2B-46BD-8F3A-00DB48451695}"/>
    <cellStyle name="Normal 3 2 2 3 2 2 3" xfId="1782" xr:uid="{8220F8B8-EB9A-407E-B605-73FC7B4A5D21}"/>
    <cellStyle name="Normal 3 2 2 3 2 3" xfId="1783" xr:uid="{6AF6603A-9C13-4411-B446-0034701C5D02}"/>
    <cellStyle name="Normal 3 2 2 3 2 3 2" xfId="1784" xr:uid="{2442E7F2-1F01-4F78-997E-848B42A03B67}"/>
    <cellStyle name="Normal 3 2 2 3 2 4" xfId="1785" xr:uid="{F3C4DA77-7744-41E3-8B8D-62F0E509C05A}"/>
    <cellStyle name="Normal 3 2 2 3 3" xfId="1786" xr:uid="{3B7E150C-449A-4B25-A06A-CF252A05F742}"/>
    <cellStyle name="Normal 3 2 2 3 3 2" xfId="1787" xr:uid="{4B5C4DB1-5417-42F2-B5F3-B8B05CE939DF}"/>
    <cellStyle name="Normal 3 2 2 3 3 2 2" xfId="1788" xr:uid="{338CE594-A48A-4AEC-AB5D-0DCF27CBF5F3}"/>
    <cellStyle name="Normal 3 2 2 3 3 2 2 2" xfId="1789" xr:uid="{810E6BBC-B52F-46A9-AD86-8ACB48B60E13}"/>
    <cellStyle name="Normal 3 2 2 3 3 2 3" xfId="1790" xr:uid="{F0A2DEAF-1580-4877-920D-E890AF2DFCF8}"/>
    <cellStyle name="Normal 3 2 2 3 3 3" xfId="1791" xr:uid="{93B5223B-A930-487B-8B6B-4B3F59CE19CE}"/>
    <cellStyle name="Normal 3 2 2 3 3 3 2" xfId="1792" xr:uid="{CC7A341F-D15E-4BAD-8E19-218FB1B75062}"/>
    <cellStyle name="Normal 3 2 2 3 3 4" xfId="1793" xr:uid="{D4B356CD-2F8E-4E9C-B217-F9756820E13F}"/>
    <cellStyle name="Normal 3 2 2 3 4" xfId="1794" xr:uid="{51558102-D03B-480C-B0EA-9D0C32D62711}"/>
    <cellStyle name="Normal 3 2 2 3 4 2" xfId="1795" xr:uid="{DF4E7AEF-4F96-402B-86CD-9E4A1BB66CE9}"/>
    <cellStyle name="Normal 3 2 2 3 4 2 2" xfId="1796" xr:uid="{332A9F39-111A-450B-9697-2228D27B0C66}"/>
    <cellStyle name="Normal 3 2 2 3 4 3" xfId="1797" xr:uid="{389E79B7-6F25-4192-B3F5-EB57A1BB6DC7}"/>
    <cellStyle name="Normal 3 2 2 3 5" xfId="1798" xr:uid="{EB5532F0-1E46-49CA-AE53-C310E61EA47C}"/>
    <cellStyle name="Normal 3 2 2 3 5 2" xfId="1799" xr:uid="{94EC1C7F-AA05-4075-99A8-E2948B904A31}"/>
    <cellStyle name="Normal 3 2 2 3 6" xfId="1800" xr:uid="{67876C62-5E77-49EE-9C03-2D81E44C89FD}"/>
    <cellStyle name="Normal 3 2 2 4" xfId="1801" xr:uid="{7EF41301-6CD0-4A05-9EF9-21E8A82DCD8D}"/>
    <cellStyle name="Normal 3 2 2 4 2" xfId="1802" xr:uid="{29A7D357-991F-40A8-BDE2-6ED381A33A32}"/>
    <cellStyle name="Normal 3 2 2 4 2 2" xfId="1803" xr:uid="{6BC45900-853D-4585-A27D-58ECF034D247}"/>
    <cellStyle name="Normal 3 2 2 4 2 2 2" xfId="1804" xr:uid="{0F18C803-E721-4839-8281-524C2C6FDB33}"/>
    <cellStyle name="Normal 3 2 2 4 2 3" xfId="1805" xr:uid="{F48185F8-5D01-49E2-9441-639A6BAB04D8}"/>
    <cellStyle name="Normal 3 2 2 4 3" xfId="1806" xr:uid="{E5A72006-A8C4-4816-9D32-7BEC6FD2A771}"/>
    <cellStyle name="Normal 3 2 2 4 3 2" xfId="1807" xr:uid="{3DD371D2-627E-498E-81DB-8A70ED0B8F37}"/>
    <cellStyle name="Normal 3 2 2 4 4" xfId="1808" xr:uid="{F571CB04-2C6C-41C9-A012-D7AAF4180AF8}"/>
    <cellStyle name="Normal 3 2 2 5" xfId="1809" xr:uid="{4AA8F8F4-D827-4D70-B047-A2EFB332DA01}"/>
    <cellStyle name="Normal 3 2 2 5 2" xfId="1810" xr:uid="{5BEB308A-AD21-442B-9EA8-5862BB1F8992}"/>
    <cellStyle name="Normal 3 2 2 5 2 2" xfId="1811" xr:uid="{002F8249-2DB9-403F-A7D4-CA29B042004D}"/>
    <cellStyle name="Normal 3 2 2 5 2 2 2" xfId="1812" xr:uid="{63F254E6-E635-45E5-907F-FAC87EC72A28}"/>
    <cellStyle name="Normal 3 2 2 5 2 3" xfId="1813" xr:uid="{5099B5E5-32AE-4973-B699-2621EAB6566A}"/>
    <cellStyle name="Normal 3 2 2 5 3" xfId="1814" xr:uid="{02196CEB-D295-4CD3-AF4F-5B705E98FD55}"/>
    <cellStyle name="Normal 3 2 2 5 3 2" xfId="1815" xr:uid="{0F2B53FE-F515-4E92-AF02-8F8E692F7F82}"/>
    <cellStyle name="Normal 3 2 2 5 4" xfId="1816" xr:uid="{2A3A0E00-58C7-4C0F-8E3C-835A9860C808}"/>
    <cellStyle name="Normal 3 2 2 6" xfId="1817" xr:uid="{B5E80F77-47B9-4DCE-B45C-9ABD607714B5}"/>
    <cellStyle name="Normal 3 2 2 6 2" xfId="1818" xr:uid="{14D092FA-7D12-4265-BA1F-BACCFBF3A059}"/>
    <cellStyle name="Normal 3 2 2 6 2 2" xfId="1819" xr:uid="{1FF3AB2B-BE45-4F73-B9CC-983E07796DBC}"/>
    <cellStyle name="Normal 3 2 2 6 3" xfId="1820" xr:uid="{E6CA9882-2395-46D8-B195-9E4A8F4E950D}"/>
    <cellStyle name="Normal 3 2 2 7" xfId="1821" xr:uid="{514A3948-9E57-47EE-A51D-7F941B55EA07}"/>
    <cellStyle name="Normal 3 2 2 7 2" xfId="1822" xr:uid="{7F386053-E160-4FA7-8FC1-120E49A1FD41}"/>
    <cellStyle name="Normal 3 2 3" xfId="1823" xr:uid="{DA130AD3-3253-4539-BA7C-48C4BDF18D01}"/>
    <cellStyle name="Normal 3 2 3 2" xfId="1824" xr:uid="{17D708BD-52C8-4FDB-8D01-AB7E605AB598}"/>
    <cellStyle name="Normal 3 2 3 2 2" xfId="1825" xr:uid="{2DA85808-2C98-4B7C-A634-7B12D61A78E2}"/>
    <cellStyle name="Normal 3 2 3 2 2 2" xfId="1826" xr:uid="{071AC789-1271-4D96-B06A-1C3D4F16C3F2}"/>
    <cellStyle name="Normal 3 2 3 2 2 2 2" xfId="1827" xr:uid="{9DA8DFF4-D5EF-42E3-8EF7-E0B8158CD0FC}"/>
    <cellStyle name="Normal 3 2 3 2 2 2 2 2" xfId="1828" xr:uid="{FCED3246-784B-4F3B-8179-16E3CAB18FA9}"/>
    <cellStyle name="Normal 3 2 3 2 2 2 3" xfId="1829" xr:uid="{A4721E3C-769F-4BE2-9C9B-A3A499542AD7}"/>
    <cellStyle name="Normal 3 2 3 2 2 3" xfId="1830" xr:uid="{7EE04E0A-AD34-4C53-ADD6-A3B0E0BE9B88}"/>
    <cellStyle name="Normal 3 2 3 2 2 3 2" xfId="1831" xr:uid="{A50886C1-9EF6-4CC0-A29E-D145B69486D5}"/>
    <cellStyle name="Normal 3 2 3 2 2 4" xfId="1832" xr:uid="{679013D2-D8F8-4729-98F9-4B809A101AD2}"/>
    <cellStyle name="Normal 3 2 3 2 3" xfId="1833" xr:uid="{9AAFEA07-88C3-419C-A1CA-5CB228E68705}"/>
    <cellStyle name="Normal 3 2 3 2 3 2" xfId="1834" xr:uid="{B0BDAD87-F391-4896-A925-FBE3FA6C7C7C}"/>
    <cellStyle name="Normal 3 2 3 2 3 2 2" xfId="1835" xr:uid="{E00640D1-6510-4D42-9FAF-E14D3EB8A399}"/>
    <cellStyle name="Normal 3 2 3 2 3 2 2 2" xfId="1836" xr:uid="{5BC26046-CAE6-4125-9213-701776029136}"/>
    <cellStyle name="Normal 3 2 3 2 3 2 3" xfId="1837" xr:uid="{10456A19-388F-4C2E-8E8B-ACFBBC07DDCC}"/>
    <cellStyle name="Normal 3 2 3 2 3 3" xfId="1838" xr:uid="{27FB5A58-7FCD-4158-A4EC-4D33D6535181}"/>
    <cellStyle name="Normal 3 2 3 2 3 3 2" xfId="1839" xr:uid="{F0F68167-A5C2-4303-9BB4-4893C0E93A35}"/>
    <cellStyle name="Normal 3 2 3 2 3 4" xfId="1840" xr:uid="{74531FE5-8765-4E59-9D97-FE442822C31E}"/>
    <cellStyle name="Normal 3 2 3 2 4" xfId="1841" xr:uid="{3CB94CFC-2145-4B29-AE09-18D5A442EE9A}"/>
    <cellStyle name="Normal 3 2 3 2 4 2" xfId="1842" xr:uid="{1C314E19-7280-4DBF-994E-94156395D7C4}"/>
    <cellStyle name="Normal 3 2 3 2 4 2 2" xfId="1843" xr:uid="{6B75200F-B81B-4D6F-A119-DC2368E8BC01}"/>
    <cellStyle name="Normal 3 2 3 2 4 3" xfId="1844" xr:uid="{13C235A7-0B2A-4849-BC5F-3999059FB0AC}"/>
    <cellStyle name="Normal 3 2 3 2 5" xfId="1845" xr:uid="{DCE4DBA5-B9A0-4893-A7D5-B2256B6BB29D}"/>
    <cellStyle name="Normal 3 2 3 2 5 2" xfId="1846" xr:uid="{070A2AED-4F69-4D92-B8B0-D6CDB2F4B6B3}"/>
    <cellStyle name="Normal 3 2 3 2 6" xfId="1847" xr:uid="{7287CFBE-C2E1-49B4-8433-CBD95CE87115}"/>
    <cellStyle name="Normal 3 2 3 3" xfId="1848" xr:uid="{B9F103CB-4C14-4CC8-953B-3B83F159E49C}"/>
    <cellStyle name="Normal 3 2 3 3 2" xfId="1849" xr:uid="{D8701F1A-DD29-4F48-868A-C80646D17A04}"/>
    <cellStyle name="Normal 3 2 3 3 2 2" xfId="1850" xr:uid="{5F2369D3-C5CE-424F-A508-63908742D28C}"/>
    <cellStyle name="Normal 3 2 3 3 3" xfId="1851" xr:uid="{F6EB08A8-7826-41F4-A45A-AC18947EF1BC}"/>
    <cellStyle name="Normal 3 2 3 4" xfId="1852" xr:uid="{F1DE9CA9-3089-49F3-9806-2DB253DEE910}"/>
    <cellStyle name="Normal 3 2 3 4 2" xfId="1853" xr:uid="{69D8BF6C-6CDE-4984-AAAE-ABC4F456846F}"/>
    <cellStyle name="Normal 3 2 3 4 2 2" xfId="1854" xr:uid="{11BDADBE-9EC6-4F1B-927A-83CE1EC4C3CA}"/>
    <cellStyle name="Normal 3 2 3 4 3" xfId="1855" xr:uid="{90423FAA-0813-47A2-80E8-5D37838EE091}"/>
    <cellStyle name="Normal 3 2 3 5" xfId="1856" xr:uid="{5B706A4F-BC02-4F91-B3F6-D169313DE15A}"/>
    <cellStyle name="Normal 3 2 3 5 2" xfId="1857" xr:uid="{7C5C6590-8D2F-455D-BD14-DDB2F969E5D0}"/>
    <cellStyle name="Normal 3 2 3 6" xfId="1858" xr:uid="{4BE47A06-2923-4E45-8BB5-D006B38322ED}"/>
    <cellStyle name="Normal 3 2 4" xfId="1859" xr:uid="{0A70589A-5AE9-41F2-8B3F-2A5AF321D14B}"/>
    <cellStyle name="Normal 3 2 4 2" xfId="1860" xr:uid="{8CF66F25-BDDD-4024-BF0D-00603A9A8B47}"/>
    <cellStyle name="Normal 3 2 4 2 2" xfId="1861" xr:uid="{6CD2E501-B276-4C09-9131-C8A3A63D6C36}"/>
    <cellStyle name="Normal 3 2 4 2 2 2" xfId="1862" xr:uid="{AD42CC95-3607-496B-AEEE-21A8C2CE7C63}"/>
    <cellStyle name="Normal 3 2 4 2 2 2 2" xfId="1863" xr:uid="{A2FB713B-C098-4CE9-81AA-C63227BC7383}"/>
    <cellStyle name="Normal 3 2 4 2 2 3" xfId="1864" xr:uid="{A9CC360B-0F3E-42B1-A165-5D2BE8E42B19}"/>
    <cellStyle name="Normal 3 2 4 2 3" xfId="1865" xr:uid="{F28A4F0B-35A3-45DE-BB88-1552B7274DDC}"/>
    <cellStyle name="Normal 3 2 4 2 3 2" xfId="1866" xr:uid="{C59F7CD2-089C-4318-8EE5-317D4CB794F4}"/>
    <cellStyle name="Normal 3 2 4 2 4" xfId="1867" xr:uid="{ED3097FB-8801-4B25-80F0-93B0BB5DF99B}"/>
    <cellStyle name="Normal 3 2 4 3" xfId="1868" xr:uid="{32C7FFB8-9C28-4532-A17B-EC1A1505DEF1}"/>
    <cellStyle name="Normal 3 2 4 3 2" xfId="1869" xr:uid="{285CE2F3-87A4-47DB-A304-9BD106EA7D49}"/>
    <cellStyle name="Normal 3 2 4 3 2 2" xfId="1870" xr:uid="{E8CF30DE-F2E2-4464-9C14-9687EB57EFD8}"/>
    <cellStyle name="Normal 3 2 4 3 2 2 2" xfId="1871" xr:uid="{ABC06274-B4E5-4F95-9BDB-713AD9D935EB}"/>
    <cellStyle name="Normal 3 2 4 3 2 3" xfId="1872" xr:uid="{A7ABE54C-6C8C-42F7-BD64-6B5D702E4ECC}"/>
    <cellStyle name="Normal 3 2 4 3 3" xfId="1873" xr:uid="{DC1B2CC6-9988-4208-A824-59DE9012E3C2}"/>
    <cellStyle name="Normal 3 2 4 3 3 2" xfId="1874" xr:uid="{2CC5B069-0596-4A1C-A91F-E8A9F6A1D7A5}"/>
    <cellStyle name="Normal 3 2 4 3 4" xfId="1875" xr:uid="{2DB10A85-4C58-4062-84E4-430AD6AF546F}"/>
    <cellStyle name="Normal 3 2 4 4" xfId="1876" xr:uid="{E36B76CE-D454-4132-8AA4-03DD3325939E}"/>
    <cellStyle name="Normal 3 2 4 4 2" xfId="1877" xr:uid="{19C0F216-60BD-4223-B5D8-50A84AE25880}"/>
    <cellStyle name="Normal 3 2 4 4 2 2" xfId="1878" xr:uid="{1A8265F6-8C89-4875-A5AE-506508ED8F92}"/>
    <cellStyle name="Normal 3 2 4 4 3" xfId="1879" xr:uid="{F39C9AFC-B77F-45E1-A420-4F4434B5A048}"/>
    <cellStyle name="Normal 3 2 4 5" xfId="1880" xr:uid="{F544A9E7-AF88-4FCE-8D36-439E44D2A672}"/>
    <cellStyle name="Normal 3 2 4 5 2" xfId="1881" xr:uid="{BB64D70F-1F64-41A5-957C-9C93E9ED48EA}"/>
    <cellStyle name="Normal 3 2 4 6" xfId="1882" xr:uid="{5DF00F77-9553-4D3C-81F8-0DCE156D54B8}"/>
    <cellStyle name="Normal 3 2 5" xfId="1883" xr:uid="{1592F162-18D3-4623-96D2-8B6E4E759876}"/>
    <cellStyle name="Normal 3 2 5 2" xfId="1884" xr:uid="{4ACEE139-9FF9-4803-9AA0-89B0F5357954}"/>
    <cellStyle name="Normal 3 2 5 2 2" xfId="1885" xr:uid="{5E1078C9-B94E-4BD7-B338-BD50B74D29F8}"/>
    <cellStyle name="Normal 3 2 5 2 2 2" xfId="1886" xr:uid="{7FA67878-AA36-4D07-9D7C-ED25D4A1DFB2}"/>
    <cellStyle name="Normal 3 2 5 2 3" xfId="1887" xr:uid="{8141BB61-254D-49E0-97EB-ACE604289BFC}"/>
    <cellStyle name="Normal 3 2 5 3" xfId="1888" xr:uid="{1C2ABE81-B666-475B-B769-748D24E4A5C2}"/>
    <cellStyle name="Normal 3 2 5 3 2" xfId="1889" xr:uid="{6712F543-FABC-4BA8-835A-3D58DB7493D6}"/>
    <cellStyle name="Normal 3 2 5 4" xfId="1890" xr:uid="{D2E0030F-9813-4265-A939-DA997702EAF1}"/>
    <cellStyle name="Normal 3 2 6" xfId="1891" xr:uid="{44775324-8B32-4FB8-B97B-5C1564A91846}"/>
    <cellStyle name="Normal 3 2 6 2" xfId="1892" xr:uid="{2EF39A9F-DF7C-434C-AB94-A0121B8B501C}"/>
    <cellStyle name="Normal 3 2 6 2 2" xfId="1893" xr:uid="{46C9D08B-42DB-4BDA-8190-AD9C59480164}"/>
    <cellStyle name="Normal 3 2 6 2 2 2" xfId="1894" xr:uid="{D6AD4078-5FC1-4FB4-B4B9-3A90B5440021}"/>
    <cellStyle name="Normal 3 2 6 2 3" xfId="1895" xr:uid="{9C0A91F5-063E-4797-ACCA-F65AD3A073A0}"/>
    <cellStyle name="Normal 3 2 6 3" xfId="1896" xr:uid="{2F025757-6EA5-4CD5-8F8A-EA89EA951E04}"/>
    <cellStyle name="Normal 3 2 6 3 2" xfId="1897" xr:uid="{0DF23744-7D43-4CF2-A244-3973004C6A7C}"/>
    <cellStyle name="Normal 3 2 6 4" xfId="1898" xr:uid="{43245D26-36D8-4BE3-83A9-73ED77D87B74}"/>
    <cellStyle name="Normal 3 2 7" xfId="1899" xr:uid="{AEEE21F2-4167-4636-B1D1-6A25CF957F35}"/>
    <cellStyle name="Normal 3 2 7 2" xfId="1900" xr:uid="{BB1B2FB7-3C8A-424E-8F10-5608C8159676}"/>
    <cellStyle name="Normal 3 2 7 2 2" xfId="1901" xr:uid="{A8376228-525B-446B-92E7-F69F48D097E4}"/>
    <cellStyle name="Normal 3 2 7 3" xfId="1902" xr:uid="{FE1FB7A4-537D-4618-A52D-2FE472E5DFBB}"/>
    <cellStyle name="Normal 3 2 8" xfId="1903" xr:uid="{4D22A610-285D-45C6-8E63-EEE033E3D190}"/>
    <cellStyle name="Normal 3 2 8 2" xfId="1904" xr:uid="{18BC1C07-C4B8-4B7F-B4DE-F701E02C21F9}"/>
    <cellStyle name="Normal 3 3" xfId="1905" xr:uid="{D9948B58-3C05-4F52-A402-3747FC2D8C3D}"/>
    <cellStyle name="Normal 3 3 2" xfId="1906" xr:uid="{BC7C593E-A44B-4183-84BE-CC8758B98F39}"/>
    <cellStyle name="Normal 3 3 2 2" xfId="1907" xr:uid="{8832E85F-0820-4387-ADAD-938BB5B7AF34}"/>
    <cellStyle name="Normal 3 3 2 2 2" xfId="1908" xr:uid="{0324A984-29A1-460E-80CA-F5388BEB390B}"/>
    <cellStyle name="Normal 3 3 2 2 2 2" xfId="1909" xr:uid="{1EC2E020-85E8-4BC9-BC44-65A063B6476B}"/>
    <cellStyle name="Normal 3 3 2 2 2 2 2" xfId="1910" xr:uid="{6336C8A4-C856-4A71-93F7-10315BA8DC44}"/>
    <cellStyle name="Normal 3 3 2 2 2 2 2 2" xfId="1911" xr:uid="{E96F9C64-BC32-4A20-BC69-D9A762BC59D1}"/>
    <cellStyle name="Normal 3 3 2 2 2 2 3" xfId="1912" xr:uid="{7D843F1F-91A9-4EB4-B6B9-AC9A4D8A320E}"/>
    <cellStyle name="Normal 3 3 2 2 2 3" xfId="1913" xr:uid="{B0A3996A-90D2-4EF1-AE31-E745DD7EE1AD}"/>
    <cellStyle name="Normal 3 3 2 2 2 3 2" xfId="1914" xr:uid="{F942EF0A-0F37-4432-B574-E5A35C015028}"/>
    <cellStyle name="Normal 3 3 2 2 2 4" xfId="1915" xr:uid="{F7E6F64C-E22C-4643-8D2E-DF57FC465C04}"/>
    <cellStyle name="Normal 3 3 2 2 3" xfId="1916" xr:uid="{AF9E0387-117E-45EE-BAC7-6A4CBBBFEA9C}"/>
    <cellStyle name="Normal 3 3 2 2 3 2" xfId="1917" xr:uid="{6D481376-D217-4F40-A2A2-116DBAAC7DA0}"/>
    <cellStyle name="Normal 3 3 2 2 3 2 2" xfId="1918" xr:uid="{F1206C3F-EAA0-4468-9F55-F345D1407C38}"/>
    <cellStyle name="Normal 3 3 2 2 3 2 2 2" xfId="1919" xr:uid="{62DF1466-0A6E-4796-A49F-67131BA12EB9}"/>
    <cellStyle name="Normal 3 3 2 2 3 2 3" xfId="1920" xr:uid="{5D2E568E-1D94-4F34-A784-E93501E3FCDA}"/>
    <cellStyle name="Normal 3 3 2 2 3 3" xfId="1921" xr:uid="{C75D0A2D-7481-48FD-A0DC-8F03BE1AD087}"/>
    <cellStyle name="Normal 3 3 2 2 3 3 2" xfId="1922" xr:uid="{3454A31F-8E50-41AA-B707-8F81E93E8568}"/>
    <cellStyle name="Normal 3 3 2 2 3 4" xfId="1923" xr:uid="{0F0D6845-558A-40C5-9BD4-3F53CB5FD68D}"/>
    <cellStyle name="Normal 3 3 2 2 4" xfId="1924" xr:uid="{A5D81367-FD71-44C3-B5F1-EB025AD1C789}"/>
    <cellStyle name="Normal 3 3 2 2 4 2" xfId="1925" xr:uid="{494A9908-96DD-437F-8698-DA163D035AE8}"/>
    <cellStyle name="Normal 3 3 2 2 4 2 2" xfId="1926" xr:uid="{7653E0A2-634B-4954-861C-A6979C254BEA}"/>
    <cellStyle name="Normal 3 3 2 2 4 3" xfId="1927" xr:uid="{F6B2D37C-0EB7-47F1-9BCD-9542A23A7F22}"/>
    <cellStyle name="Normal 3 3 2 2 5" xfId="1928" xr:uid="{4F6DEEDE-31DA-49B1-82B3-CB1BE3442AF2}"/>
    <cellStyle name="Normal 3 3 2 2 5 2" xfId="1929" xr:uid="{6C8A4BA5-DFEE-48EF-B557-56561C5203FF}"/>
    <cellStyle name="Normal 3 3 2 2 6" xfId="1930" xr:uid="{B685C3B5-45B6-4E55-932F-9DAA08D9D797}"/>
    <cellStyle name="Normal 3 3 2 3" xfId="1931" xr:uid="{A1092047-B5DF-49C3-BAD9-03E0D0CA14D5}"/>
    <cellStyle name="Normal 3 3 2 3 2" xfId="1932" xr:uid="{A160A463-706B-4E90-97EB-4F6A7244786C}"/>
    <cellStyle name="Normal 3 3 2 3 2 2" xfId="1933" xr:uid="{ACD99392-90A8-4C8F-9D37-9D175CBA934C}"/>
    <cellStyle name="Normal 3 3 2 3 3" xfId="1934" xr:uid="{986292C3-A9DB-4C04-A933-F78F55443599}"/>
    <cellStyle name="Normal 3 3 2 4" xfId="1935" xr:uid="{B16C2E82-92A5-4CF7-A8E3-F38DDD200F2F}"/>
    <cellStyle name="Normal 3 3 2 4 2" xfId="1936" xr:uid="{9967FC79-1A5D-4F20-A02E-AAEAAF5444AE}"/>
    <cellStyle name="Normal 3 3 2 4 2 2" xfId="1937" xr:uid="{AAD4FBFC-FA89-4D2B-B3AD-31CB7E22ED79}"/>
    <cellStyle name="Normal 3 3 2 4 3" xfId="1938" xr:uid="{8CF96CBE-BACB-4B17-BF56-27FAF3FD40C2}"/>
    <cellStyle name="Normal 3 3 2 5" xfId="1939" xr:uid="{22D6EDFC-B324-4E79-A351-15771C9A3262}"/>
    <cellStyle name="Normal 3 3 2 5 2" xfId="1940" xr:uid="{0850C80C-D071-4A66-8ADD-209A0FFABB45}"/>
    <cellStyle name="Normal 3 3 2 6" xfId="1941" xr:uid="{56D40C60-F74B-4765-A855-999547B8FE3E}"/>
    <cellStyle name="Normal 3 3 3" xfId="1942" xr:uid="{3C48FB55-E8B4-418A-A688-E3A78C91D4C6}"/>
    <cellStyle name="Normal 3 3 3 2" xfId="1943" xr:uid="{8D1E3AB0-BECB-4F3A-AD66-37F4E8D7A749}"/>
    <cellStyle name="Normal 3 3 3 2 2" xfId="1944" xr:uid="{70CA0484-07BA-430C-8D19-375616B43BC0}"/>
    <cellStyle name="Normal 3 3 3 2 2 2" xfId="1945" xr:uid="{DF09B7F6-A6FD-40E2-A204-09E406D74AFA}"/>
    <cellStyle name="Normal 3 3 3 2 2 2 2" xfId="1946" xr:uid="{8E72E6DC-C38F-472D-A656-F2B1F6FC7C76}"/>
    <cellStyle name="Normal 3 3 3 2 2 3" xfId="1947" xr:uid="{8A61D1CC-091C-4251-BDD1-CCB7AF8F8257}"/>
    <cellStyle name="Normal 3 3 3 2 3" xfId="1948" xr:uid="{064CCE9A-9FAB-42F9-BB61-61150AC70C8E}"/>
    <cellStyle name="Normal 3 3 3 2 3 2" xfId="1949" xr:uid="{E1E7A508-D59F-46CD-BD40-2CB4D0D9AAEA}"/>
    <cellStyle name="Normal 3 3 3 2 4" xfId="1950" xr:uid="{730E1C3F-8D86-413A-ADD1-94C430E35F3C}"/>
    <cellStyle name="Normal 3 3 3 3" xfId="1951" xr:uid="{DC93E26E-E664-4039-9776-5B1AFCE2AF14}"/>
    <cellStyle name="Normal 3 3 3 3 2" xfId="1952" xr:uid="{18511E79-EC50-40AC-A307-69F6F8621855}"/>
    <cellStyle name="Normal 3 3 3 3 2 2" xfId="1953" xr:uid="{9235396D-6A76-4D78-9A5E-D7847AA73649}"/>
    <cellStyle name="Normal 3 3 3 3 2 2 2" xfId="1954" xr:uid="{3F47F8B0-C3E9-4246-A723-2C210407105C}"/>
    <cellStyle name="Normal 3 3 3 3 2 3" xfId="1955" xr:uid="{48C6EABB-922D-4A29-A843-67BF64EBF241}"/>
    <cellStyle name="Normal 3 3 3 3 3" xfId="1956" xr:uid="{09292A1D-1501-4269-8A66-F1458DE61FD0}"/>
    <cellStyle name="Normal 3 3 3 3 3 2" xfId="1957" xr:uid="{CCACC144-27D7-4F1C-BF23-ED939378E7F0}"/>
    <cellStyle name="Normal 3 3 3 3 4" xfId="1958" xr:uid="{6ACE08BB-F709-4057-8848-0FBD4EC9FB76}"/>
    <cellStyle name="Normal 3 3 3 4" xfId="1959" xr:uid="{6C9C5C18-278E-4F9E-98F3-D5804E52A74A}"/>
    <cellStyle name="Normal 3 3 3 4 2" xfId="1960" xr:uid="{BB100980-916F-407A-B79B-43CC837528CD}"/>
    <cellStyle name="Normal 3 3 3 4 2 2" xfId="1961" xr:uid="{586945B9-2013-431C-B4D0-5B1D7DA3DA32}"/>
    <cellStyle name="Normal 3 3 3 4 3" xfId="1962" xr:uid="{8BD5D83F-08E5-4DE1-B0ED-0D165DD7744C}"/>
    <cellStyle name="Normal 3 3 3 5" xfId="1963" xr:uid="{3790849F-C932-4B5B-B080-3831497D2E65}"/>
    <cellStyle name="Normal 3 3 3 5 2" xfId="1964" xr:uid="{0D443602-53A1-45AC-92BA-3F17A5FC186E}"/>
    <cellStyle name="Normal 3 3 3 6" xfId="1965" xr:uid="{045C834C-324E-4D8F-84EF-DB3510176760}"/>
    <cellStyle name="Normal 3 3 4" xfId="1966" xr:uid="{B3DD3BF7-B8DE-493C-8BFB-409C29DEE60A}"/>
    <cellStyle name="Normal 3 3 4 2" xfId="1967" xr:uid="{208D728A-38B3-45F4-93BB-0901D21EE56D}"/>
    <cellStyle name="Normal 3 3 4 2 2" xfId="1968" xr:uid="{CB0ED321-BBD1-4440-8792-391FD70A6392}"/>
    <cellStyle name="Normal 3 3 4 2 2 2" xfId="1969" xr:uid="{8F1123EC-DF99-4460-9608-CA0C47C209C2}"/>
    <cellStyle name="Normal 3 3 4 2 3" xfId="1970" xr:uid="{50C4F16B-6772-4DEE-9402-679EFB090150}"/>
    <cellStyle name="Normal 3 3 4 3" xfId="1971" xr:uid="{F133D455-7C32-403C-82B4-16E33CC7347C}"/>
    <cellStyle name="Normal 3 3 4 3 2" xfId="1972" xr:uid="{5EF4A7AA-2A4D-49DD-A994-A0DC4A5D672D}"/>
    <cellStyle name="Normal 3 3 4 4" xfId="1973" xr:uid="{58041FC2-D13E-4B01-BED0-35908012C27A}"/>
    <cellStyle name="Normal 3 3 5" xfId="1974" xr:uid="{21E60021-62DD-4D53-993F-E79A90E27BE6}"/>
    <cellStyle name="Normal 3 3 5 2" xfId="1975" xr:uid="{DE1E0791-F068-4239-B11F-979E92AEEFE4}"/>
    <cellStyle name="Normal 3 3 5 2 2" xfId="1976" xr:uid="{AB09FC61-DB48-418B-A557-A369897BF869}"/>
    <cellStyle name="Normal 3 3 5 2 2 2" xfId="1977" xr:uid="{9D3434B1-FA59-49E7-BED2-B9A3EF621FC0}"/>
    <cellStyle name="Normal 3 3 5 2 3" xfId="1978" xr:uid="{B5443DC9-8FF9-4331-A4DE-3C6A595EC953}"/>
    <cellStyle name="Normal 3 3 5 3" xfId="1979" xr:uid="{9D62DBA1-77F3-4358-A8FF-3B005EBFF4E6}"/>
    <cellStyle name="Normal 3 3 5 3 2" xfId="1980" xr:uid="{87DAF20B-9865-47D2-809C-E1AA9AC756D6}"/>
    <cellStyle name="Normal 3 3 5 4" xfId="1981" xr:uid="{508A8F4B-D881-4C02-A915-2C94170CD4D1}"/>
    <cellStyle name="Normal 3 3 6" xfId="1982" xr:uid="{B0157EAB-040A-4118-B221-A2C0D8EF7177}"/>
    <cellStyle name="Normal 3 3 6 2" xfId="1983" xr:uid="{877D2CC4-DFB4-413B-8015-F52B8461E4F3}"/>
    <cellStyle name="Normal 3 3 6 2 2" xfId="1984" xr:uid="{2FED696A-8639-417B-A2F3-F03CA73617D4}"/>
    <cellStyle name="Normal 3 3 6 3" xfId="1985" xr:uid="{BA87F6FE-DE7A-41BE-97C0-A2B9F6CAE121}"/>
    <cellStyle name="Normal 3 3 7" xfId="1986" xr:uid="{D9EC5EAB-93BC-420D-87B7-CF5370161291}"/>
    <cellStyle name="Normal 3 3 7 2" xfId="1987" xr:uid="{51B8B7EE-BD90-4794-AE52-7875C2067AB6}"/>
    <cellStyle name="Normal 3 4" xfId="1988" xr:uid="{9E9AA2A1-DC79-4030-B8CB-1C0C82C4D26D}"/>
    <cellStyle name="Normal 3 4 2" xfId="1989" xr:uid="{12D4B8D1-DA45-4CB1-9E52-FCD32F70162E}"/>
    <cellStyle name="Normal 3 4 2 2" xfId="1990" xr:uid="{FD1E4139-7479-4E72-8EEE-8D4DA7D9B74E}"/>
    <cellStyle name="Normal 3 4 2 2 2" xfId="1991" xr:uid="{5A207CD1-4B4D-4E60-94B1-698C8336D0BD}"/>
    <cellStyle name="Normal 3 4 2 2 2 2" xfId="1992" xr:uid="{5CC19AF4-04B6-4D84-9FE3-C70A457FF81F}"/>
    <cellStyle name="Normal 3 4 2 2 2 2 2" xfId="1993" xr:uid="{944570A4-7194-44E8-870C-23003F253E65}"/>
    <cellStyle name="Normal 3 4 2 2 2 3" xfId="1994" xr:uid="{2DBD6798-0D66-4F80-A75C-E2394DF1D1BA}"/>
    <cellStyle name="Normal 3 4 2 2 3" xfId="1995" xr:uid="{7FB35696-697A-4DF4-94C6-9C7CAC793228}"/>
    <cellStyle name="Normal 3 4 2 2 3 2" xfId="1996" xr:uid="{A3A3D533-4971-4ED1-9D44-549D9DEAC5CF}"/>
    <cellStyle name="Normal 3 4 2 2 4" xfId="1997" xr:uid="{E70E4525-9845-43EB-B4F4-EBA9AB71A439}"/>
    <cellStyle name="Normal 3 4 2 3" xfId="1998" xr:uid="{DE1C2232-C491-473E-BCD9-69A2A647307A}"/>
    <cellStyle name="Normal 3 4 2 3 2" xfId="1999" xr:uid="{D33B8E10-1B99-4227-A749-67C9BD5DADA7}"/>
    <cellStyle name="Normal 3 4 2 3 2 2" xfId="2000" xr:uid="{655BBF9A-5ADA-4763-95DC-5B90D841B134}"/>
    <cellStyle name="Normal 3 4 2 3 2 2 2" xfId="2001" xr:uid="{E14ABD05-BAFC-498A-A5DF-01BC295C25EE}"/>
    <cellStyle name="Normal 3 4 2 3 2 3" xfId="2002" xr:uid="{A7ECC593-BFC4-412C-B749-EF1B72D6CC21}"/>
    <cellStyle name="Normal 3 4 2 3 3" xfId="2003" xr:uid="{35FEF589-547F-42D4-A652-3BE754CDD8F9}"/>
    <cellStyle name="Normal 3 4 2 3 3 2" xfId="2004" xr:uid="{EB5E3D83-530F-4947-8F88-9EA0A18FE931}"/>
    <cellStyle name="Normal 3 4 2 3 4" xfId="2005" xr:uid="{987F8BE2-D26F-47DE-83BA-4FCF66F0A70A}"/>
    <cellStyle name="Normal 3 4 2 4" xfId="2006" xr:uid="{40BF782B-63C7-4C06-B63B-14D7EB623CE6}"/>
    <cellStyle name="Normal 3 4 2 4 2" xfId="2007" xr:uid="{14E9DC80-9665-476A-81EC-201EC8147182}"/>
    <cellStyle name="Normal 3 4 2 4 2 2" xfId="2008" xr:uid="{690EC121-878F-4F07-B5FC-03AC8FD8DA55}"/>
    <cellStyle name="Normal 3 4 2 4 3" xfId="2009" xr:uid="{7411D078-A92E-4813-803E-6E326E2A3EBE}"/>
    <cellStyle name="Normal 3 4 2 5" xfId="2010" xr:uid="{11BB995A-6ECE-4747-82A1-8CF6D73FD537}"/>
    <cellStyle name="Normal 3 4 2 5 2" xfId="2011" xr:uid="{0C33FF5F-2832-4423-BE93-BA9BB89E8DB5}"/>
    <cellStyle name="Normal 3 4 2 6" xfId="2012" xr:uid="{0EEBFC41-4260-4A86-A545-610585D4BEFB}"/>
    <cellStyle name="Normal 3 4 3" xfId="2013" xr:uid="{0E58A08C-5034-491B-8277-28BE9BEB2185}"/>
    <cellStyle name="Normal 3 4 3 2" xfId="2014" xr:uid="{CF7A8120-57E6-4F4B-8D1A-37502CED5BC1}"/>
    <cellStyle name="Normal 3 4 3 2 2" xfId="2015" xr:uid="{365202AA-7172-4E41-AEF0-886463EB57DF}"/>
    <cellStyle name="Normal 3 4 3 3" xfId="2016" xr:uid="{E57B8323-DCDE-4718-A925-73B6F7342854}"/>
    <cellStyle name="Normal 3 4 4" xfId="2017" xr:uid="{BE927F9F-2F21-41DB-8406-78ADA72D5263}"/>
    <cellStyle name="Normal 3 4 4 2" xfId="2018" xr:uid="{C2EFFDEF-5D73-4BAC-86EE-934330802A1D}"/>
    <cellStyle name="Normal 3 4 4 2 2" xfId="2019" xr:uid="{280DFF1F-995B-495A-9EE0-E4125AF9CAB1}"/>
    <cellStyle name="Normal 3 4 4 3" xfId="2020" xr:uid="{2D8A6AE6-9302-4B6C-8FF0-6B75D5E8D2B8}"/>
    <cellStyle name="Normal 3 4 5" xfId="2021" xr:uid="{C883F4C6-2C12-4CEE-B2F4-CFAC3A6CAE33}"/>
    <cellStyle name="Normal 3 4 5 2" xfId="2022" xr:uid="{A446BAD0-89D3-4415-829E-D944591091AB}"/>
    <cellStyle name="Normal 3 4 6" xfId="2023" xr:uid="{7B7E3714-D014-420B-AEA4-9668702C5675}"/>
    <cellStyle name="Normal 3 5" xfId="2024" xr:uid="{B5DE0FE9-0D37-4B9D-A223-4E8933ED5FCA}"/>
    <cellStyle name="Normal 3 5 2" xfId="2025" xr:uid="{ADD9322C-619A-4B80-B1E3-97518C2ADF29}"/>
    <cellStyle name="Normal 3 5 2 2" xfId="2026" xr:uid="{911C23EC-E701-492B-B03E-CE8889A50023}"/>
    <cellStyle name="Normal 3 5 2 2 2" xfId="2027" xr:uid="{FD99C9C2-7D10-4F51-8C0F-299D5C95AEA2}"/>
    <cellStyle name="Normal 3 5 2 2 2 2" xfId="2028" xr:uid="{F8C7F824-0A28-47DE-84A8-30DB099F4865}"/>
    <cellStyle name="Normal 3 5 2 2 3" xfId="2029" xr:uid="{19F4C165-C30C-479F-9297-D73DBB4E18D6}"/>
    <cellStyle name="Normal 3 5 2 3" xfId="2030" xr:uid="{4439C7E6-B882-4B63-91B9-2AB374EA7230}"/>
    <cellStyle name="Normal 3 5 2 3 2" xfId="2031" xr:uid="{EAA1E897-9FE1-4B5D-8108-2D0603CE3F6F}"/>
    <cellStyle name="Normal 3 5 2 4" xfId="2032" xr:uid="{1EC5C379-F0FA-4320-A300-21AF9FA98CFC}"/>
    <cellStyle name="Normal 3 5 3" xfId="2033" xr:uid="{A943D86E-D423-42A7-B548-F36220B928FE}"/>
    <cellStyle name="Normal 3 5 3 2" xfId="2034" xr:uid="{38DFEA79-794E-4D58-8029-BB4B3D09D70E}"/>
    <cellStyle name="Normal 3 5 3 2 2" xfId="2035" xr:uid="{DDDC10D0-C8C3-45F3-80E5-BBB4D09F3C44}"/>
    <cellStyle name="Normal 3 5 3 2 2 2" xfId="2036" xr:uid="{B69FF5E0-DBCE-423C-8D20-3C74E9DAD4F2}"/>
    <cellStyle name="Normal 3 5 3 2 3" xfId="2037" xr:uid="{2F8541DE-10BD-4086-87F2-DC35B9B0C96D}"/>
    <cellStyle name="Normal 3 5 3 3" xfId="2038" xr:uid="{77D9DF77-48BD-423A-8F58-07DDAEEEB99B}"/>
    <cellStyle name="Normal 3 5 3 3 2" xfId="2039" xr:uid="{0CFD31D4-50BA-4420-88AB-095ACFB363F9}"/>
    <cellStyle name="Normal 3 5 3 4" xfId="2040" xr:uid="{CCC95329-574C-46A3-9239-E00F398AE83E}"/>
    <cellStyle name="Normal 3 5 4" xfId="2041" xr:uid="{A14736ED-5D29-4099-8E8E-C4B63B5854D8}"/>
    <cellStyle name="Normal 3 5 4 2" xfId="2042" xr:uid="{28FDEB22-B0FA-400D-975A-10E4740DD0A6}"/>
    <cellStyle name="Normal 3 5 4 2 2" xfId="2043" xr:uid="{D88CF211-9EDE-4D5B-B24F-DBA2AF586FDF}"/>
    <cellStyle name="Normal 3 5 4 3" xfId="2044" xr:uid="{F9D6804F-B345-4CC4-9323-499671D5CDF6}"/>
    <cellStyle name="Normal 3 5 5" xfId="2045" xr:uid="{5ADB9445-C7CB-4066-807A-8691B30891F4}"/>
    <cellStyle name="Normal 3 5 5 2" xfId="2046" xr:uid="{48C270AF-3397-4FCC-8957-4EA7C6C5BCD8}"/>
    <cellStyle name="Normal 3 5 6" xfId="2047" xr:uid="{234A5A47-429E-4FA5-8A65-D4BAACE533F7}"/>
    <cellStyle name="Normal 3 6" xfId="2048" xr:uid="{845004F0-AF68-4B0B-A552-A103A9F83412}"/>
    <cellStyle name="Normal 3 6 2" xfId="2049" xr:uid="{239AABB2-5F66-4A12-A2F5-8E5EB6FA4C36}"/>
    <cellStyle name="Normal 3 6 2 2" xfId="2050" xr:uid="{2F3D99DC-948A-4D5E-A244-54C7B658859A}"/>
    <cellStyle name="Normal 3 6 2 2 2" xfId="2051" xr:uid="{BA22DD22-588F-4CCB-91A2-A1E32939B8AD}"/>
    <cellStyle name="Normal 3 6 2 3" xfId="2052" xr:uid="{2619FBDC-5E8F-4D30-B22E-166CFBB58C39}"/>
    <cellStyle name="Normal 3 6 3" xfId="2053" xr:uid="{33361501-46A8-4496-94B3-784CC99B6190}"/>
    <cellStyle name="Normal 3 6 3 2" xfId="2054" xr:uid="{226BA51F-97EF-4009-9741-FD3D3520510D}"/>
    <cellStyle name="Normal 3 6 4" xfId="2055" xr:uid="{9C9B54A7-B6C6-448A-8D16-74980396C0AB}"/>
    <cellStyle name="Normal 3 7" xfId="2056" xr:uid="{55AA1D30-4922-4B59-A4CF-F8B44E713F2C}"/>
    <cellStyle name="Normal 3 7 2" xfId="2057" xr:uid="{17C0A821-B6E5-445C-AEA4-7344078AB7FE}"/>
    <cellStyle name="Normal 3 7 2 2" xfId="2058" xr:uid="{409A1C55-8435-43BD-87E3-74C711DB177C}"/>
    <cellStyle name="Normal 3 7 2 2 2" xfId="2059" xr:uid="{1F32F9A6-9376-4F3D-98BD-2B51A4B79B92}"/>
    <cellStyle name="Normal 3 7 2 3" xfId="2060" xr:uid="{64D2E1DF-16F0-48AF-BF5B-00938463619E}"/>
    <cellStyle name="Normal 3 7 3" xfId="2061" xr:uid="{E139174F-0FC2-477B-9317-98D5B4B1F539}"/>
    <cellStyle name="Normal 3 7 3 2" xfId="2062" xr:uid="{90DA9EA8-A0AC-40B4-B2AF-715426F1FA7F}"/>
    <cellStyle name="Normal 3 7 4" xfId="2063" xr:uid="{1F2C086F-CBAF-4EF1-98A0-03C9E2628D47}"/>
    <cellStyle name="Normal 3 8" xfId="2064" xr:uid="{1BF431B9-894F-4B7E-9565-2C55A9635FFE}"/>
    <cellStyle name="Normal 3 8 2" xfId="2065" xr:uid="{B7FA1779-336C-4615-AD64-86CD23AECE3F}"/>
    <cellStyle name="Normal 3 8 2 2" xfId="2066" xr:uid="{922EB14E-054D-4215-A229-95EF4FB1CE16}"/>
    <cellStyle name="Normal 3 8 3" xfId="2067" xr:uid="{07C4074B-1911-42AD-B432-25D3FBF447FE}"/>
    <cellStyle name="Normal 3 9" xfId="2068" xr:uid="{1112C4D7-626D-4EFC-A0EA-79AA2151FD03}"/>
    <cellStyle name="Normal 3 9 2" xfId="2069" xr:uid="{431D768E-0B72-4F11-9058-46EF486015E4}"/>
    <cellStyle name="Normal 3_Directory" xfId="2070" xr:uid="{3523658E-4429-4D46-A29F-A046F8152603}"/>
    <cellStyle name="Normal 30" xfId="2071" xr:uid="{BD438573-6091-4115-A0B6-EB2D8894B5E3}"/>
    <cellStyle name="Normal 30 2" xfId="2072" xr:uid="{936B0E0D-9BAD-4BAE-8DF5-EC821E26B1D5}"/>
    <cellStyle name="Normal 31" xfId="2073" xr:uid="{D3F46936-10D8-4073-918D-2B9FC52247DF}"/>
    <cellStyle name="Normal 31 2" xfId="2074" xr:uid="{D5386212-09A8-4BE4-A7AD-B63738544F6B}"/>
    <cellStyle name="Normal 32" xfId="2075" xr:uid="{3FA79E0C-175A-40EC-9B3B-C23477894652}"/>
    <cellStyle name="Normal 32 2" xfId="2076" xr:uid="{DB16C656-1B8F-40EF-9680-90EBFA95C7AC}"/>
    <cellStyle name="Normal 33" xfId="2077" xr:uid="{A4CFF514-B83C-438C-99C9-4C6393681EBD}"/>
    <cellStyle name="Normal 33 2" xfId="2078" xr:uid="{6B3BB098-A1C7-4EA7-B941-4D361B77B4AA}"/>
    <cellStyle name="Normal 34" xfId="2079" xr:uid="{D01A7AD9-FEA6-4FA8-B93E-036E4D09083F}"/>
    <cellStyle name="Normal 34 2" xfId="2080" xr:uid="{F9B16DDC-1D8A-449E-A55D-D39C05D841C1}"/>
    <cellStyle name="Normal 35" xfId="2081" xr:uid="{E63C1900-8BFC-4C28-8E35-D1920CD3979D}"/>
    <cellStyle name="Normal 35 2" xfId="2082" xr:uid="{4602E564-A229-4A15-9454-5730D3A24312}"/>
    <cellStyle name="Normal 36" xfId="2083" xr:uid="{7F26DC9C-B4E9-498C-A3FD-20CB5D95D76E}"/>
    <cellStyle name="Normal 36 2" xfId="2084" xr:uid="{1EEDD27F-55B7-494B-82BB-600B44E41C8E}"/>
    <cellStyle name="Normal 37" xfId="2085" xr:uid="{DC2D1001-447F-4E38-9531-A43A4AF50718}"/>
    <cellStyle name="Normal 37 2" xfId="2086" xr:uid="{3245E3D1-60E7-457B-8303-74A5DB2ACC6B}"/>
    <cellStyle name="Normal 38" xfId="2087" xr:uid="{6287E6A9-F658-497C-A778-D4B20FCF604B}"/>
    <cellStyle name="Normal 38 2" xfId="2088" xr:uid="{FC2BAA26-54F8-4C45-9A00-C52D5F830649}"/>
    <cellStyle name="Normal 39" xfId="2089" xr:uid="{6969E4D1-0CA6-4933-AF07-0B570F2B7A12}"/>
    <cellStyle name="Normal 39 2" xfId="2090" xr:uid="{FF55E179-970F-4940-AACE-0FB50BB2EF92}"/>
    <cellStyle name="Normal 4" xfId="2091" xr:uid="{E4F25B2A-6794-465A-AAFD-C647C329612A}"/>
    <cellStyle name="Normal 4 10" xfId="2092" xr:uid="{46A31893-44F5-4E99-A969-EB587B2A65B4}"/>
    <cellStyle name="Normal 4 2" xfId="2093" xr:uid="{514444F1-C111-4C00-B89F-23F268323905}"/>
    <cellStyle name="Normal 4 2 2" xfId="2094" xr:uid="{C76518B2-7AAF-4623-8D18-A04172642FC7}"/>
    <cellStyle name="Normal 4 2 2 2" xfId="2095" xr:uid="{B37B5968-7F85-4F3F-991E-471B222C6239}"/>
    <cellStyle name="Normal 4 2 2 2 2" xfId="2096" xr:uid="{2BB6838A-65F0-4077-B51C-68D5EC0F2A17}"/>
    <cellStyle name="Normal 4 2 2 2 2 2" xfId="2097" xr:uid="{09C58755-19B2-4AF9-9FB2-6FA96526CBA4}"/>
    <cellStyle name="Normal 4 2 2 2 2 2 2" xfId="2098" xr:uid="{2004352F-6152-4383-9C5B-2176F8784967}"/>
    <cellStyle name="Normal 4 2 2 2 2 2 2 2" xfId="2099" xr:uid="{35A13378-0957-4066-BE1B-3D25B13CF91E}"/>
    <cellStyle name="Normal 4 2 2 2 2 2 3" xfId="2100" xr:uid="{0DAC0B72-20A2-4315-9EE0-07A6C451B690}"/>
    <cellStyle name="Normal 4 2 2 2 2 3" xfId="2101" xr:uid="{D319A1A1-5569-4A9D-BF0B-54A7A90C87AD}"/>
    <cellStyle name="Normal 4 2 2 2 2 3 2" xfId="2102" xr:uid="{1729A712-EBED-43E6-A5C6-473792288F31}"/>
    <cellStyle name="Normal 4 2 2 2 2 4" xfId="2103" xr:uid="{0A95AF07-5221-45B4-AC03-CA7914EA9630}"/>
    <cellStyle name="Normal 4 2 2 2 3" xfId="2104" xr:uid="{AAA93D88-51D9-4A85-BF57-8829F112968A}"/>
    <cellStyle name="Normal 4 2 2 2 3 2" xfId="2105" xr:uid="{BCCF824F-E608-442A-8EFA-D1B28799BA07}"/>
    <cellStyle name="Normal 4 2 2 2 3 2 2" xfId="2106" xr:uid="{E4656180-0531-49CB-8848-C318B601BBC2}"/>
    <cellStyle name="Normal 4 2 2 2 3 2 2 2" xfId="2107" xr:uid="{EAF4E149-6B8F-48E4-871B-2249C2830DA7}"/>
    <cellStyle name="Normal 4 2 2 2 3 2 3" xfId="2108" xr:uid="{9D9D8A1A-55FA-4B44-8C78-A63E041BBC19}"/>
    <cellStyle name="Normal 4 2 2 2 3 3" xfId="2109" xr:uid="{CEA79ED0-0CE0-4719-919C-84B094D2CBF5}"/>
    <cellStyle name="Normal 4 2 2 2 3 3 2" xfId="2110" xr:uid="{269034A4-C224-4779-8238-F9F2E2F44EE9}"/>
    <cellStyle name="Normal 4 2 2 2 3 4" xfId="2111" xr:uid="{A3CB9A26-2989-4FA6-82F9-06B0E886CE73}"/>
    <cellStyle name="Normal 4 2 2 2 4" xfId="2112" xr:uid="{61C463DA-401A-486C-AFF3-5C0FC107B2B4}"/>
    <cellStyle name="Normal 4 2 2 2 4 2" xfId="2113" xr:uid="{48982DF2-6311-46E7-B431-CE85D0E17A46}"/>
    <cellStyle name="Normal 4 2 2 2 4 2 2" xfId="2114" xr:uid="{C077601A-0026-46B4-B9BA-0095B82E847D}"/>
    <cellStyle name="Normal 4 2 2 2 4 3" xfId="2115" xr:uid="{64883013-8366-49BE-8F61-F41AB02E5C5B}"/>
    <cellStyle name="Normal 4 2 2 2 5" xfId="2116" xr:uid="{9579CDEF-E271-4C8E-A618-307AFDB67ADE}"/>
    <cellStyle name="Normal 4 2 2 2 5 2" xfId="2117" xr:uid="{23BC2F24-775D-49A6-86CF-CB0CA5EEF654}"/>
    <cellStyle name="Normal 4 2 2 2 6" xfId="2118" xr:uid="{40783669-35F2-4B73-B9DE-DA8918FE7724}"/>
    <cellStyle name="Normal 4 2 2 3" xfId="2119" xr:uid="{725A52EA-DA1B-4F81-B13D-B9246DBCB8D7}"/>
    <cellStyle name="Normal 4 2 2 3 2" xfId="2120" xr:uid="{1691C591-1E09-4167-90AE-D1D1FBF4ACF2}"/>
    <cellStyle name="Normal 4 2 2 3 2 2" xfId="2121" xr:uid="{E1F4DE3C-29F8-40F1-B715-8F11857AF341}"/>
    <cellStyle name="Normal 4 2 2 3 3" xfId="2122" xr:uid="{0E8D26E4-5CA6-4685-8EA3-4292D19EBADA}"/>
    <cellStyle name="Normal 4 2 2 4" xfId="2123" xr:uid="{8F6C19A8-06DE-4DC9-B1A4-1CB743828E0F}"/>
    <cellStyle name="Normal 4 2 2 4 2" xfId="2124" xr:uid="{AB88E2C8-F4D3-4233-8DD6-28D07416C619}"/>
    <cellStyle name="Normal 4 2 2 4 2 2" xfId="2125" xr:uid="{45761B72-A32F-429B-9965-BEBD5050A656}"/>
    <cellStyle name="Normal 4 2 2 4 3" xfId="2126" xr:uid="{9526C3CF-6AEC-48DB-B1D0-76658B407977}"/>
    <cellStyle name="Normal 4 2 2 5" xfId="2127" xr:uid="{8C019722-4EF6-4833-B267-0D17AED12809}"/>
    <cellStyle name="Normal 4 2 2 5 2" xfId="2128" xr:uid="{DC960104-F24C-47C6-B0AC-886E3857664B}"/>
    <cellStyle name="Normal 4 2 2 6" xfId="2129" xr:uid="{92072CEB-D7CF-4EBF-B5AA-E6C6D55B0604}"/>
    <cellStyle name="Normal 4 2 3" xfId="2130" xr:uid="{E4821AF0-3DDD-464E-B8C0-7E8CBF5E9890}"/>
    <cellStyle name="Normal 4 2 3 2" xfId="2131" xr:uid="{DFBDA5F7-3C67-486A-9F8F-B6EDC3B1393D}"/>
    <cellStyle name="Normal 4 2 3 2 2" xfId="2132" xr:uid="{B8E62D3F-B4D6-4CC3-964B-6514E45D0383}"/>
    <cellStyle name="Normal 4 2 3 2 2 2" xfId="2133" xr:uid="{A4C8F36F-7B96-49CA-809F-1610BD7D6C97}"/>
    <cellStyle name="Normal 4 2 3 2 2 2 2" xfId="2134" xr:uid="{83C3F1F8-6D46-43ED-9475-11896EEA426F}"/>
    <cellStyle name="Normal 4 2 3 2 2 3" xfId="2135" xr:uid="{188F1D30-E779-41AE-866D-4F2057F03344}"/>
    <cellStyle name="Normal 4 2 3 2 2_TB" xfId="2136" xr:uid="{5028FC06-1777-462A-9DB5-AA4B1549304A}"/>
    <cellStyle name="Normal 4 2 3 2 3" xfId="2137" xr:uid="{637D30B2-D32B-4D36-9308-0529629A6098}"/>
    <cellStyle name="Normal 4 2 3 2 3 2" xfId="2138" xr:uid="{D8037F38-E13F-45D2-823E-0036BA8E0950}"/>
    <cellStyle name="Normal 4 2 3 2 4" xfId="2139" xr:uid="{78BAFFCE-6D28-45D7-A6F1-91987D7152F9}"/>
    <cellStyle name="Normal 4 2 3 2_TB" xfId="2140" xr:uid="{B757B84C-B169-461F-96C5-857258C6405B}"/>
    <cellStyle name="Normal 4 2 3 3" xfId="2141" xr:uid="{67EF22FC-4E7A-4462-9676-3EB00C48D090}"/>
    <cellStyle name="Normal 4 2 3 3 2" xfId="2142" xr:uid="{112BF38B-EB4D-480F-8F9E-65F21185CF60}"/>
    <cellStyle name="Normal 4 2 3 3 2 2" xfId="2143" xr:uid="{3F2C2220-59AD-4B7D-BC6D-10C96C9FD717}"/>
    <cellStyle name="Normal 4 2 3 3 2 2 2" xfId="2144" xr:uid="{B663612F-C622-4B5B-A6FB-5423AE24CA68}"/>
    <cellStyle name="Normal 4 2 3 3 2 3" xfId="2145" xr:uid="{FEB070F7-8A86-4661-AA00-8EDFF2723C48}"/>
    <cellStyle name="Normal 4 2 3 3 3" xfId="2146" xr:uid="{71F2EAE4-5E23-42C9-9837-E8B5639EB10C}"/>
    <cellStyle name="Normal 4 2 3 3 3 2" xfId="2147" xr:uid="{23878789-79C8-4827-9081-15552A45B6A0}"/>
    <cellStyle name="Normal 4 2 3 3 4" xfId="2148" xr:uid="{6033CD2B-C26D-4A7A-969A-C183B2BC7E46}"/>
    <cellStyle name="Normal 4 2 3 3_TB" xfId="2149" xr:uid="{BB2EA219-6334-4DFE-AB56-87F8202E4FEE}"/>
    <cellStyle name="Normal 4 2 3 4" xfId="2150" xr:uid="{581426D9-84B0-4A01-AEF8-1B91232BD084}"/>
    <cellStyle name="Normal 4 2 3 4 2" xfId="2151" xr:uid="{106E4CA1-0420-45DF-BB81-9C236114ED89}"/>
    <cellStyle name="Normal 4 2 3 4 2 2" xfId="2152" xr:uid="{171A1D42-0E7B-4961-AA4F-99E84F03F4D7}"/>
    <cellStyle name="Normal 4 2 3 4 3" xfId="2153" xr:uid="{5DAD2DD5-3FE7-4531-A259-8FFC4DFB9CB0}"/>
    <cellStyle name="Normal 4 2 3 5" xfId="2154" xr:uid="{F5A428A1-52DC-42CD-B10E-44D1D8EC55BE}"/>
    <cellStyle name="Normal 4 2 3 5 2" xfId="2155" xr:uid="{95350EF9-FCBC-48AC-8BC9-F533DCC89A3D}"/>
    <cellStyle name="Normal 4 2 3 6" xfId="2156" xr:uid="{CB263B1C-97FC-41B3-BE01-79459BBB15AA}"/>
    <cellStyle name="Normal 4 2 3_TB" xfId="2157" xr:uid="{6726BF20-8726-44F5-9079-CA49E1E42D14}"/>
    <cellStyle name="Normal 4 2 4" xfId="2158" xr:uid="{93827EFF-40EF-4FA8-ABAA-76873B10FE73}"/>
    <cellStyle name="Normal 4 2 4 2" xfId="2159" xr:uid="{40036CBC-E2D4-4CB1-9AC7-75C352F4160B}"/>
    <cellStyle name="Normal 4 2 4 2 2" xfId="2160" xr:uid="{EF0FA870-E6C1-44C7-801D-7BBE0EB0249C}"/>
    <cellStyle name="Normal 4 2 4 2 2 2" xfId="2161" xr:uid="{101D7F93-1C52-4464-9E0C-D05C25A04160}"/>
    <cellStyle name="Normal 4 2 4 2 3" xfId="2162" xr:uid="{B18F7CD3-2AF2-49AD-8674-6A8116B13B2E}"/>
    <cellStyle name="Normal 4 2 4 2_TB" xfId="2163" xr:uid="{29048274-F857-4A41-B1AC-1AA1F3314A81}"/>
    <cellStyle name="Normal 4 2 4 3" xfId="2164" xr:uid="{1444BC4B-B63E-44FA-8E06-C5FCD1AC8E76}"/>
    <cellStyle name="Normal 4 2 4 3 2" xfId="2165" xr:uid="{55684C1E-583F-47B8-871E-DF55C608EF58}"/>
    <cellStyle name="Normal 4 2 4 4" xfId="2166" xr:uid="{9C959533-3225-42D8-B884-58ACD093898F}"/>
    <cellStyle name="Normal 4 2 4_TB" xfId="2167" xr:uid="{92309E3A-20BA-4A5B-A34D-A3A421F5B09B}"/>
    <cellStyle name="Normal 4 2 5" xfId="2168" xr:uid="{45CBF599-9F31-4B54-9DFE-7C7355F44AC6}"/>
    <cellStyle name="Normal 4 2 5 2" xfId="2169" xr:uid="{501168B4-E1FB-45F2-BF6C-2926DBDD9B89}"/>
    <cellStyle name="Normal 4 2 5 2 2" xfId="2170" xr:uid="{C6001116-5861-47CF-9C09-9312BC1C5622}"/>
    <cellStyle name="Normal 4 2 5 2 2 2" xfId="2171" xr:uid="{F13B4921-CA59-49D8-9DDE-231BFDC4F6DE}"/>
    <cellStyle name="Normal 4 2 5 2 3" xfId="2172" xr:uid="{87384609-1198-4458-B629-E4E60C05B526}"/>
    <cellStyle name="Normal 4 2 5 3" xfId="2173" xr:uid="{253E81A0-76D8-431B-8100-089922D3D734}"/>
    <cellStyle name="Normal 4 2 5 3 2" xfId="2174" xr:uid="{9729022E-E8BB-465D-96DE-5B097FB759C4}"/>
    <cellStyle name="Normal 4 2 5 4" xfId="2175" xr:uid="{38EA4164-30CD-4FB8-B452-6A5908D1896F}"/>
    <cellStyle name="Normal 4 2 5_TB" xfId="2176" xr:uid="{9A43C47C-BBFD-4B42-BDA8-1F962E728F53}"/>
    <cellStyle name="Normal 4 2 6" xfId="2177" xr:uid="{DD0B0F61-3E54-469D-A401-F9C1B588E34A}"/>
    <cellStyle name="Normal 4 2 6 2" xfId="2178" xr:uid="{C6FACE6E-1D07-485F-B9D8-3E8293D1341F}"/>
    <cellStyle name="Normal 4 2 6 2 2" xfId="2179" xr:uid="{627B4F4A-1A8B-4100-8106-4B81981327F3}"/>
    <cellStyle name="Normal 4 2 6 3" xfId="2180" xr:uid="{7B84EC38-CBA0-41B0-BD3B-D7F8225A09DF}"/>
    <cellStyle name="Normal 4 2 7" xfId="2181" xr:uid="{5C5B0AC8-CE7C-44CB-B416-95126B1F48A3}"/>
    <cellStyle name="Normal 4 2 7 2" xfId="2182" xr:uid="{205593CA-912E-4874-A95C-AE8837004543}"/>
    <cellStyle name="Normal 4 2_TB" xfId="2183" xr:uid="{3077CCD4-F9CB-4B04-916F-B0FEC61E552F}"/>
    <cellStyle name="Normal 4 3" xfId="2184" xr:uid="{15C16B8A-5C26-4B28-90F0-008A784463FD}"/>
    <cellStyle name="Normal 4 3 2" xfId="2185" xr:uid="{0EDDF5A3-8913-4A2E-87EF-76E8E6ACAEDE}"/>
    <cellStyle name="Normal 4 3 2 2" xfId="2186" xr:uid="{28780251-E28A-46DC-AB98-AF4610C9D32D}"/>
    <cellStyle name="Normal 4 3 2 2 2" xfId="2187" xr:uid="{FECD28B4-C81A-4482-9221-8208262032B4}"/>
    <cellStyle name="Normal 4 3 2 2 2 2" xfId="2188" xr:uid="{87E40634-C809-4718-824F-D770B75D4861}"/>
    <cellStyle name="Normal 4 3 2 2 2 2 2" xfId="2189" xr:uid="{68797FBA-1D75-414C-B049-EB0581B632C8}"/>
    <cellStyle name="Normal 4 3 2 2 2 3" xfId="2190" xr:uid="{E0D31DC2-3BA5-44FB-ACEB-26D57B745CA5}"/>
    <cellStyle name="Normal 4 3 2 2 3" xfId="2191" xr:uid="{AEB99FDF-C720-4D57-8D59-F896A4C0C294}"/>
    <cellStyle name="Normal 4 3 2 2 3 2" xfId="2192" xr:uid="{80940202-65D8-4581-8D78-A3076EA57BE3}"/>
    <cellStyle name="Normal 4 3 2 2 4" xfId="2193" xr:uid="{6DB0F1C4-7860-4E93-97E4-2B93941EC5CB}"/>
    <cellStyle name="Normal 4 3 2 3" xfId="2194" xr:uid="{B38B2DD8-BFBD-474D-8FBC-2328E8D1AC58}"/>
    <cellStyle name="Normal 4 3 2 3 2" xfId="2195" xr:uid="{EBD0C5DF-2E5E-4B70-A7C6-1BB62131F87C}"/>
    <cellStyle name="Normal 4 3 2 3 2 2" xfId="2196" xr:uid="{DB195FC4-745F-40D8-BAB9-2452ADB52AB5}"/>
    <cellStyle name="Normal 4 3 2 3 2 2 2" xfId="2197" xr:uid="{F2CC0DF3-E389-4CE5-BA68-22931F5AC0BD}"/>
    <cellStyle name="Normal 4 3 2 3 2 3" xfId="2198" xr:uid="{5776A941-4F30-4672-9F3D-E3710B128BAA}"/>
    <cellStyle name="Normal 4 3 2 3 3" xfId="2199" xr:uid="{8887B8E4-F4C9-4A01-9336-29E999EFB2B6}"/>
    <cellStyle name="Normal 4 3 2 3 3 2" xfId="2200" xr:uid="{790147B6-EDDE-47E8-9908-83DBE43A1B03}"/>
    <cellStyle name="Normal 4 3 2 3 4" xfId="2201" xr:uid="{7865301D-15FB-4FA8-88FA-5DE54624A846}"/>
    <cellStyle name="Normal 4 3 2 4" xfId="2202" xr:uid="{58D1A8DE-A1D8-47C0-9CE5-1FCFF4F02596}"/>
    <cellStyle name="Normal 4 3 2 4 2" xfId="2203" xr:uid="{D85C9CF7-6110-4341-8F6C-335075109134}"/>
    <cellStyle name="Normal 4 3 2 4 2 2" xfId="2204" xr:uid="{33F48B2E-CA8F-4EFB-B2DD-105970ACBA88}"/>
    <cellStyle name="Normal 4 3 2 4 3" xfId="2205" xr:uid="{DCFF94FF-86F1-4359-B412-A3A323ADA3E2}"/>
    <cellStyle name="Normal 4 3 2 5" xfId="2206" xr:uid="{B955AFBC-B6B2-4B0A-A730-BC1C0BD91F70}"/>
    <cellStyle name="Normal 4 3 2 5 2" xfId="2207" xr:uid="{B58EBB2F-F06B-41C0-B5AB-7C7BE00E615C}"/>
    <cellStyle name="Normal 4 3 2 6" xfId="2208" xr:uid="{AAF28E34-4EF8-4955-813A-175319E998AA}"/>
    <cellStyle name="Normal 4 3 3" xfId="2209" xr:uid="{F53D3611-D9ED-42F8-8838-2038F7268658}"/>
    <cellStyle name="Normal 4 3 3 2" xfId="2210" xr:uid="{78C6D080-77D5-4499-8020-ECA23831BD70}"/>
    <cellStyle name="Normal 4 3 3 2 2" xfId="2211" xr:uid="{DFD3F9EF-9A63-4C3F-BF7E-9907EE644D4F}"/>
    <cellStyle name="Normal 4 3 3 3" xfId="2212" xr:uid="{AD17E5A9-AD44-49BC-86B7-507A70304EA4}"/>
    <cellStyle name="Normal 4 3 4" xfId="2213" xr:uid="{A29A13C7-6EB5-4B2F-808B-BF3E88E89BF4}"/>
    <cellStyle name="Normal 4 3 4 2" xfId="2214" xr:uid="{D30CF89F-241A-4434-8C87-4C4CE1FDAE99}"/>
    <cellStyle name="Normal 4 3 4 2 2" xfId="2215" xr:uid="{B9CD49BC-D8BA-42AA-A08B-943EB522C241}"/>
    <cellStyle name="Normal 4 3 4 3" xfId="2216" xr:uid="{0A02588F-D45A-471B-80BB-9066BB76D8E7}"/>
    <cellStyle name="Normal 4 3 5" xfId="2217" xr:uid="{B5108E33-2970-4924-A53C-310A922843F0}"/>
    <cellStyle name="Normal 4 3 5 2" xfId="2218" xr:uid="{CC3C137B-74BA-4A3A-9B71-D081F9B6E362}"/>
    <cellStyle name="Normal 4 3 6" xfId="2219" xr:uid="{E19D4672-D138-4D89-B5C3-DF49AE5D28A2}"/>
    <cellStyle name="Normal 4 3_TB" xfId="2220" xr:uid="{BAF71968-5B6B-4305-B7CE-D1F9A7C1ABBC}"/>
    <cellStyle name="Normal 4 4" xfId="2221" xr:uid="{B27FB49C-2B4A-4FF9-BEE7-4D0A895DD1E1}"/>
    <cellStyle name="Normal 4 4 2" xfId="2222" xr:uid="{C02AD648-42C5-4D13-9B3B-62C2EA9E2273}"/>
    <cellStyle name="Normal 4 4 2 2" xfId="2223" xr:uid="{CAC84F30-D2CB-435E-B8F4-10D10DCCFCAB}"/>
    <cellStyle name="Normal 4 4 2 2 2" xfId="2224" xr:uid="{8B62AB07-459B-4A8B-8D75-191CA6E8B19F}"/>
    <cellStyle name="Normal 4 4 2 2 2 2" xfId="2225" xr:uid="{ECE2526C-0AF4-473D-8F94-8E28FC27AFBC}"/>
    <cellStyle name="Normal 4 4 2 2 3" xfId="2226" xr:uid="{5AB77C12-E259-4516-86D2-F5EEFCD4B8EA}"/>
    <cellStyle name="Normal 4 4 2 3" xfId="2227" xr:uid="{A58D0F93-2927-4530-9F52-999403C778EB}"/>
    <cellStyle name="Normal 4 4 2 3 2" xfId="2228" xr:uid="{22F01A36-EA19-4144-8DD3-0120579AB13D}"/>
    <cellStyle name="Normal 4 4 2 4" xfId="2229" xr:uid="{EC008B7D-0073-44C4-B57C-4C7610FDA820}"/>
    <cellStyle name="Normal 4 4 3" xfId="2230" xr:uid="{D0214044-F435-4231-BFBE-176F59BEDDA3}"/>
    <cellStyle name="Normal 4 4 3 2" xfId="2231" xr:uid="{66510246-B797-4F48-82BE-E5AB6C781457}"/>
    <cellStyle name="Normal 4 4 3 2 2" xfId="2232" xr:uid="{6149FA6B-4CA1-4300-92AB-F71430B467A9}"/>
    <cellStyle name="Normal 4 4 3 2 2 2" xfId="2233" xr:uid="{794502B6-3F20-44CD-BB0C-E2FD933603AC}"/>
    <cellStyle name="Normal 4 4 3 2 3" xfId="2234" xr:uid="{E192CC49-2CCE-4B73-A58D-CAD7911F999D}"/>
    <cellStyle name="Normal 4 4 3 3" xfId="2235" xr:uid="{97B7C90D-C6FE-4368-AD51-E635B3768CA5}"/>
    <cellStyle name="Normal 4 4 3 3 2" xfId="2236" xr:uid="{05A12A00-1996-4011-8851-B4E8E1A2FA3D}"/>
    <cellStyle name="Normal 4 4 3 4" xfId="2237" xr:uid="{C14A6C69-D945-4573-90FB-202924FB7429}"/>
    <cellStyle name="Normal 4 4 4" xfId="2238" xr:uid="{F81CD5D0-5FEE-4D86-B1D4-AF7AC55F6838}"/>
    <cellStyle name="Normal 4 4 4 2" xfId="2239" xr:uid="{1B383429-51AD-43CE-9AA4-7632E59CBEF0}"/>
    <cellStyle name="Normal 4 4 4 2 2" xfId="2240" xr:uid="{5A5ABD14-A294-4855-8935-21EED7632E10}"/>
    <cellStyle name="Normal 4 4 4 3" xfId="2241" xr:uid="{FDCD97FA-9A8A-4F8A-ADE1-31BC6E5F2ACD}"/>
    <cellStyle name="Normal 4 4 5" xfId="2242" xr:uid="{4FCEEBD9-3269-4DF6-8D95-6E0DE48EA101}"/>
    <cellStyle name="Normal 4 4 5 2" xfId="2243" xr:uid="{52231865-54AF-41FF-AE7B-6F062B402BAC}"/>
    <cellStyle name="Normal 4 4 6" xfId="2244" xr:uid="{50DF129F-0DF7-4935-ABB8-FFEC1DFB866F}"/>
    <cellStyle name="Normal 4 5" xfId="2245" xr:uid="{15FC1F3C-7F1B-4290-82CB-8EE8536A9E7B}"/>
    <cellStyle name="Normal 4 5 2" xfId="2246" xr:uid="{454A1046-546A-4DF0-A12A-2A3E1AE29947}"/>
    <cellStyle name="Normal 4 5 2 2" xfId="2247" xr:uid="{EC84289D-431B-49C7-BAF1-14524C00EA10}"/>
    <cellStyle name="Normal 4 5 2 2 2" xfId="2248" xr:uid="{FC681818-6EDA-45A7-A7F8-7635F875AA14}"/>
    <cellStyle name="Normal 4 5 2 3" xfId="2249" xr:uid="{DC718B8A-9053-479B-B4BE-C550B5B8057F}"/>
    <cellStyle name="Normal 4 5 3" xfId="2250" xr:uid="{59F5A807-C941-480E-A15C-6A97268C1730}"/>
    <cellStyle name="Normal 4 5 3 2" xfId="2251" xr:uid="{AE7C8852-637E-4283-B97C-6C472B56A926}"/>
    <cellStyle name="Normal 4 5 4" xfId="2252" xr:uid="{D697FF2C-18A9-48CC-92FB-FC22B3ECA3ED}"/>
    <cellStyle name="Normal 4 5_TB" xfId="2253" xr:uid="{5B272041-4559-4769-8772-968312F36A93}"/>
    <cellStyle name="Normal 4 6" xfId="2254" xr:uid="{E0BB2F75-CF84-4804-A1C3-3B988A1A7164}"/>
    <cellStyle name="Normal 4 6 2" xfId="2255" xr:uid="{35E65BFB-EDB8-4F4A-9931-3546CDD74C31}"/>
    <cellStyle name="Normal 4 6 2 2" xfId="2256" xr:uid="{96FB869C-F461-4DDD-91CD-F2D0A96FE15F}"/>
    <cellStyle name="Normal 4 6 2 2 2" xfId="2257" xr:uid="{89B0B621-C5DE-4EF3-8337-B7CE5248D4D8}"/>
    <cellStyle name="Normal 4 6 2 3" xfId="2258" xr:uid="{BE25FBA0-65BB-4B26-89E9-A9612EA3ADBE}"/>
    <cellStyle name="Normal 4 6 3" xfId="2259" xr:uid="{501C9F6E-78E1-4CC6-8135-21EE7A4C2658}"/>
    <cellStyle name="Normal 4 6 3 2" xfId="2260" xr:uid="{5E4955ED-86CE-47F9-A7E8-A13D78372A54}"/>
    <cellStyle name="Normal 4 6 4" xfId="2261" xr:uid="{93B4ADC7-0F44-457E-9308-9A1F067245DF}"/>
    <cellStyle name="Normal 4 7" xfId="2262" xr:uid="{6CEA454F-985E-4248-ADE0-01E13FB1B28D}"/>
    <cellStyle name="Normal 4 7 2" xfId="2263" xr:uid="{D672CA54-08E2-423C-ACAD-D27EFA58F8F8}"/>
    <cellStyle name="Normal 4 7 2 2" xfId="2264" xr:uid="{449AFD2A-C8EF-4C19-97F5-3D37FD71D499}"/>
    <cellStyle name="Normal 4 7 3" xfId="2265" xr:uid="{585F8760-834E-4B0C-8A99-F3B61872AC91}"/>
    <cellStyle name="Normal 4 8" xfId="2266" xr:uid="{58218D9E-8596-4A57-94C5-E78F7D49F437}"/>
    <cellStyle name="Normal 4 8 2" xfId="2267" xr:uid="{BF9F2F65-1828-4285-8510-01A14989A223}"/>
    <cellStyle name="Normal 4 8 2 2" xfId="2268" xr:uid="{E76C2FD5-28D2-4C69-8F59-22B6CDD99CC5}"/>
    <cellStyle name="Normal 4 8 2 2 2" xfId="2269" xr:uid="{119EEF74-E832-49BB-9A12-96758AD3B211}"/>
    <cellStyle name="Normal 4 8 2 2 3" xfId="2270" xr:uid="{B7A14EB7-68E0-4881-80BC-4953942A25CD}"/>
    <cellStyle name="Normal 4 8 3" xfId="2271" xr:uid="{2B2150F4-2C75-486F-A347-484105A0A504}"/>
    <cellStyle name="Normal 4 8 3 2" xfId="2272" xr:uid="{74EA6C6C-4471-4EED-BA85-617202B39E70}"/>
    <cellStyle name="Normal 4 8 3 3" xfId="2273" xr:uid="{78D6DD3E-C2F9-412F-BB22-1DD7836CF5FA}"/>
    <cellStyle name="Normal 4 8_TB" xfId="2274" xr:uid="{6FAF4479-807B-496E-9A5C-763B39F02D32}"/>
    <cellStyle name="Normal 4 9" xfId="2275" xr:uid="{F35D9B42-B9EE-454E-9E4C-70F0BFD10827}"/>
    <cellStyle name="Normal 4 9 2" xfId="2276" xr:uid="{23DE5B51-94EA-4ECF-900C-469BECECA2A0}"/>
    <cellStyle name="Normal 4_TB" xfId="2277" xr:uid="{493EE1B4-19F8-4AFE-9198-4615E0306DA6}"/>
    <cellStyle name="Normal 40" xfId="2278" xr:uid="{14DB31AF-0C8D-4275-ADFC-35A9724C55DE}"/>
    <cellStyle name="Normal 40 2" xfId="2279" xr:uid="{DB266217-897E-4F65-ADFD-30BAD6DD2862}"/>
    <cellStyle name="Normal 41" xfId="2280" xr:uid="{664D4F0B-EFCA-4E4E-9B06-52195A0263E0}"/>
    <cellStyle name="Normal 41 2" xfId="2281" xr:uid="{4DBA682A-FC40-4582-8999-D70B4559B163}"/>
    <cellStyle name="Normal 42" xfId="2282" xr:uid="{6267C10C-1D02-45B7-A261-6C01D0DDB3B6}"/>
    <cellStyle name="Normal 42 2" xfId="2283" xr:uid="{65F39D7F-958D-47E5-AB19-57CB2D146756}"/>
    <cellStyle name="Normal 43" xfId="2284" xr:uid="{B495CA3E-DFFB-4CD9-A537-A03ADBBA174F}"/>
    <cellStyle name="Normal 43 2" xfId="2285" xr:uid="{49626CE3-B65A-4481-BCB4-0ABF126FC7D8}"/>
    <cellStyle name="Normal 44" xfId="2286" xr:uid="{EE0C1FB0-2EA6-4426-93BF-D9D40019F4BE}"/>
    <cellStyle name="Normal 44 2" xfId="2287" xr:uid="{89B57577-80B1-471E-A630-0E25D40EEF83}"/>
    <cellStyle name="Normal 45" xfId="2288" xr:uid="{68EE8885-645A-4055-B7BC-A97A8D407007}"/>
    <cellStyle name="Normal 45 2" xfId="2289" xr:uid="{AC6D43B2-B6AE-448D-9B3D-79FFC0B49937}"/>
    <cellStyle name="Normal 46" xfId="2290" xr:uid="{E292DA17-B350-4CA8-BA77-DC76AF025276}"/>
    <cellStyle name="Normal 46 2" xfId="2291" xr:uid="{7A8FCB03-C8FE-427B-8F14-99132CFB0529}"/>
    <cellStyle name="Normal 47" xfId="2292" xr:uid="{2C08D2D9-353D-4A18-9C9F-42FBAE85CF93}"/>
    <cellStyle name="Normal 47 2" xfId="2293" xr:uid="{ECD865FE-E030-48FA-B01D-871F134167CD}"/>
    <cellStyle name="Normal 48" xfId="2294" xr:uid="{83095029-D103-49F3-B329-124F5A83DE26}"/>
    <cellStyle name="Normal 48 2" xfId="2295" xr:uid="{767448DC-32DA-449A-85F0-FB6765DF5EB5}"/>
    <cellStyle name="Normal 49" xfId="2296" xr:uid="{8D6A1C45-C7A4-4FC5-BEE0-BAC66EB919F2}"/>
    <cellStyle name="Normal 49 2" xfId="2297" xr:uid="{FA4D4FA1-1964-41C2-B5AF-77785D65C76F}"/>
    <cellStyle name="Normal 49 2 2" xfId="2298" xr:uid="{5C397DB4-58E5-425B-845F-8CEF9FEFA9C5}"/>
    <cellStyle name="Normal 49 3" xfId="2299" xr:uid="{D9EC64AE-5F97-46A8-8005-0DAE43444BBE}"/>
    <cellStyle name="Normal 5" xfId="2300" xr:uid="{F1B21A39-95D6-4DCF-B738-0A931E97669F}"/>
    <cellStyle name="Normal 5 2" xfId="2301" xr:uid="{8D6764C5-A448-4C62-8ACE-AB5F6F63D9A4}"/>
    <cellStyle name="Normal 5 2 2" xfId="2302" xr:uid="{1EF508C4-FBAC-4899-8CD8-9D25BCB07B5B}"/>
    <cellStyle name="Normal 5 2 2 2" xfId="2303" xr:uid="{E5A647C6-C9AE-40A6-9BE8-1F9B9E564FA7}"/>
    <cellStyle name="Normal 5 2 3" xfId="2304" xr:uid="{A225E0AA-EDBC-4687-85ED-5376C6ACEF39}"/>
    <cellStyle name="Normal 5 3" xfId="2305" xr:uid="{F66FA4C4-C4B4-4B3B-BBE6-4B60B1D2FFE5}"/>
    <cellStyle name="Normal 5 3 2" xfId="2306" xr:uid="{D0396FCC-C7D8-457F-8751-6A9AE8A34795}"/>
    <cellStyle name="Normal 5 4" xfId="2307" xr:uid="{C064DD75-421B-46E4-B37F-C1BCD7B19EF5}"/>
    <cellStyle name="Normal 5 4 2" xfId="2308" xr:uid="{A7216CBC-9320-4E26-9780-DCA4235280B9}"/>
    <cellStyle name="Normal 5 5" xfId="2309" xr:uid="{5B1A01CF-C50E-44DE-BD0E-61F930DD638A}"/>
    <cellStyle name="Normal 50" xfId="2310" xr:uid="{61A6A5DA-25D1-4C78-9F24-A3375DB08733}"/>
    <cellStyle name="Normal 50 2" xfId="2311" xr:uid="{AEEE1DFA-CBAD-4F3A-A61A-C30B94407269}"/>
    <cellStyle name="Normal 50 2 2" xfId="2312" xr:uid="{E85D797F-00C3-48BE-AAEB-407BED3E41D7}"/>
    <cellStyle name="Normal 50 3" xfId="2313" xr:uid="{417E3A4F-F6A7-42A8-81FF-5D4F9C57332B}"/>
    <cellStyle name="Normal 51" xfId="2314" xr:uid="{9C9AF6DF-5EBB-49E4-9B7E-8EB3AE216732}"/>
    <cellStyle name="Normal 51 2" xfId="2315" xr:uid="{93A88046-9895-49D2-9033-4132A319AA54}"/>
    <cellStyle name="Normal 51 2 2" xfId="2316" xr:uid="{7ACFBE58-71CC-4F75-86F3-BF32E0CADD54}"/>
    <cellStyle name="Normal 51 3" xfId="2317" xr:uid="{B00BDE0B-0232-4F0E-9A48-44C34BA6492D}"/>
    <cellStyle name="Normal 52" xfId="2318" xr:uid="{0D33026E-D0ED-407F-8BE4-20EDB8E5B5B7}"/>
    <cellStyle name="Normal 52 2" xfId="2319" xr:uid="{0535E77E-ED33-4E9C-8779-2D10FA2F03DE}"/>
    <cellStyle name="Normal 52 2 2" xfId="2320" xr:uid="{9137261D-5A20-472F-84D7-68349B93DCC2}"/>
    <cellStyle name="Normal 52 3" xfId="2321" xr:uid="{555156B3-B321-40D6-84D7-2B888D3DF172}"/>
    <cellStyle name="Normal 53" xfId="2322" xr:uid="{AE4A6DFC-BBCA-4DB1-935E-13532E80AE70}"/>
    <cellStyle name="Normal 53 2" xfId="2323" xr:uid="{1DD5E223-B8A8-4BEA-9670-3F051A8DEB4B}"/>
    <cellStyle name="Normal 54" xfId="2324" xr:uid="{651B7109-84CB-4AEF-B85C-69D6E5D7D1F8}"/>
    <cellStyle name="Normal 54 2" xfId="2325" xr:uid="{0F3A5E28-18BD-47E1-85C9-DE9F96562AE6}"/>
    <cellStyle name="Normal 54 2 2" xfId="2326" xr:uid="{85D7398D-0E1A-4186-BB44-B953BA5A9220}"/>
    <cellStyle name="Normal 54 2 2 2" xfId="2327" xr:uid="{EF33652D-94D0-4B6C-9A1A-BFAF37264AC2}"/>
    <cellStyle name="Normal 54 2 2 2 2" xfId="2328" xr:uid="{9E6E4E77-5BC6-49DE-A4B4-FC4697B6D3DC}"/>
    <cellStyle name="Normal 54 2 2 2 3" xfId="2329" xr:uid="{294AB891-E38F-4464-A8E1-ADCC5A0B4C9C}"/>
    <cellStyle name="Normal 54 2 2 3" xfId="2330" xr:uid="{434C08A5-FC19-46B8-A904-EE61BE74CF2D}"/>
    <cellStyle name="Normal 54 2 2 4" xfId="2331" xr:uid="{D3A094FC-1274-4740-898B-A9EE6842ED60}"/>
    <cellStyle name="Normal 54 2 3" xfId="2332" xr:uid="{5D04347B-31C7-417C-BB24-D8D18F364403}"/>
    <cellStyle name="Normal 54 2 3 2" xfId="2333" xr:uid="{D4F7ED3D-43A8-41F7-B5AB-FBCB0B631F04}"/>
    <cellStyle name="Normal 54 2 3 3" xfId="2334" xr:uid="{FD68D179-EA13-42FA-8645-DDD123941769}"/>
    <cellStyle name="Normal 54 2_TB" xfId="2335" xr:uid="{3673BB12-5D96-4F30-AE17-1801E886D8C7}"/>
    <cellStyle name="Normal 54 3" xfId="2336" xr:uid="{2B6EA1EE-93A3-44ED-AC00-E5CC8DDA3500}"/>
    <cellStyle name="Normal 54 3 2" xfId="2337" xr:uid="{FDE0984A-30BF-4CF6-A30A-8AF6C3A7A93E}"/>
    <cellStyle name="Normal 54 3 2 2" xfId="2338" xr:uid="{E7941CE2-BED8-4840-8E79-13BE94F06D17}"/>
    <cellStyle name="Normal 54 3 2 3" xfId="2339" xr:uid="{42638915-0D18-4A4D-87DB-4D42B926D166}"/>
    <cellStyle name="Normal 54 3 3" xfId="2340" xr:uid="{FB25FDF2-E63A-4A3E-B8D4-C8ADF81277B8}"/>
    <cellStyle name="Normal 54 3 4" xfId="2341" xr:uid="{41CE927F-CECA-4CAF-A166-751DBA8E4A75}"/>
    <cellStyle name="Normal 54 4" xfId="2342" xr:uid="{684CB1D6-FC48-465D-B32B-89774E6F241C}"/>
    <cellStyle name="Normal 54 4 2" xfId="2343" xr:uid="{4AAA92A8-0D73-4322-9565-8B6A1F960288}"/>
    <cellStyle name="Normal 54 4 3" xfId="2344" xr:uid="{DAD0C33B-E402-4C91-AE1F-D93E77E626F7}"/>
    <cellStyle name="Normal 54_TB" xfId="2345" xr:uid="{6269597D-ED49-4158-869B-B270759243AF}"/>
    <cellStyle name="Normal 55" xfId="2346" xr:uid="{BBC88596-6CCB-448F-B494-8D8260C86B74}"/>
    <cellStyle name="Normal 55 2" xfId="2347" xr:uid="{E85A81D9-61A7-4990-BA58-0D190B70DDBB}"/>
    <cellStyle name="Normal 55 2 2" xfId="2348" xr:uid="{893B730E-6E63-496E-9FFE-F5304BBDA2F5}"/>
    <cellStyle name="Normal 55 2 2 2" xfId="2349" xr:uid="{855BCBDB-E603-4763-B0E1-4DCC0B3679BD}"/>
    <cellStyle name="Normal 55 2 2 2 2" xfId="2350" xr:uid="{02C8FDF6-1B4C-4E41-899F-EAA08A50CD82}"/>
    <cellStyle name="Normal 55 2 2 2 3" xfId="2351" xr:uid="{299083B0-B795-4951-ACBE-ABB67DAB10FD}"/>
    <cellStyle name="Normal 55 2 2 3" xfId="2352" xr:uid="{B37167B7-59B5-4068-B7D6-1557C462C7A4}"/>
    <cellStyle name="Normal 55 2 2 4" xfId="2353" xr:uid="{DCA16779-AE98-470A-9CF1-5E77E74DD199}"/>
    <cellStyle name="Normal 55 2 3" xfId="2354" xr:uid="{AB01F5E6-3341-48F5-AFCA-A2307515C1F1}"/>
    <cellStyle name="Normal 55 2 3 2" xfId="2355" xr:uid="{07637386-B673-4983-877A-7BA137EBD45C}"/>
    <cellStyle name="Normal 55 2 3 3" xfId="2356" xr:uid="{C6BED79A-8B85-4F99-A94A-21E6FE845F04}"/>
    <cellStyle name="Normal 55 2_TB" xfId="2357" xr:uid="{00F60210-E65D-4AD0-B222-170BA37C4B38}"/>
    <cellStyle name="Normal 55 3" xfId="2358" xr:uid="{D7B23F7C-362C-4E09-9A3B-2F22D35B034B}"/>
    <cellStyle name="Normal 55 3 2" xfId="2359" xr:uid="{8F3631D3-A285-48A6-B84B-D6E0B3D7EF52}"/>
    <cellStyle name="Normal 55 3 2 2" xfId="2360" xr:uid="{F1B047E0-28A5-4DD9-96A6-35DACE3D4026}"/>
    <cellStyle name="Normal 55 3 2 3" xfId="2361" xr:uid="{05D91935-8137-448A-9EB1-701F5F24D784}"/>
    <cellStyle name="Normal 55 3 3" xfId="2362" xr:uid="{5B459978-AA67-4CBF-9FE9-BB38854C7A71}"/>
    <cellStyle name="Normal 55 3 4" xfId="2363" xr:uid="{509DF67E-1F05-46EF-A918-A812919F26D5}"/>
    <cellStyle name="Normal 55 4" xfId="2364" xr:uid="{03D9C9C1-C229-4712-ADE3-0D00310ACD2F}"/>
    <cellStyle name="Normal 55 4 2" xfId="2365" xr:uid="{0182E026-939B-4B28-AFD2-F23E0BB3DD8D}"/>
    <cellStyle name="Normal 55 4 3" xfId="2366" xr:uid="{8782984E-DDBF-426B-B580-8BC4ECD4FB97}"/>
    <cellStyle name="Normal 55_TB" xfId="2367" xr:uid="{1A709197-28E7-4544-98A8-1614950CCF5D}"/>
    <cellStyle name="Normal 56" xfId="2368" xr:uid="{DD9D34B7-84FB-40E9-AEFE-F0DEFA287775}"/>
    <cellStyle name="Normal 56 2" xfId="2369" xr:uid="{103E5E96-E772-483D-9886-3A66182FB6A8}"/>
    <cellStyle name="Normal 56 2 2" xfId="2370" xr:uid="{55C7A9FE-70CF-4112-9467-9FD6A7E3DC50}"/>
    <cellStyle name="Normal 56 2 2 2" xfId="2371" xr:uid="{C0CDA22D-3523-4045-A1FB-66938618E729}"/>
    <cellStyle name="Normal 56 2 2 2 2" xfId="2372" xr:uid="{8249733B-8EE1-47DF-8FE9-A4939BC1CEBC}"/>
    <cellStyle name="Normal 56 2 2 2 3" xfId="2373" xr:uid="{9D047808-AD4D-43E4-A863-F72E3DC38860}"/>
    <cellStyle name="Normal 56 2 2 3" xfId="2374" xr:uid="{A36AB9CC-3DC2-43B1-B77B-BF1BC3192605}"/>
    <cellStyle name="Normal 56 2 2 4" xfId="2375" xr:uid="{285455FC-E260-43FC-A1A2-DB41AF855DDE}"/>
    <cellStyle name="Normal 56 2 3" xfId="2376" xr:uid="{50519B5E-0390-4AFA-BCD9-1FAA9B550BF3}"/>
    <cellStyle name="Normal 56 2 3 2" xfId="2377" xr:uid="{3691A125-A8D2-4853-8E7A-1F90EEB88A0D}"/>
    <cellStyle name="Normal 56 2 3 3" xfId="2378" xr:uid="{6CD4DCD3-FDDA-487F-B0BE-2360D7D6573F}"/>
    <cellStyle name="Normal 56 2 4" xfId="2379" xr:uid="{895505B4-D1C8-4669-9480-A87CA435DE05}"/>
    <cellStyle name="Normal 56 2 5" xfId="2380" xr:uid="{CC346AD2-E17B-4779-AE27-52C7ADE3ED07}"/>
    <cellStyle name="Normal 56 2_TB" xfId="2381" xr:uid="{6B382ADC-E42E-4741-B535-A39A07D42FD8}"/>
    <cellStyle name="Normal 56 3" xfId="2382" xr:uid="{CF334637-6A5E-478B-8005-3045E766AEF5}"/>
    <cellStyle name="Normal 56 3 2" xfId="2383" xr:uid="{908FB45C-76AB-473B-A6B3-C42A4E938504}"/>
    <cellStyle name="Normal 56 3 2 2" xfId="2384" xr:uid="{27400190-1127-45F4-8CB9-78D0F650D509}"/>
    <cellStyle name="Normal 56 3 2 3" xfId="2385" xr:uid="{1FF800AB-B38A-47AF-8CC8-D3270BB97E2B}"/>
    <cellStyle name="Normal 56 3 3" xfId="2386" xr:uid="{01242A15-EA64-409F-A0BF-22EFD9AAA172}"/>
    <cellStyle name="Normal 56 3 4" xfId="2387" xr:uid="{11EEBA36-6AE8-481A-8960-EFC100077563}"/>
    <cellStyle name="Normal 56 4" xfId="2388" xr:uid="{B7223C69-058B-4D28-8706-A79C589DB1EC}"/>
    <cellStyle name="Normal 56 4 2" xfId="2389" xr:uid="{8995AD10-8CD3-4A7F-BFDC-267A18499D0C}"/>
    <cellStyle name="Normal 56 4 3" xfId="2390" xr:uid="{BF800348-DCBF-42CD-95C8-74378D944A66}"/>
    <cellStyle name="Normal 56_TB" xfId="2391" xr:uid="{1D542ED8-E5D2-4EC3-98AB-EE56470C7D41}"/>
    <cellStyle name="Normal 57" xfId="2392" xr:uid="{9156B626-8256-40EB-86AA-ABBB14BE0F5C}"/>
    <cellStyle name="Normal 57 2" xfId="2393" xr:uid="{3803DAA2-555C-4EF1-8547-07D92146E956}"/>
    <cellStyle name="Normal 57 2 2" xfId="2394" xr:uid="{D1F7E662-116D-4953-8064-124389043EE3}"/>
    <cellStyle name="Normal 57 2 2 2" xfId="2395" xr:uid="{F47B84A1-BB00-420B-B822-0C977D36FFC9}"/>
    <cellStyle name="Normal 57 2 2 2 2" xfId="2396" xr:uid="{859D02B4-7373-40EB-B37C-147F5985E7C8}"/>
    <cellStyle name="Normal 57 2 2 2 3" xfId="2397" xr:uid="{B172EB15-4180-4787-AA56-D62005AE31D0}"/>
    <cellStyle name="Normal 57 2 2 3" xfId="2398" xr:uid="{01A8F667-9E89-439D-B2C7-2DE9AFCB38D5}"/>
    <cellStyle name="Normal 57 2 2 4" xfId="2399" xr:uid="{738DC612-8DD8-40EB-B37A-CD53FFF4145A}"/>
    <cellStyle name="Normal 57 2 3" xfId="2400" xr:uid="{29384CC6-01CC-4737-A57D-E2B2F55F2297}"/>
    <cellStyle name="Normal 57 2 3 2" xfId="2401" xr:uid="{889DFAFE-20B7-44CA-9D2B-CE3B7CCAD11A}"/>
    <cellStyle name="Normal 57 2 3 3" xfId="2402" xr:uid="{2B204212-619E-49AC-8206-CC6DAF52814C}"/>
    <cellStyle name="Normal 57 2 4" xfId="2403" xr:uid="{3C80D417-091B-4F87-A0A7-378E40795622}"/>
    <cellStyle name="Normal 57 2 5" xfId="2404" xr:uid="{9EF3795F-59A6-4616-8B80-7A9C31FF022F}"/>
    <cellStyle name="Normal 57 2_TB" xfId="2405" xr:uid="{8AE82C30-4F8C-4153-8CE5-6B3A6BF05D92}"/>
    <cellStyle name="Normal 57 3" xfId="2406" xr:uid="{4BAED0C0-0FB1-42D4-8DB8-C3A93DD29A8F}"/>
    <cellStyle name="Normal 57 3 2" xfId="2407" xr:uid="{C112F55C-668F-472D-B66B-988292096BD8}"/>
    <cellStyle name="Normal 57 3 2 2" xfId="2408" xr:uid="{134C2CB2-1917-498F-9CDE-9D26E65AEEE6}"/>
    <cellStyle name="Normal 57 3 2 3" xfId="2409" xr:uid="{560020F9-ECF7-4D31-B4E5-82280C9015DC}"/>
    <cellStyle name="Normal 57 3 3" xfId="2410" xr:uid="{9A0AD0C7-B3DD-416E-819B-705682FD954C}"/>
    <cellStyle name="Normal 57 3 4" xfId="2411" xr:uid="{AE444C30-52D4-4942-8040-083EE652C10B}"/>
    <cellStyle name="Normal 57 4" xfId="2412" xr:uid="{CE08E20B-77CD-49C2-93A7-71F78458D73F}"/>
    <cellStyle name="Normal 57 4 2" xfId="2413" xr:uid="{5B686A19-3974-4910-BEB0-9E336280CD26}"/>
    <cellStyle name="Normal 57 4 3" xfId="2414" xr:uid="{453D0583-6820-4BE8-9143-ACCC7290DE72}"/>
    <cellStyle name="Normal 57_TB" xfId="2415" xr:uid="{E65EAD22-A46D-4161-9E79-C24447D2505B}"/>
    <cellStyle name="Normal 58" xfId="2416" xr:uid="{CCEA783F-EBAD-4455-861E-89388372C7F8}"/>
    <cellStyle name="Normal 58 2" xfId="2417" xr:uid="{5AE9E3C7-CCB2-494F-A11D-2E7F8F422C1A}"/>
    <cellStyle name="Normal 58 2 2" xfId="2418" xr:uid="{DE148D4B-9D83-4E6F-B197-F95B8C7E060F}"/>
    <cellStyle name="Normal 58 2 2 2" xfId="2419" xr:uid="{F77C1775-4F80-4F12-B219-D189401FC3AE}"/>
    <cellStyle name="Normal 58 2 2 2 2" xfId="2420" xr:uid="{6BAEF51A-6DED-49A8-8DDF-C3D3995E3A8C}"/>
    <cellStyle name="Normal 58 2 2 2 3" xfId="2421" xr:uid="{398AABA8-76E2-433A-965C-458DE2FB9B47}"/>
    <cellStyle name="Normal 58 2 2 3" xfId="2422" xr:uid="{006CB254-04F5-47F9-AB19-D3AAF87F69B4}"/>
    <cellStyle name="Normal 58 2 2 4" xfId="2423" xr:uid="{80338037-A486-4A09-BD64-0FCD9FFC3DD6}"/>
    <cellStyle name="Normal 58 2 3" xfId="2424" xr:uid="{F2E1D42A-765B-458B-9EEF-BE9918BFB47D}"/>
    <cellStyle name="Normal 58 2 3 2" xfId="2425" xr:uid="{4347DDAB-649F-4C9B-9A8D-12E9FA8754CC}"/>
    <cellStyle name="Normal 58 2 3 3" xfId="2426" xr:uid="{94311F5E-F720-4699-8343-737427A5EB9F}"/>
    <cellStyle name="Normal 58 2 4" xfId="2427" xr:uid="{180E6247-22C9-4FDA-B90A-C7699E2E5948}"/>
    <cellStyle name="Normal 58 2 5" xfId="2428" xr:uid="{F3BC7078-FCB2-45B2-B799-0E5B674F1A53}"/>
    <cellStyle name="Normal 58 2_TB" xfId="2429" xr:uid="{609BDEBD-6C57-4470-838C-5A4226FC24E3}"/>
    <cellStyle name="Normal 58 3" xfId="2430" xr:uid="{9A07DF49-A092-4129-AE69-7C9A3905E526}"/>
    <cellStyle name="Normal 58 3 2" xfId="2431" xr:uid="{C7171059-1838-4D74-AD5B-7E4FF0203EED}"/>
    <cellStyle name="Normal 58 3 2 2" xfId="2432" xr:uid="{6746E953-5697-4DDF-A6D3-EAAF443C458F}"/>
    <cellStyle name="Normal 58 3 2 3" xfId="2433" xr:uid="{3A82DA00-5DC8-4DF6-A77D-325CAD6BB524}"/>
    <cellStyle name="Normal 58 3 3" xfId="2434" xr:uid="{45A889C2-01D2-479B-B150-4EA46BA20F8C}"/>
    <cellStyle name="Normal 58 3 4" xfId="2435" xr:uid="{466D9F24-26E1-4F9B-871C-24DDCBFE800A}"/>
    <cellStyle name="Normal 58 4" xfId="2436" xr:uid="{37C3029F-7B30-4CF7-BB1B-CEC04B6D9444}"/>
    <cellStyle name="Normal 58 4 2" xfId="2437" xr:uid="{21F19F1F-276C-46FC-88A2-5A2722713926}"/>
    <cellStyle name="Normal 58 4 3" xfId="2438" xr:uid="{6B63CBE9-9447-44AA-B8D7-5A7CB6514655}"/>
    <cellStyle name="Normal 58 5" xfId="2439" xr:uid="{C2CAE8C7-079C-445A-92E1-13F175955B1D}"/>
    <cellStyle name="Normal 58 6" xfId="2440" xr:uid="{2FEDAA86-A9D8-4734-82E6-439CA7006368}"/>
    <cellStyle name="Normal 58_TB" xfId="2441" xr:uid="{68CEFFEF-CD7B-4707-8EEE-758D2168109F}"/>
    <cellStyle name="Normal 59" xfId="2442" xr:uid="{85416866-2515-4AAE-8446-43BCDB35D753}"/>
    <cellStyle name="Normal 59 2" xfId="2443" xr:uid="{A4347056-2CFF-4CD8-A478-716B64E297A8}"/>
    <cellStyle name="Normal 59 2 2" xfId="2444" xr:uid="{FCBDDDEF-24A4-4708-97D3-84D93F168133}"/>
    <cellStyle name="Normal 59 2 2 2" xfId="2445" xr:uid="{C5C521D5-FF0C-4704-834D-B91261AF5224}"/>
    <cellStyle name="Normal 59 2 2 2 2" xfId="2446" xr:uid="{4565751E-0947-4FB7-A76D-D67ACF0FDBEA}"/>
    <cellStyle name="Normal 59 2 2 2 3" xfId="2447" xr:uid="{6DD501CF-EB62-413E-9859-09C7C605810D}"/>
    <cellStyle name="Normal 59 2 2 3" xfId="2448" xr:uid="{240E31A4-9100-4647-8C82-846815F4988E}"/>
    <cellStyle name="Normal 59 2 2 4" xfId="2449" xr:uid="{FAB36722-F2D4-43A6-87A5-7D2590A052A5}"/>
    <cellStyle name="Normal 59 2 3" xfId="2450" xr:uid="{38B60B84-CE0A-43DF-97A1-9E835CC55A2E}"/>
    <cellStyle name="Normal 59 2 3 2" xfId="2451" xr:uid="{2C86E2C8-C886-4B3C-8376-FF86D28990E3}"/>
    <cellStyle name="Normal 59 2 3 3" xfId="2452" xr:uid="{6BD5BE6E-7DB5-4FE0-9B1C-64ABB688A828}"/>
    <cellStyle name="Normal 59 2 4" xfId="2453" xr:uid="{A5135C84-5509-4534-A8C8-8569CB22B583}"/>
    <cellStyle name="Normal 59 2 5" xfId="2454" xr:uid="{26CF51EA-CE9E-4738-8427-6D9A278241D0}"/>
    <cellStyle name="Normal 59 2_TB" xfId="2455" xr:uid="{9EF9F411-178A-4ABB-82EA-6E4B462B21E2}"/>
    <cellStyle name="Normal 59 3" xfId="2456" xr:uid="{7291517E-5BF0-4319-B1C9-33312DDB65A0}"/>
    <cellStyle name="Normal 59 3 2" xfId="2457" xr:uid="{CF183847-8650-4DDE-9431-ED91D571BD47}"/>
    <cellStyle name="Normal 59 3 2 2" xfId="2458" xr:uid="{D14E7507-01E0-46B4-B3A6-370A51280EF1}"/>
    <cellStyle name="Normal 59 3 2 3" xfId="2459" xr:uid="{B9177BAD-EE68-4038-9087-E95E5F8C2BD0}"/>
    <cellStyle name="Normal 59 3 3" xfId="2460" xr:uid="{D0AC627F-0652-4143-BD0E-DB593F350C82}"/>
    <cellStyle name="Normal 59 3 4" xfId="2461" xr:uid="{00D58A71-7E77-40FA-BD4B-0F421BAB11FE}"/>
    <cellStyle name="Normal 59 4" xfId="2462" xr:uid="{7252736A-7CCC-4591-9AC4-6302151B4191}"/>
    <cellStyle name="Normal 59 4 2" xfId="2463" xr:uid="{5CF74CF1-BCB4-41A1-A4F8-5500F49F3192}"/>
    <cellStyle name="Normal 59 4 3" xfId="2464" xr:uid="{41FDAA8D-CB20-4954-B346-FB26ED36731B}"/>
    <cellStyle name="Normal 59 5" xfId="2465" xr:uid="{67A11521-11D4-4CD1-8725-67D035E44B95}"/>
    <cellStyle name="Normal 59 6" xfId="2466" xr:uid="{8478763C-DAC3-4E76-A050-26956B4CC3E7}"/>
    <cellStyle name="Normal 59_TB" xfId="2467" xr:uid="{F2C60839-91B6-44AA-8CD2-37A4BC4001C6}"/>
    <cellStyle name="Normal 6" xfId="2468" xr:uid="{44573FB9-A22F-4CA9-819D-B567C8860368}"/>
    <cellStyle name="Normal 6 2" xfId="2469" xr:uid="{EB92DDC8-01E4-4C8D-B873-F1484F75D337}"/>
    <cellStyle name="Normal 6 2 2" xfId="2470" xr:uid="{ED195B6C-450E-4CEE-A233-6281B86720AF}"/>
    <cellStyle name="Normal 6 2 2 2" xfId="2471" xr:uid="{931E372E-50CE-41B0-9549-FA15A7ECD4A8}"/>
    <cellStyle name="Normal 6 2 2 2 2" xfId="2472" xr:uid="{839F9833-AE5D-4B2C-ADD6-556839DCBFCD}"/>
    <cellStyle name="Normal 6 2 2 2 2 2" xfId="2473" xr:uid="{84E25A8A-19A0-4DD4-A230-AA2158A24F25}"/>
    <cellStyle name="Normal 6 2 2 2 2 2 2" xfId="2474" xr:uid="{4636A22F-544B-4B23-A50C-5F7DD86502AD}"/>
    <cellStyle name="Normal 6 2 2 2 2 2 2 2" xfId="2475" xr:uid="{ACF3349C-9F55-4FE6-81C1-C43EEB810F68}"/>
    <cellStyle name="Normal 6 2 2 2 2 2 2 2 2" xfId="2476" xr:uid="{98FB8176-782B-4F0E-A394-68D4CED7D313}"/>
    <cellStyle name="Normal 6 2 2 2 2 2 2 2 3" xfId="2477" xr:uid="{CF193C9B-06C3-4495-9050-66912C17C33A}"/>
    <cellStyle name="Normal 6 2 2 2 2 2 2 3" xfId="2478" xr:uid="{9A8245FA-5B45-4903-8BF7-52A4A85EE972}"/>
    <cellStyle name="Normal 6 2 2 2 2 2 2 4" xfId="2479" xr:uid="{4022E5BE-42ED-4C57-B1FA-DF5790EAEFCC}"/>
    <cellStyle name="Normal 6 2 2 2 2 2 3" xfId="2480" xr:uid="{75178B72-38B2-48E5-A549-3F338190897C}"/>
    <cellStyle name="Normal 6 2 2 2 2 2 3 2" xfId="2481" xr:uid="{348F5CCA-D3CC-4FC4-B631-233283BB48AB}"/>
    <cellStyle name="Normal 6 2 2 2 2 2 3 3" xfId="2482" xr:uid="{5119A88E-8C5D-4D27-9043-4BBB0F913B5D}"/>
    <cellStyle name="Normal 6 2 2 2 2 2 4" xfId="2483" xr:uid="{4832B0E4-3951-413F-BC47-EF6DBB0116D7}"/>
    <cellStyle name="Normal 6 2 2 2 2 2 5" xfId="2484" xr:uid="{C536632E-39EE-4BB6-8211-2282FDCA8BE2}"/>
    <cellStyle name="Normal 6 2 2 2 2 2_TB" xfId="2485" xr:uid="{A892E97A-718B-4D09-BDEB-B2A1A8D3DB0C}"/>
    <cellStyle name="Normal 6 2 2 2 2 3" xfId="2486" xr:uid="{FCC5AAC3-5E25-4999-84C0-F376F7F73F3D}"/>
    <cellStyle name="Normal 6 2 2 2 2 3 2" xfId="2487" xr:uid="{2BDB9D8D-DDC9-4112-86ED-9B2133C0E6CD}"/>
    <cellStyle name="Normal 6 2 2 2 2 3 2 2" xfId="2488" xr:uid="{FF700E64-79E6-475D-83F5-D64CC07A40BB}"/>
    <cellStyle name="Normal 6 2 2 2 2 3 2 3" xfId="2489" xr:uid="{CF5810D3-4ABF-4703-9809-4C827C99DB2E}"/>
    <cellStyle name="Normal 6 2 2 2 2 3 3" xfId="2490" xr:uid="{12833968-033B-4C77-83A3-3BA5ACD655CC}"/>
    <cellStyle name="Normal 6 2 2 2 2 3 4" xfId="2491" xr:uid="{A083DB98-B1C6-4082-9297-527892D86352}"/>
    <cellStyle name="Normal 6 2 2 2 2 4" xfId="2492" xr:uid="{5BC51919-0572-4D49-8AFD-E735D6F49424}"/>
    <cellStyle name="Normal 6 2 2 2 2 4 2" xfId="2493" xr:uid="{25FEF4B9-69C3-4497-B6EA-DC0EBB8838D0}"/>
    <cellStyle name="Normal 6 2 2 2 2 4 3" xfId="2494" xr:uid="{F4B3CC25-C32F-4770-8B26-12D3A5E937DA}"/>
    <cellStyle name="Normal 6 2 2 2 2 5" xfId="2495" xr:uid="{1B974E4E-2EFF-416F-B864-451E8C6B06B8}"/>
    <cellStyle name="Normal 6 2 2 2 2 6" xfId="2496" xr:uid="{B8D8A22E-4F65-44CD-9CE5-38AD6FF0B058}"/>
    <cellStyle name="Normal 6 2 2 2 2_TB" xfId="2497" xr:uid="{5BFB4F95-D0E0-4ECD-BA98-259C721CCAD3}"/>
    <cellStyle name="Normal 6 2 2 2 3" xfId="2498" xr:uid="{936288FA-509C-49D2-B6A9-76D5697EE6DD}"/>
    <cellStyle name="Normal 6 2 2 2 3 2" xfId="2499" xr:uid="{01D370B1-819A-4B80-AA14-16781C0FFB33}"/>
    <cellStyle name="Normal 6 2 2 2 3 2 2" xfId="2500" xr:uid="{144A6D3E-73A0-4D9B-A07D-AF71C154B898}"/>
    <cellStyle name="Normal 6 2 2 2 3 2 2 2" xfId="2501" xr:uid="{3DD111DA-6E6F-4C3E-A476-48493D259712}"/>
    <cellStyle name="Normal 6 2 2 2 3 2 2 3" xfId="2502" xr:uid="{F938F9C5-FC11-4A90-96EF-9C89E150977C}"/>
    <cellStyle name="Normal 6 2 2 2 3 2 3" xfId="2503" xr:uid="{A309E6B7-4425-441E-BC1B-696CB6210080}"/>
    <cellStyle name="Normal 6 2 2 2 3 2 4" xfId="2504" xr:uid="{AEEFB275-3EF5-4681-8DE6-CE9B6977646B}"/>
    <cellStyle name="Normal 6 2 2 2 3 3" xfId="2505" xr:uid="{F47D083B-7537-4F2D-9AF3-AB96A32F343E}"/>
    <cellStyle name="Normal 6 2 2 2 3 3 2" xfId="2506" xr:uid="{B47681B3-69C5-4ABC-84F2-5B245C7EDD0F}"/>
    <cellStyle name="Normal 6 2 2 2 3 3 3" xfId="2507" xr:uid="{986B649C-C8D3-4E5E-8090-E11536063333}"/>
    <cellStyle name="Normal 6 2 2 2 3 4" xfId="2508" xr:uid="{BF302827-4730-48FB-A92A-6184807CDB6C}"/>
    <cellStyle name="Normal 6 2 2 2 3 5" xfId="2509" xr:uid="{F83E03BF-2718-4C0F-998E-8704D2F195A9}"/>
    <cellStyle name="Normal 6 2 2 2 3_TB" xfId="2510" xr:uid="{3CA887AF-349A-48C3-A62A-6BC39656F9F3}"/>
    <cellStyle name="Normal 6 2 2 2 4" xfId="2511" xr:uid="{502A8CDD-CA72-465E-8555-3C5400171B73}"/>
    <cellStyle name="Normal 6 2 2 2 4 2" xfId="2512" xr:uid="{9F729D05-A184-4B20-BCCE-DD7394E4772F}"/>
    <cellStyle name="Normal 6 2 2 2 4 2 2" xfId="2513" xr:uid="{9F657992-F9FF-478A-A612-F112E6577104}"/>
    <cellStyle name="Normal 6 2 2 2 4 2 3" xfId="2514" xr:uid="{37EB3C94-ED35-4765-968F-BB65EB079DD7}"/>
    <cellStyle name="Normal 6 2 2 2 4 3" xfId="2515" xr:uid="{3EACEF21-AB3C-40F5-B27E-374837D457BB}"/>
    <cellStyle name="Normal 6 2 2 2 4 4" xfId="2516" xr:uid="{F635F4D9-0164-4BB7-9895-255C6DC363EF}"/>
    <cellStyle name="Normal 6 2 2 2 5" xfId="2517" xr:uid="{C5E75279-977A-4674-9535-1833DE37F0FC}"/>
    <cellStyle name="Normal 6 2 2 2 5 2" xfId="2518" xr:uid="{A76FA326-211E-4442-89F6-FDBD2A9ED40B}"/>
    <cellStyle name="Normal 6 2 2 2 5 3" xfId="2519" xr:uid="{0657726C-2120-4629-AADC-40946272E34A}"/>
    <cellStyle name="Normal 6 2 2 2 6" xfId="2520" xr:uid="{B79921FC-84E7-440B-AAB3-DA5EA01F5241}"/>
    <cellStyle name="Normal 6 2 2 2 7" xfId="2521" xr:uid="{1EE0306E-EED0-4074-8FB8-CD992E018239}"/>
    <cellStyle name="Normal 6 2 2 2_TB" xfId="2522" xr:uid="{A5B48E30-90D8-4FBE-94E2-2E48B9916A7C}"/>
    <cellStyle name="Normal 6 2 2 3" xfId="2523" xr:uid="{3FECC75C-21E8-4AFC-89A0-C304ECDDCF8D}"/>
    <cellStyle name="Normal 6 2 2 3 2" xfId="2524" xr:uid="{0FB10E33-A1EA-4F09-B37F-E300C9B7314D}"/>
    <cellStyle name="Normal 6 2 2 3 2 2" xfId="2525" xr:uid="{C0C371BD-0B1B-4FC8-B8A8-7B0CD9B2754B}"/>
    <cellStyle name="Normal 6 2 2 3 2 2 2" xfId="2526" xr:uid="{0329E020-34CA-496A-B5CE-6A11E4FC2AAD}"/>
    <cellStyle name="Normal 6 2 2 3 2 2 2 2" xfId="2527" xr:uid="{E98B93D2-028E-4CA7-9CD7-CFADA42A7FDA}"/>
    <cellStyle name="Normal 6 2 2 3 2 2 2 3" xfId="2528" xr:uid="{75170775-F01C-45D5-BB34-4F12F41ADB1E}"/>
    <cellStyle name="Normal 6 2 2 3 2 2 3" xfId="2529" xr:uid="{3F2582FC-7491-4714-B8B3-DF41D6269577}"/>
    <cellStyle name="Normal 6 2 2 3 2 2 4" xfId="2530" xr:uid="{B3F09447-66AB-43BF-A684-8909E69747F4}"/>
    <cellStyle name="Normal 6 2 2 3 2 3" xfId="2531" xr:uid="{4D568A5B-0723-4C8C-B4F8-DF323C2F1C57}"/>
    <cellStyle name="Normal 6 2 2 3 2 3 2" xfId="2532" xr:uid="{E91ACBA3-39E9-4762-80C0-954746054A6C}"/>
    <cellStyle name="Normal 6 2 2 3 2 3 3" xfId="2533" xr:uid="{5C37B8ED-EC5A-4658-BAD3-FEDD453E2E9E}"/>
    <cellStyle name="Normal 6 2 2 3 2 4" xfId="2534" xr:uid="{251F72AD-8FA2-429B-83D3-481D5490C7A7}"/>
    <cellStyle name="Normal 6 2 2 3 2 5" xfId="2535" xr:uid="{84772B74-9F69-4C86-A325-795ABABE99F7}"/>
    <cellStyle name="Normal 6 2 2 3 2_TB" xfId="2536" xr:uid="{8AD62752-D679-403B-8847-54341C07477A}"/>
    <cellStyle name="Normal 6 2 2 3 3" xfId="2537" xr:uid="{6C1F9154-D7AE-4B5D-AA28-4A17FB78728E}"/>
    <cellStyle name="Normal 6 2 2 3 3 2" xfId="2538" xr:uid="{F4533A1E-B472-4B2F-AEFF-1CCBE23D11F7}"/>
    <cellStyle name="Normal 6 2 2 3 3 2 2" xfId="2539" xr:uid="{3D9BC477-45B1-46EF-BF26-0BABF308A170}"/>
    <cellStyle name="Normal 6 2 2 3 3 2 3" xfId="2540" xr:uid="{B4B11611-8A51-4D88-A1B1-C39C1DC992A6}"/>
    <cellStyle name="Normal 6 2 2 3 3 3" xfId="2541" xr:uid="{4C15F837-C54B-4C4C-933E-F3E4AA43642E}"/>
    <cellStyle name="Normal 6 2 2 3 3 4" xfId="2542" xr:uid="{04072455-9304-46BD-9D11-FE4F8D88DD9B}"/>
    <cellStyle name="Normal 6 2 2 3 4" xfId="2543" xr:uid="{660737CD-8327-49F1-8DE8-BB34A1775398}"/>
    <cellStyle name="Normal 6 2 2 3 4 2" xfId="2544" xr:uid="{272B777D-C6EB-47B8-BDD7-FD47EEAB4572}"/>
    <cellStyle name="Normal 6 2 2 3 4 3" xfId="2545" xr:uid="{4563A4F6-CCBF-43CD-B639-20FE58D9F269}"/>
    <cellStyle name="Normal 6 2 2 3 5" xfId="2546" xr:uid="{14029F71-63C9-4035-85CB-C32E45F2C1CE}"/>
    <cellStyle name="Normal 6 2 2 3 6" xfId="2547" xr:uid="{814508C1-3D11-41CD-B92F-F93568FC6447}"/>
    <cellStyle name="Normal 6 2 2 3_TB" xfId="2548" xr:uid="{D7E48FB6-0432-4B22-8088-28FC938F1C59}"/>
    <cellStyle name="Normal 6 2 2 4" xfId="2549" xr:uid="{B0E20CEA-5BF8-4292-B00A-037B50FC1709}"/>
    <cellStyle name="Normal 6 2 2 4 2" xfId="2550" xr:uid="{1CD7258D-066A-4650-8C51-3EBCCF616FAD}"/>
    <cellStyle name="Normal 6 2 2 4 2 2" xfId="2551" xr:uid="{37980E81-8EBA-4E48-9897-20CBDF565E44}"/>
    <cellStyle name="Normal 6 2 2 4 2 2 2" xfId="2552" xr:uid="{C43E7A25-DEF8-4B80-9523-2903EE7D87D8}"/>
    <cellStyle name="Normal 6 2 2 4 2 2 3" xfId="2553" xr:uid="{A5D4EF89-3AC1-4103-B909-9F98D815E8E8}"/>
    <cellStyle name="Normal 6 2 2 4 2 3" xfId="2554" xr:uid="{B55F3C8F-42D6-4A61-B049-0B9793B54797}"/>
    <cellStyle name="Normal 6 2 2 4 2 4" xfId="2555" xr:uid="{AC52F021-D82B-47E9-9DC6-9D09AD39B41C}"/>
    <cellStyle name="Normal 6 2 2 4 3" xfId="2556" xr:uid="{E71A6736-A93D-41A2-941F-4BEBB41AA08A}"/>
    <cellStyle name="Normal 6 2 2 4 3 2" xfId="2557" xr:uid="{32920F93-92AF-4ABC-9146-EA85E5DAE9B9}"/>
    <cellStyle name="Normal 6 2 2 4 3 3" xfId="2558" xr:uid="{A22DDF4A-9593-407A-B39A-F2715E30E74D}"/>
    <cellStyle name="Normal 6 2 2 4 4" xfId="2559" xr:uid="{CC4EA973-2C79-49C5-B7B0-05338A45FC94}"/>
    <cellStyle name="Normal 6 2 2 4 5" xfId="2560" xr:uid="{C3AD0659-0CB4-466D-9261-D3542D4D0465}"/>
    <cellStyle name="Normal 6 2 2 4_TB" xfId="2561" xr:uid="{8346622A-9A50-4998-8AFE-19EEEF588A4E}"/>
    <cellStyle name="Normal 6 2 2 5" xfId="2562" xr:uid="{D4DF0E44-20A9-4116-B169-F6797FFE488E}"/>
    <cellStyle name="Normal 6 2 2 5 2" xfId="2563" xr:uid="{FF385138-84EA-4B69-8415-090837FFC61C}"/>
    <cellStyle name="Normal 6 2 2 5 2 2" xfId="2564" xr:uid="{286BDE4F-250A-4BA0-AD62-E51B8D0AC570}"/>
    <cellStyle name="Normal 6 2 2 5 2 3" xfId="2565" xr:uid="{D32C4633-8EF9-42F2-9BDE-C50FABA5A33B}"/>
    <cellStyle name="Normal 6 2 2 5 3" xfId="2566" xr:uid="{0F3301E9-CEC2-4B80-A34B-82CEB89DB027}"/>
    <cellStyle name="Normal 6 2 2 5 4" xfId="2567" xr:uid="{E8FDEB80-1D87-4AC6-981B-70B1174CC396}"/>
    <cellStyle name="Normal 6 2 2 6" xfId="2568" xr:uid="{B2CB8BEB-F06F-4887-BF14-C88D978DEEB5}"/>
    <cellStyle name="Normal 6 2 2 6 2" xfId="2569" xr:uid="{9BF10DED-9DB8-40D8-931C-4FBCC42AB979}"/>
    <cellStyle name="Normal 6 2 2 6 3" xfId="2570" xr:uid="{4A3BC7B6-433D-4A10-837B-633A8E6E3565}"/>
    <cellStyle name="Normal 6 2 2 7" xfId="2571" xr:uid="{82A158F1-6B98-4F31-AEB5-B9A26CED1601}"/>
    <cellStyle name="Normal 6 2 2 8" xfId="2572" xr:uid="{FD7C47D4-5807-4AF0-B190-AE46C2F38A7A}"/>
    <cellStyle name="Normal 6 2 2_TB" xfId="2573" xr:uid="{C4BE9442-DC9F-4A55-8C93-00E5C070E4B6}"/>
    <cellStyle name="Normal 6 2 3" xfId="2574" xr:uid="{C7BBC60A-918D-407D-B879-7A544B2A180E}"/>
    <cellStyle name="Normal 6 2 3 2" xfId="2575" xr:uid="{69F23A3A-BF86-4ECD-9AA2-F998CF3FC701}"/>
    <cellStyle name="Normal 6 2 3 2 2" xfId="2576" xr:uid="{B37631FE-74FA-4742-BF07-0984033F9059}"/>
    <cellStyle name="Normal 6 2 3 2 2 2" xfId="2577" xr:uid="{83794DFB-219B-486C-B395-16E671101DEA}"/>
    <cellStyle name="Normal 6 2 3 2 2 2 2" xfId="2578" xr:uid="{6FFE1F83-F866-4094-8ABC-C098C24AEE50}"/>
    <cellStyle name="Normal 6 2 3 2 2 2 3" xfId="2579" xr:uid="{BA9A2916-6EA1-4768-B924-5BE07CD70B2C}"/>
    <cellStyle name="Normal 6 2 3 2 2 3" xfId="2580" xr:uid="{3BD72EE3-A612-454A-B04F-7C5EAB81A0F1}"/>
    <cellStyle name="Normal 6 2 3 2 2 4" xfId="2581" xr:uid="{7281E304-26F4-4382-8D2B-4996B4B7DF3E}"/>
    <cellStyle name="Normal 6 2 3 2 3" xfId="2582" xr:uid="{629A44AF-6525-43BC-9AB6-FFB141F452B3}"/>
    <cellStyle name="Normal 6 2 3 2 3 2" xfId="2583" xr:uid="{1FA2769C-F94F-4A1C-9E84-639CE1AE9604}"/>
    <cellStyle name="Normal 6 2 3 2 3 3" xfId="2584" xr:uid="{E72CA07E-17B1-4A96-A4A5-8635E9AD2023}"/>
    <cellStyle name="Normal 6 2 3 2 4" xfId="2585" xr:uid="{ED13A82F-40BA-418A-9A0C-062D5882CC35}"/>
    <cellStyle name="Normal 6 2 3 2 5" xfId="2586" xr:uid="{1C23FBF4-EC34-4CCB-8D43-36B9FEB52AA9}"/>
    <cellStyle name="Normal 6 2 3 2_TB" xfId="2587" xr:uid="{87C05EC7-43E9-4693-96B4-7BB4F86B6739}"/>
    <cellStyle name="Normal 6 2 3 3" xfId="2588" xr:uid="{CC9D6594-E364-410C-A39A-9016E5117C7A}"/>
    <cellStyle name="Normal 6 2 3 3 2" xfId="2589" xr:uid="{F8C5B240-66CB-4F2E-8C37-7CCF4B698648}"/>
    <cellStyle name="Normal 6 2 3 3 2 2" xfId="2590" xr:uid="{FEEAF2D8-F65D-415D-95B2-9BD28C021414}"/>
    <cellStyle name="Normal 6 2 3 3 2 3" xfId="2591" xr:uid="{59CD6FA4-4E3F-4084-8813-2712BCA73C20}"/>
    <cellStyle name="Normal 6 2 3 3 3" xfId="2592" xr:uid="{6D53D978-5699-4AE9-83E3-1C78CAE2F5DF}"/>
    <cellStyle name="Normal 6 2 3 3 4" xfId="2593" xr:uid="{2B91C956-D1A2-47FA-83BC-EF11953E322F}"/>
    <cellStyle name="Normal 6 2 3 4" xfId="2594" xr:uid="{52D88C96-CC12-4859-B548-F8B192F1272E}"/>
    <cellStyle name="Normal 6 2 3 4 2" xfId="2595" xr:uid="{4085E32F-9FDA-4899-A945-B57DA67D50F6}"/>
    <cellStyle name="Normal 6 2 3 4 3" xfId="2596" xr:uid="{9A0D4ED9-B643-4646-AA6C-FB40538C1550}"/>
    <cellStyle name="Normal 6 2 3 5" xfId="2597" xr:uid="{0DDDBFF1-1E59-4879-B80F-ADB3D1905AB5}"/>
    <cellStyle name="Normal 6 2 3 6" xfId="2598" xr:uid="{F50436AB-F8E5-4F71-8A93-125DD23DF9C7}"/>
    <cellStyle name="Normal 6 2 3_TB" xfId="2599" xr:uid="{86677D5D-6BFF-4588-95B4-510D66C39EE2}"/>
    <cellStyle name="Normal 6 3" xfId="2600" xr:uid="{B8A5A86F-7A16-40C0-B780-ABAFDF080A6E}"/>
    <cellStyle name="Normal 6 3 2" xfId="2601" xr:uid="{6F2E849E-357D-46FB-851C-08554A8A7778}"/>
    <cellStyle name="Normal 6 3 2 2" xfId="2602" xr:uid="{63B239B8-757B-4C83-B27C-04C2AA4D8768}"/>
    <cellStyle name="Normal 6 3 2 2 2" xfId="2603" xr:uid="{ECE31721-1CB7-4801-92A4-0A3ED283F81D}"/>
    <cellStyle name="Normal 6 3 2 2 2 2" xfId="2604" xr:uid="{3FCF0807-5D36-4F16-8288-857F627EDE71}"/>
    <cellStyle name="Normal 6 3 2 2 2 3" xfId="2605" xr:uid="{AEFB7893-B6CF-4E88-B6DE-B6AAE8B31380}"/>
    <cellStyle name="Normal 6 3 2 2 3" xfId="2606" xr:uid="{6CF93A3F-EF76-4EEB-BC8C-4E35EA0F22B6}"/>
    <cellStyle name="Normal 6 3 2 2 4" xfId="2607" xr:uid="{B28BAC3F-3ECA-4492-AC7B-B72A312C4F1A}"/>
    <cellStyle name="Normal 6 3 2 3" xfId="2608" xr:uid="{149E92AF-9E22-4FB9-94D2-AD6DF0710533}"/>
    <cellStyle name="Normal 6 3 2 3 2" xfId="2609" xr:uid="{CBAC873C-43F6-4AEA-B40D-D71690829898}"/>
    <cellStyle name="Normal 6 3 2 3 3" xfId="2610" xr:uid="{8FDED473-3189-48FE-9607-58FCFBD1EC21}"/>
    <cellStyle name="Normal 6 3 2_TB" xfId="2611" xr:uid="{83104D9A-0EE0-4E9E-A11E-2D7DE67B7198}"/>
    <cellStyle name="Normal 6 3 3" xfId="2612" xr:uid="{23AB1E14-BFCC-46E9-B2AE-8B940705E2A4}"/>
    <cellStyle name="Normal 6 3 3 2" xfId="2613" xr:uid="{FC054987-C7DC-4A19-8B11-1ADA5132AB5A}"/>
    <cellStyle name="Normal 6 3 3 2 2" xfId="2614" xr:uid="{BA8E8EAE-900F-413C-91DB-E62E7DF51CD6}"/>
    <cellStyle name="Normal 6 3 3 2 3" xfId="2615" xr:uid="{C917C00D-2833-48DE-A951-BDF8FAE37C0C}"/>
    <cellStyle name="Normal 6 3 3 3" xfId="2616" xr:uid="{FD21C902-EAAB-44E1-BA2F-9B8C4B2608A8}"/>
    <cellStyle name="Normal 6 3 3 4" xfId="2617" xr:uid="{A06800EF-82F1-467D-93D3-089CFE39F994}"/>
    <cellStyle name="Normal 6 3 4" xfId="2618" xr:uid="{9DBDA851-51D4-4D00-BB2D-1B30940AD1B6}"/>
    <cellStyle name="Normal 6 3 4 2" xfId="2619" xr:uid="{56E17ECE-02FE-47E9-AD19-DF253C9C63F5}"/>
    <cellStyle name="Normal 6 3 4 3" xfId="2620" xr:uid="{59B7DDD2-CDA8-48EC-8C8F-D908FCE74B68}"/>
    <cellStyle name="Normal 6 3_TB" xfId="2621" xr:uid="{008DFF38-E5CC-4B3C-A65C-446C8C5E3BDA}"/>
    <cellStyle name="Normal 6 4" xfId="2622" xr:uid="{C723CD35-C7AE-49A6-90AC-D1B40E308CC7}"/>
    <cellStyle name="Normal 6 5" xfId="2623" xr:uid="{67DD830C-FC21-467A-BF2B-1F79A9EA1FB7}"/>
    <cellStyle name="Normal 60" xfId="2624" xr:uid="{B242B14B-EC9E-44D3-9A8C-5262B70E7178}"/>
    <cellStyle name="Normal 60 2" xfId="2625" xr:uid="{EC60D897-E5FE-4EDB-ADBD-BBD76DEB6760}"/>
    <cellStyle name="Normal 60 2 2" xfId="2626" xr:uid="{40E4D73E-8392-453F-9E74-1014420E76BA}"/>
    <cellStyle name="Normal 60 2 2 2" xfId="2627" xr:uid="{DBFB589F-5F7D-4A92-8441-AB40F4AD485B}"/>
    <cellStyle name="Normal 60 2 2 2 2" xfId="2628" xr:uid="{3E892F9B-FFE4-4858-85C3-F052581C9D8B}"/>
    <cellStyle name="Normal 60 2 2 2 3" xfId="2629" xr:uid="{D80D7353-7860-4A37-BB7C-17882F25046F}"/>
    <cellStyle name="Normal 60 2 2 3" xfId="2630" xr:uid="{0C6F5111-D4C2-4764-8117-4AD23522E539}"/>
    <cellStyle name="Normal 60 2 2 4" xfId="2631" xr:uid="{314289A4-49F1-4223-983D-3F06D6D67D03}"/>
    <cellStyle name="Normal 60 2 3" xfId="2632" xr:uid="{40A5C926-3CC6-4BAD-83D7-622067D73E13}"/>
    <cellStyle name="Normal 60 2 3 2" xfId="2633" xr:uid="{FE209D0A-B673-4FE3-B7DD-7B9432923321}"/>
    <cellStyle name="Normal 60 2 3 3" xfId="2634" xr:uid="{07809E70-4914-4C47-9920-5E584F708DED}"/>
    <cellStyle name="Normal 60 2 4" xfId="2635" xr:uid="{35FF9DA0-2D1B-4A63-87E9-A27BCDC30950}"/>
    <cellStyle name="Normal 60 2 5" xfId="2636" xr:uid="{EEC79BA6-EE17-4288-9471-C94A466FD962}"/>
    <cellStyle name="Normal 60 2_TB" xfId="2637" xr:uid="{9E63343B-3F70-4D7A-B708-A58479D420FE}"/>
    <cellStyle name="Normal 60 3" xfId="2638" xr:uid="{934ECDE4-5F1A-4852-AD65-11217E221E01}"/>
    <cellStyle name="Normal 60 3 2" xfId="2639" xr:uid="{3BCA6473-DB88-4D66-B02F-9B6602DF0B4E}"/>
    <cellStyle name="Normal 60 3 2 2" xfId="2640" xr:uid="{77A0FAF1-E2DC-4F1F-A48C-DCF4A8B37674}"/>
    <cellStyle name="Normal 60 3 2 3" xfId="2641" xr:uid="{A7CA60BE-B4E3-49EA-863A-B141CFDFB61C}"/>
    <cellStyle name="Normal 60 3 3" xfId="2642" xr:uid="{C919F20F-7D84-410C-A10F-157E1A2FF8E2}"/>
    <cellStyle name="Normal 60 3 4" xfId="2643" xr:uid="{D6652F55-6793-4C97-B1D9-21EDB59C03E9}"/>
    <cellStyle name="Normal 60 4" xfId="2644" xr:uid="{1D585323-B449-4BB7-B6F3-B56A3F44B317}"/>
    <cellStyle name="Normal 60 4 2" xfId="2645" xr:uid="{8C4C92BA-D7B5-4C0F-A2BF-72D8C510E27F}"/>
    <cellStyle name="Normal 60 4 3" xfId="2646" xr:uid="{7F2EAE4B-9EA5-4643-B55D-22E390A3B964}"/>
    <cellStyle name="Normal 60 5" xfId="2647" xr:uid="{DDFA4F6A-71E9-4BA5-80DC-E4ABDF185133}"/>
    <cellStyle name="Normal 60 6" xfId="2648" xr:uid="{0DFE6522-86A4-4224-A058-9A64B77CA8A7}"/>
    <cellStyle name="Normal 60_TB" xfId="2649" xr:uid="{04A306A5-640F-4119-9620-E39D5EA1570F}"/>
    <cellStyle name="Normal 61" xfId="2650" xr:uid="{207BDB10-0779-4453-B39B-585AB8B4984F}"/>
    <cellStyle name="Normal 61 2" xfId="2651" xr:uid="{FA2B58CE-E08B-428F-B4D1-EC5DF64478CE}"/>
    <cellStyle name="Normal 61 2 2" xfId="2652" xr:uid="{092BF789-04D9-4B60-BA02-E6EB0C2B5860}"/>
    <cellStyle name="Normal 61 2 2 2" xfId="2653" xr:uid="{B8FD2504-FCC3-4D33-82E5-A78B1218F5B7}"/>
    <cellStyle name="Normal 61 2 2 2 2" xfId="2654" xr:uid="{39C174BD-ABFA-499F-BDF2-AC5CA528F31E}"/>
    <cellStyle name="Normal 61 2 2 2 3" xfId="2655" xr:uid="{6E46BFDE-E802-48B0-A2ED-3234E6846738}"/>
    <cellStyle name="Normal 61 2 2 3" xfId="2656" xr:uid="{EA26C139-EAFF-4889-A642-2498662A2E84}"/>
    <cellStyle name="Normal 61 2 2 4" xfId="2657" xr:uid="{7F514AF3-E4DF-4520-B7E0-13975A9C6EDA}"/>
    <cellStyle name="Normal 61 2 3" xfId="2658" xr:uid="{75B800B2-3542-41AB-A4B0-CC3005F39CB0}"/>
    <cellStyle name="Normal 61 2 3 2" xfId="2659" xr:uid="{23C93875-03E4-49C2-A8E4-3A7E0C26B9EB}"/>
    <cellStyle name="Normal 61 2 3 3" xfId="2660" xr:uid="{AB7ED037-E637-435D-B441-C0BB83051E1B}"/>
    <cellStyle name="Normal 61 2 4" xfId="2661" xr:uid="{A82598C5-A0A6-4D1E-982D-874B1618E3ED}"/>
    <cellStyle name="Normal 61 2 5" xfId="2662" xr:uid="{94E44D74-ED7C-424E-8401-570E5040C727}"/>
    <cellStyle name="Normal 61 2_TB" xfId="2663" xr:uid="{9EDA474E-1EBC-4F56-ABCE-EB5D43F8DFEE}"/>
    <cellStyle name="Normal 61 3" xfId="2664" xr:uid="{33F8C71E-F5D2-496D-8E51-44ED66412E1F}"/>
    <cellStyle name="Normal 61 3 2" xfId="2665" xr:uid="{A13AC149-58FD-479F-B215-76B385111CD7}"/>
    <cellStyle name="Normal 61 3 2 2" xfId="2666" xr:uid="{1B997E79-06A0-43BF-B817-6CC0C12392D5}"/>
    <cellStyle name="Normal 61 3 2 3" xfId="2667" xr:uid="{6920A742-722A-4960-A36D-BCCCAD2282C5}"/>
    <cellStyle name="Normal 61 3 3" xfId="2668" xr:uid="{8A0982C7-63A7-4DEE-BA45-F2822201F896}"/>
    <cellStyle name="Normal 61 3 4" xfId="2669" xr:uid="{5CC82294-8635-46D1-8ADE-9CEA504AFAB8}"/>
    <cellStyle name="Normal 61 4" xfId="2670" xr:uid="{700783B7-5D40-4BBB-93A5-248F16A8A4DC}"/>
    <cellStyle name="Normal 61 4 2" xfId="2671" xr:uid="{A6B018F8-5AD5-4549-AA34-8AE66ADBFE81}"/>
    <cellStyle name="Normal 61 4 3" xfId="2672" xr:uid="{D0D433A2-0479-4D5B-984A-F77EEB3262ED}"/>
    <cellStyle name="Normal 61 5" xfId="2673" xr:uid="{67ED9BA9-80C1-443F-A0F9-5FC91AF0065A}"/>
    <cellStyle name="Normal 61 6" xfId="2674" xr:uid="{D78F1738-3146-4B7F-AC80-D2FA66A471EC}"/>
    <cellStyle name="Normal 61_TB" xfId="2675" xr:uid="{6FE1674F-E677-407C-85B5-1CECAFDBB77E}"/>
    <cellStyle name="Normal 62" xfId="2676" xr:uid="{85D2D01D-A44C-4185-9984-85D688AE18EE}"/>
    <cellStyle name="Normal 62 2" xfId="2677" xr:uid="{9ECACDAF-F10A-43CF-92BB-0099E7C486E9}"/>
    <cellStyle name="Normal 62 2 2" xfId="2678" xr:uid="{EED3CF51-9E1C-4D12-96B0-A0F47D0076D2}"/>
    <cellStyle name="Normal 62 2 2 2" xfId="2679" xr:uid="{927661F4-DD11-43CD-BBBE-9FB2A612F1E5}"/>
    <cellStyle name="Normal 62 2 2 2 2" xfId="2680" xr:uid="{68065B31-E587-44F1-967B-61DC1B5E3858}"/>
    <cellStyle name="Normal 62 2 2 2 3" xfId="2681" xr:uid="{E496595A-C7CD-4325-A022-15FCACBB9016}"/>
    <cellStyle name="Normal 62 2 2 3" xfId="2682" xr:uid="{49297BE2-E7CE-4FC7-8902-1DBC6DA21692}"/>
    <cellStyle name="Normal 62 2 2 4" xfId="2683" xr:uid="{5E562B4E-2967-4C84-A390-95D3BA29B83C}"/>
    <cellStyle name="Normal 62 2 3" xfId="2684" xr:uid="{78995604-8AC1-4D4A-ABA8-87748C413E4E}"/>
    <cellStyle name="Normal 62 2 3 2" xfId="2685" xr:uid="{45D5E95C-607F-4666-B64D-89C21F0093C6}"/>
    <cellStyle name="Normal 62 2 3 3" xfId="2686" xr:uid="{8AB29DDB-5DAF-4F67-8F1B-594A22695D74}"/>
    <cellStyle name="Normal 62 2 4" xfId="2687" xr:uid="{A47A6157-35C4-4B5F-8E8A-D958524D4EAB}"/>
    <cellStyle name="Normal 62 2 5" xfId="2688" xr:uid="{663C4710-09E2-43BE-A3DC-387F2BC5F458}"/>
    <cellStyle name="Normal 62 2_TB" xfId="2689" xr:uid="{EC82BF32-A494-4DE6-A5E3-471DCF3EC208}"/>
    <cellStyle name="Normal 62 3" xfId="2690" xr:uid="{71125C97-0DAC-4CC2-96A4-0664141A8688}"/>
    <cellStyle name="Normal 62 3 2" xfId="2691" xr:uid="{9FD399E7-A842-41A2-9F8D-D8DAF67F2002}"/>
    <cellStyle name="Normal 62 3 2 2" xfId="2692" xr:uid="{D0187C4F-E589-48DC-87F2-F344DD8A1D9E}"/>
    <cellStyle name="Normal 62 3 2 3" xfId="2693" xr:uid="{048134AB-A76E-4E03-97E3-1BBB3219AF4B}"/>
    <cellStyle name="Normal 62 3 3" xfId="2694" xr:uid="{C84D5ED9-76D6-41CE-B71C-4658C17D1064}"/>
    <cellStyle name="Normal 62 3 4" xfId="2695" xr:uid="{C5F70DDD-90B8-4B98-A5ED-784E7F5AA85E}"/>
    <cellStyle name="Normal 62 4" xfId="2696" xr:uid="{E09ED58E-D172-4333-81C5-620DEFF4AD32}"/>
    <cellStyle name="Normal 62 4 2" xfId="2697" xr:uid="{C035F387-F826-45D5-A260-029EDDA9CA90}"/>
    <cellStyle name="Normal 62 4 3" xfId="2698" xr:uid="{21B9EA10-6B7C-44C0-99ED-EE1DD72FEC49}"/>
    <cellStyle name="Normal 62 5" xfId="2699" xr:uid="{2906EFCA-24B6-41A3-B03A-6DCAF499995F}"/>
    <cellStyle name="Normal 62 6" xfId="2700" xr:uid="{94371E3C-7DFF-4E21-B107-FEFBF6E40D40}"/>
    <cellStyle name="Normal 62_TB" xfId="2701" xr:uid="{19923F34-A822-4AEA-AC01-8EE0634F1731}"/>
    <cellStyle name="Normal 63" xfId="2702" xr:uid="{0D1D9A41-5A1C-4D5B-AF99-50B80316907B}"/>
    <cellStyle name="Normal 63 2" xfId="2703" xr:uid="{B8BC5394-266F-4C41-BB4C-A9B6D5F21B93}"/>
    <cellStyle name="Normal 63 2 2" xfId="2704" xr:uid="{4D40E0FC-7F1D-4CE8-B3BA-387DA2B0CA93}"/>
    <cellStyle name="Normal 63 2 2 2" xfId="2705" xr:uid="{03EE5379-35B7-461D-B938-4F87048E1B6D}"/>
    <cellStyle name="Normal 63 2 2 2 2" xfId="2706" xr:uid="{0F08EDE4-1384-4636-891D-0F0C7391D979}"/>
    <cellStyle name="Normal 63 2 2 2 3" xfId="2707" xr:uid="{497212C5-F1A8-4307-9D75-BB663A6642DA}"/>
    <cellStyle name="Normal 63 2 2 3" xfId="2708" xr:uid="{63E76372-1679-4EF9-8909-DAECF77A5C6A}"/>
    <cellStyle name="Normal 63 2 2 4" xfId="2709" xr:uid="{66E19B1C-0951-42D8-B315-26CCFE2F4085}"/>
    <cellStyle name="Normal 63 2 3" xfId="2710" xr:uid="{A8D8773C-54F2-490A-A212-02A9D596ABF5}"/>
    <cellStyle name="Normal 63 2 3 2" xfId="2711" xr:uid="{463C25A4-1FB3-4BB8-83D1-A49D5A39B74E}"/>
    <cellStyle name="Normal 63 2 3 3" xfId="2712" xr:uid="{8591BD54-6DF6-4C16-BBC0-0FA34FD92F46}"/>
    <cellStyle name="Normal 63 2 4" xfId="2713" xr:uid="{C2416E1A-4B26-401D-8ABB-D4617256DD2B}"/>
    <cellStyle name="Normal 63 2 5" xfId="2714" xr:uid="{29E8624F-8681-4DF5-9789-92174E14F6E3}"/>
    <cellStyle name="Normal 63 2_TB" xfId="2715" xr:uid="{AAC55E3C-D34D-4380-9924-50BE1AB25203}"/>
    <cellStyle name="Normal 63 3" xfId="2716" xr:uid="{FF02C9F0-7354-4A9F-B9E2-092CF480282B}"/>
    <cellStyle name="Normal 63 3 2" xfId="2717" xr:uid="{E89E56A1-EB6F-43A6-8138-44C7CC4B3E95}"/>
    <cellStyle name="Normal 63 3 2 2" xfId="2718" xr:uid="{043BCC0A-CC23-4D41-B569-37AEC7152FEB}"/>
    <cellStyle name="Normal 63 3 2 3" xfId="2719" xr:uid="{D9448E1F-A93E-4FCA-87B4-090A667A0442}"/>
    <cellStyle name="Normal 63 3 3" xfId="2720" xr:uid="{F716887E-8721-4567-862C-7314E42BE289}"/>
    <cellStyle name="Normal 63 3 4" xfId="2721" xr:uid="{F4930AF4-08FC-4F98-91A2-48BD9CFE3064}"/>
    <cellStyle name="Normal 63 4" xfId="2722" xr:uid="{2938B2C6-EC73-4177-A246-1C2C959B8647}"/>
    <cellStyle name="Normal 63 4 2" xfId="2723" xr:uid="{DF188179-0614-4836-9264-DF5579F176B8}"/>
    <cellStyle name="Normal 63 4 3" xfId="2724" xr:uid="{4FFDD67B-41C2-41FE-B581-45EE8297D756}"/>
    <cellStyle name="Normal 63 5" xfId="2725" xr:uid="{6FCF8CA9-7F03-4774-9B05-237123106B9C}"/>
    <cellStyle name="Normal 63 6" xfId="2726" xr:uid="{0EB94C99-8AD5-4CCD-8AEB-6C1E88037D37}"/>
    <cellStyle name="Normal 63_TB" xfId="2727" xr:uid="{A8D79317-F72E-4415-91E3-F272CAEE4BBE}"/>
    <cellStyle name="Normal 64" xfId="2728" xr:uid="{468ED886-CAD1-40F0-BC07-28DC8765D8A9}"/>
    <cellStyle name="Normal 64 2" xfId="2729" xr:uid="{A0A2D2A5-128A-4415-A431-45C2F80DE700}"/>
    <cellStyle name="Normal 64 2 2" xfId="2730" xr:uid="{538D0D3E-1A3A-47C5-B9C4-4B5B7E3FD270}"/>
    <cellStyle name="Normal 64 2 2 2" xfId="2731" xr:uid="{8659D91C-4D26-40D5-B63E-7D6A99750140}"/>
    <cellStyle name="Normal 64 2 2 2 2" xfId="2732" xr:uid="{472C2D6F-3875-40AA-A458-810ACC25DC8E}"/>
    <cellStyle name="Normal 64 2 2 2 3" xfId="2733" xr:uid="{D0C3C1B3-3E22-47E2-9350-671988192552}"/>
    <cellStyle name="Normal 64 2 2 3" xfId="2734" xr:uid="{D7B4DEFE-6135-4397-ABE3-02B04AE55160}"/>
    <cellStyle name="Normal 64 2 2 4" xfId="2735" xr:uid="{23157966-AE59-45E6-81FB-80062361F1BA}"/>
    <cellStyle name="Normal 64 2 3" xfId="2736" xr:uid="{DBA846AD-BFBE-4FF0-8F6D-9103E0DC4A12}"/>
    <cellStyle name="Normal 64 2 3 2" xfId="2737" xr:uid="{21B47620-6412-4B9A-BE00-685B9EBCF74A}"/>
    <cellStyle name="Normal 64 2 3 3" xfId="2738" xr:uid="{26CC473D-0A71-4D0B-8A20-0C447C78AB1B}"/>
    <cellStyle name="Normal 64 2 4" xfId="2739" xr:uid="{D45065BB-AE4B-4695-8F51-025FA085DBEB}"/>
    <cellStyle name="Normal 64 2 5" xfId="2740" xr:uid="{197D8198-65ED-4753-8AFB-CBF03AB18FE8}"/>
    <cellStyle name="Normal 64 2_TB" xfId="2741" xr:uid="{416CCCD6-28C8-4533-946C-0DB469C25E9B}"/>
    <cellStyle name="Normal 64 3" xfId="2742" xr:uid="{FDC4D5BA-C2C7-4081-91F5-53C15759B1E5}"/>
    <cellStyle name="Normal 64 3 2" xfId="2743" xr:uid="{AD9FD217-865D-4E5C-9D81-AA2D35C7672E}"/>
    <cellStyle name="Normal 64 3 2 2" xfId="2744" xr:uid="{6F06DE41-0480-4FC6-8515-EEC1E4852E41}"/>
    <cellStyle name="Normal 64 3 2 3" xfId="2745" xr:uid="{EE2FF6A4-9911-4648-A98D-A95EFD442968}"/>
    <cellStyle name="Normal 64 3 3" xfId="2746" xr:uid="{74AC3C07-2B5C-476B-813B-63C2DB7142F0}"/>
    <cellStyle name="Normal 64 3 4" xfId="2747" xr:uid="{924A3CD9-31AF-4F61-862A-5BFFFA1ECF99}"/>
    <cellStyle name="Normal 64 4" xfId="2748" xr:uid="{4AD35A13-0F9F-4211-AE4B-B63C6BD136C2}"/>
    <cellStyle name="Normal 64 4 2" xfId="2749" xr:uid="{CD2B466A-2CCD-45BB-BFAD-878CB300B415}"/>
    <cellStyle name="Normal 64 4 3" xfId="2750" xr:uid="{99D2981E-8D27-4B05-B558-472185A67EA2}"/>
    <cellStyle name="Normal 64 5" xfId="2751" xr:uid="{E5A15DA9-E352-4D24-BA13-88FA011AA3D6}"/>
    <cellStyle name="Normal 64 6" xfId="2752" xr:uid="{731CE6E3-CFF0-4925-A1BE-C8D9DA93F02A}"/>
    <cellStyle name="Normal 64_TB" xfId="2753" xr:uid="{CEFA9268-2FE5-40FB-8AA6-2E677759E69F}"/>
    <cellStyle name="Normal 65" xfId="2754" xr:uid="{D1635700-C485-41AD-9B33-31976335A8E2}"/>
    <cellStyle name="Normal 65 2" xfId="2755" xr:uid="{9744E6C1-F938-459B-85AC-9D5824FAB1D5}"/>
    <cellStyle name="Normal 65 2 2" xfId="2756" xr:uid="{8F326157-4BBE-43C7-B8D8-77048F7BFC66}"/>
    <cellStyle name="Normal 65 2 2 2" xfId="2757" xr:uid="{FE67B9DD-45CB-4A2A-AD28-0331629BDD0F}"/>
    <cellStyle name="Normal 65 2 2 2 2" xfId="2758" xr:uid="{69AD1F25-5A7B-4E53-A1F1-A6B58F10049E}"/>
    <cellStyle name="Normal 65 2 2 2 3" xfId="2759" xr:uid="{3F5FDC7F-9CDC-4CD2-8B42-BDC6AC60250A}"/>
    <cellStyle name="Normal 65 2 2 3" xfId="2760" xr:uid="{B14F1A52-7F82-4890-8282-D77A07C66ADE}"/>
    <cellStyle name="Normal 65 2 2 4" xfId="2761" xr:uid="{142043D9-176B-4813-BE47-BF4CC2F1B214}"/>
    <cellStyle name="Normal 65 2 3" xfId="2762" xr:uid="{67D1D749-1975-44CB-BDCA-61434C8A52FA}"/>
    <cellStyle name="Normal 65 2 3 2" xfId="2763" xr:uid="{31F9629B-7BF4-415D-B750-102D0F12BD9A}"/>
    <cellStyle name="Normal 65 2 3 3" xfId="2764" xr:uid="{BC4B1214-755D-4094-8498-6C31EC33A5CB}"/>
    <cellStyle name="Normal 65 2 4" xfId="2765" xr:uid="{F992AC47-5237-4DD6-86F8-FD11C15234E9}"/>
    <cellStyle name="Normal 65 2 5" xfId="2766" xr:uid="{827D07EA-5A03-4846-9351-80227D5DC641}"/>
    <cellStyle name="Normal 65 2_TB" xfId="2767" xr:uid="{3CEFDFED-A7B9-40E2-BEFF-77AE3A7520CD}"/>
    <cellStyle name="Normal 65 3" xfId="2768" xr:uid="{2F661064-D56D-4B6B-A0EF-1F9B9A0618FF}"/>
    <cellStyle name="Normal 65 3 2" xfId="2769" xr:uid="{2CFF8263-077A-4B44-843E-3ACAD4EF9503}"/>
    <cellStyle name="Normal 65 3 2 2" xfId="2770" xr:uid="{F7EADD08-2013-4F6E-BAEA-8586EEBFDD04}"/>
    <cellStyle name="Normal 65 3 2 3" xfId="2771" xr:uid="{99131722-1824-4800-860A-F0130798D1F1}"/>
    <cellStyle name="Normal 65 3 3" xfId="2772" xr:uid="{3243C3B6-BEC1-4E6B-8B8E-0FA0E7FD4E0A}"/>
    <cellStyle name="Normal 65 3 4" xfId="2773" xr:uid="{84995E72-9CF1-41C5-A223-EE7AF1A9355C}"/>
    <cellStyle name="Normal 65 4" xfId="2774" xr:uid="{CE2C1134-DF58-4220-AE4F-537B9933792A}"/>
    <cellStyle name="Normal 65 4 2" xfId="2775" xr:uid="{15255278-884B-4170-B90F-EF97F747835B}"/>
    <cellStyle name="Normal 65 4 3" xfId="2776" xr:uid="{8A69D2D9-E6E1-44FC-8708-10D4974CB1FA}"/>
    <cellStyle name="Normal 65 5" xfId="2777" xr:uid="{0E667E02-3A6C-41CF-A26F-EDC862AF2519}"/>
    <cellStyle name="Normal 65 6" xfId="2778" xr:uid="{B854D86F-D49C-4681-BC97-F741E6A36DA1}"/>
    <cellStyle name="Normal 65_TB" xfId="2779" xr:uid="{DD438B8E-E246-49C9-B58A-6A890C36DF27}"/>
    <cellStyle name="Normal 66" xfId="2780" xr:uid="{102E9B9A-4DDC-45A1-B47D-B3B2F14123D4}"/>
    <cellStyle name="Normal 66 2" xfId="2781" xr:uid="{55C01F92-2AAA-4F52-8C49-AB96F1551AA0}"/>
    <cellStyle name="Normal 66 2 2" xfId="2782" xr:uid="{86E0C466-B6C1-4B8C-80D0-F0A7BF1C1DC6}"/>
    <cellStyle name="Normal 66 2 2 2" xfId="2783" xr:uid="{9F60832B-79EB-4DFF-A76C-6FC7AB1C3807}"/>
    <cellStyle name="Normal 66 2 2 2 2" xfId="2784" xr:uid="{3D7DFE2C-1571-42ED-9A8B-51353ED82B05}"/>
    <cellStyle name="Normal 66 2 2 2 3" xfId="2785" xr:uid="{F4666A81-954F-4286-8954-435AD1495722}"/>
    <cellStyle name="Normal 66 2 2 3" xfId="2786" xr:uid="{34BE6754-43EE-4DF8-9AEE-10D1876D9F2A}"/>
    <cellStyle name="Normal 66 2 2 4" xfId="2787" xr:uid="{4E459182-EBE9-42F2-9E12-E4FDE353B670}"/>
    <cellStyle name="Normal 66 2 3" xfId="2788" xr:uid="{49460318-A503-4D15-9928-41DCCB812195}"/>
    <cellStyle name="Normal 66 2 3 2" xfId="2789" xr:uid="{AAB24453-2F66-4C70-AB5B-46BA0654892B}"/>
    <cellStyle name="Normal 66 2 3 3" xfId="2790" xr:uid="{783BEE7B-B3A7-487E-A9B5-20B37C6A09A1}"/>
    <cellStyle name="Normal 66 2 4" xfId="2791" xr:uid="{EE0C3651-ADA1-4A90-A582-09AFC3CF5FB8}"/>
    <cellStyle name="Normal 66 2 5" xfId="2792" xr:uid="{7EA3BBD6-6A41-438D-B4C2-E1185AB201EA}"/>
    <cellStyle name="Normal 66 2_TB" xfId="2793" xr:uid="{806181ED-0F06-4E46-9169-7FA0E7301E1E}"/>
    <cellStyle name="Normal 66 3" xfId="2794" xr:uid="{BF70EB54-83F7-4930-9881-4134E464925B}"/>
    <cellStyle name="Normal 66 3 2" xfId="2795" xr:uid="{BBFB205D-C46B-4464-8EE9-66EED86CEA3E}"/>
    <cellStyle name="Normal 66 3 2 2" xfId="2796" xr:uid="{80EA68A0-CA9F-4972-BED7-FA436457278C}"/>
    <cellStyle name="Normal 66 3 2 3" xfId="2797" xr:uid="{C3BFE11D-70AC-46D0-BB86-69DEF3DF3556}"/>
    <cellStyle name="Normal 66 3 3" xfId="2798" xr:uid="{AA0AE673-C8CD-430F-BAAA-9FCE7B131ADD}"/>
    <cellStyle name="Normal 66 3 4" xfId="2799" xr:uid="{59769CCF-18B2-4227-A1D4-BAB1FB431977}"/>
    <cellStyle name="Normal 66 4" xfId="2800" xr:uid="{09C2F6E5-32AF-4607-82B2-717AC8344D5C}"/>
    <cellStyle name="Normal 66 4 2" xfId="2801" xr:uid="{7C64BB15-11C2-4077-9AC2-084CC1623C4A}"/>
    <cellStyle name="Normal 66 4 3" xfId="2802" xr:uid="{72AF9839-5215-41E4-8F61-743123181740}"/>
    <cellStyle name="Normal 66 5" xfId="2803" xr:uid="{352E4D71-CD40-48F3-A040-8C8191B0614D}"/>
    <cellStyle name="Normal 66 6" xfId="2804" xr:uid="{21F82DC0-0DFD-4540-AD5C-2FA601E99E9B}"/>
    <cellStyle name="Normal 66_TB" xfId="2805" xr:uid="{55195222-441A-4120-BBDA-F2FE2631E2FA}"/>
    <cellStyle name="Normal 67" xfId="2806" xr:uid="{6D677805-AE07-4D9A-9753-340A8D9D298F}"/>
    <cellStyle name="Normal 67 2" xfId="2807" xr:uid="{E17D87C5-EB92-4684-B83C-5F1ACAEE3BB4}"/>
    <cellStyle name="Normal 67 2 2" xfId="2808" xr:uid="{483C3232-5B0C-4A90-9776-6D237000EEFE}"/>
    <cellStyle name="Normal 67 2 2 2" xfId="2809" xr:uid="{8E87AE46-9273-4E27-8F6A-FEAEF733591E}"/>
    <cellStyle name="Normal 67 2 2 2 2" xfId="2810" xr:uid="{810DFE5F-9427-4CEB-964B-CCA30487C81E}"/>
    <cellStyle name="Normal 67 2 2 2 3" xfId="2811" xr:uid="{9C86A1B8-F522-4C5B-A89A-BA3B07547CF5}"/>
    <cellStyle name="Normal 67 2 2 3" xfId="2812" xr:uid="{8D62F8F0-BA88-4407-89B9-F42FD0569F50}"/>
    <cellStyle name="Normal 67 2 2 4" xfId="2813" xr:uid="{B09E77BB-F602-4CA0-B597-A437986B55CD}"/>
    <cellStyle name="Normal 67 2 3" xfId="2814" xr:uid="{3BD029F7-872B-4E63-BBE7-EF4AC6B8E470}"/>
    <cellStyle name="Normal 67 2 3 2" xfId="2815" xr:uid="{AB4A5778-5A86-46C0-BD02-59337D93CB97}"/>
    <cellStyle name="Normal 67 2 3 3" xfId="2816" xr:uid="{D0C7AF03-0434-4B10-A476-A8FCF7CB302B}"/>
    <cellStyle name="Normal 67 2 4" xfId="2817" xr:uid="{58971485-8956-49CF-A529-81CA1951DD7D}"/>
    <cellStyle name="Normal 67 2 5" xfId="2818" xr:uid="{52904CE9-8BDE-48FC-9F41-CCA1A5802BEC}"/>
    <cellStyle name="Normal 67 2_TB" xfId="2819" xr:uid="{1072F004-588B-4550-A68A-ADEBD72749A9}"/>
    <cellStyle name="Normal 67 3" xfId="2820" xr:uid="{B7689236-9498-4834-B98D-C53C793B8AEF}"/>
    <cellStyle name="Normal 67 3 2" xfId="2821" xr:uid="{328823A6-ED36-4EF2-AC2D-C3F74D483DC3}"/>
    <cellStyle name="Normal 67 3 2 2" xfId="2822" xr:uid="{CB4E9474-AC14-4BF5-98BB-9727D5816F4E}"/>
    <cellStyle name="Normal 67 3 2 3" xfId="2823" xr:uid="{0EEB814F-45B4-4101-834F-0F5DE2723E0B}"/>
    <cellStyle name="Normal 67 3 3" xfId="2824" xr:uid="{35B3F171-D638-471F-8396-3EADE4CC4B47}"/>
    <cellStyle name="Normal 67 3 4" xfId="2825" xr:uid="{7C1CF27A-5292-437E-BB3D-B13E1AB755E0}"/>
    <cellStyle name="Normal 67 4" xfId="2826" xr:uid="{4BDDAE7D-0940-4B6D-B3B3-2D705AA54846}"/>
    <cellStyle name="Normal 67 4 2" xfId="2827" xr:uid="{41787569-13A9-4BF4-8197-796FE987E7B3}"/>
    <cellStyle name="Normal 67 4 3" xfId="2828" xr:uid="{3944A963-AA40-45CF-BBA6-2575779A8430}"/>
    <cellStyle name="Normal 67 5" xfId="2829" xr:uid="{62839856-9A87-4E43-A873-E0784BF89E99}"/>
    <cellStyle name="Normal 67 6" xfId="2830" xr:uid="{6A71AA93-4B76-4DB1-A33F-3932D6E5061C}"/>
    <cellStyle name="Normal 67_TB" xfId="2831" xr:uid="{E335E3E8-84FC-453C-9866-CD7E52A005AD}"/>
    <cellStyle name="Normal 68" xfId="2832" xr:uid="{DC7766B5-AE6E-4C1D-828F-EA5860EA9798}"/>
    <cellStyle name="Normal 68 2" xfId="2833" xr:uid="{55A23E29-594D-4878-A070-BF6792AAD2B1}"/>
    <cellStyle name="Normal 68 2 2" xfId="2834" xr:uid="{E8989478-66B2-49A5-8C6D-580D12AACE05}"/>
    <cellStyle name="Normal 68 2 2 2" xfId="2835" xr:uid="{90B1FB66-DB5A-4AFA-8E01-53214C16CC06}"/>
    <cellStyle name="Normal 68 2 2 2 2" xfId="2836" xr:uid="{1B579FFF-247D-46AA-816F-2DB7538C54C7}"/>
    <cellStyle name="Normal 68 2 2 2 3" xfId="2837" xr:uid="{C5FA9E17-32EA-407F-AC8B-99D8C1C1FD0A}"/>
    <cellStyle name="Normal 68 2 2 3" xfId="2838" xr:uid="{5110F8B9-84F4-44DC-9446-EAF7D08059F8}"/>
    <cellStyle name="Normal 68 2 2 4" xfId="2839" xr:uid="{D097F1C9-BE73-48F1-8EBF-1C41D5AA6714}"/>
    <cellStyle name="Normal 68 2 3" xfId="2840" xr:uid="{DDF95DBD-9787-4AD6-BF9E-F2248B8F6C1F}"/>
    <cellStyle name="Normal 68 2 3 2" xfId="2841" xr:uid="{476E47F8-A8A6-4E55-A28A-F32CFAAE42EB}"/>
    <cellStyle name="Normal 68 2 3 3" xfId="2842" xr:uid="{1FD6E52C-CF40-4A76-B00D-4039E4971242}"/>
    <cellStyle name="Normal 68 2 4" xfId="2843" xr:uid="{AF68A6E0-5905-4B2D-A9E0-A918F8296F01}"/>
    <cellStyle name="Normal 68 2 5" xfId="2844" xr:uid="{216D8F75-7F9B-4275-97CF-B83F2A943820}"/>
    <cellStyle name="Normal 68 2_TB" xfId="2845" xr:uid="{F8EE6A96-C017-499B-BB0F-F3472F8CCD74}"/>
    <cellStyle name="Normal 68 3" xfId="2846" xr:uid="{1102138A-1DB3-47EF-BA7A-76531227E9BC}"/>
    <cellStyle name="Normal 68 3 2" xfId="2847" xr:uid="{9E3E9127-43EA-4710-ADEB-FB46CF1CA8AD}"/>
    <cellStyle name="Normal 68 3 2 2" xfId="2848" xr:uid="{7FA019D5-3359-4B32-A8BD-E5F06FF199E6}"/>
    <cellStyle name="Normal 68 3 2 3" xfId="2849" xr:uid="{04B4D621-E4CC-454E-84C9-3BD535311942}"/>
    <cellStyle name="Normal 68 3 3" xfId="2850" xr:uid="{687922A5-95B3-4792-A9E1-1F29153FCA15}"/>
    <cellStyle name="Normal 68 3 4" xfId="2851" xr:uid="{95775E51-3F6E-46ED-95B1-1707BE8C805A}"/>
    <cellStyle name="Normal 68 4" xfId="2852" xr:uid="{85339AD2-3612-4C7C-84BD-B888C23247A4}"/>
    <cellStyle name="Normal 68 4 2" xfId="2853" xr:uid="{9B1302FF-00E8-4350-B085-7AD465F3279A}"/>
    <cellStyle name="Normal 68 4 3" xfId="2854" xr:uid="{1D5F1AC0-0193-49EC-9840-64F3CE938336}"/>
    <cellStyle name="Normal 68 5" xfId="2855" xr:uid="{880287EF-880B-4A46-BACD-63720DDAB4ED}"/>
    <cellStyle name="Normal 68 6" xfId="2856" xr:uid="{C096761B-624A-4363-85F7-2797B667401B}"/>
    <cellStyle name="Normal 68_TB" xfId="2857" xr:uid="{24F35E5F-2330-4A88-BFEA-2701D85FC051}"/>
    <cellStyle name="Normal 69" xfId="2858" xr:uid="{4E48EF2C-DF25-4275-AA97-B5E0621F2F62}"/>
    <cellStyle name="Normal 69 2" xfId="2859" xr:uid="{45B57E6E-A0CC-438A-8009-E4031CFC98D9}"/>
    <cellStyle name="Normal 69 2 2" xfId="2860" xr:uid="{28BE918F-4EF4-489E-AC70-41834555A057}"/>
    <cellStyle name="Normal 69 2 2 2" xfId="2861" xr:uid="{9CB36192-D334-422D-BD5F-47172647104D}"/>
    <cellStyle name="Normal 69 2 2 2 2" xfId="2862" xr:uid="{CA739EF4-4A3D-4790-BE14-EE0CDF2FEC77}"/>
    <cellStyle name="Normal 69 2 2 2 3" xfId="2863" xr:uid="{9614767E-960F-40F8-9849-630FE585B37A}"/>
    <cellStyle name="Normal 69 2 2 3" xfId="2864" xr:uid="{E771AB04-B927-4FBD-A3AC-668951F9D620}"/>
    <cellStyle name="Normal 69 2 2 4" xfId="2865" xr:uid="{93FAA237-4A32-4B27-AF61-E442C3D7CAFE}"/>
    <cellStyle name="Normal 69 2 3" xfId="2866" xr:uid="{58930CAF-9484-42B6-B73F-354729F865BE}"/>
    <cellStyle name="Normal 69 2 3 2" xfId="2867" xr:uid="{A2C0DE4B-A6D2-42F0-A1D1-D6664527A90E}"/>
    <cellStyle name="Normal 69 2 3 3" xfId="2868" xr:uid="{BA8027C6-AD4D-4CF7-915B-CA3C88BA5950}"/>
    <cellStyle name="Normal 69 2 4" xfId="2869" xr:uid="{2692D76D-A410-40AC-8F3B-35A353163B0E}"/>
    <cellStyle name="Normal 69 2 5" xfId="2870" xr:uid="{77DC8E02-14C6-420E-867A-873060217E24}"/>
    <cellStyle name="Normal 69 2_TB" xfId="2871" xr:uid="{A778A794-0F0E-4B4E-884F-159C710A72B5}"/>
    <cellStyle name="Normal 69 3" xfId="2872" xr:uid="{D82E9E42-3E55-4504-9211-E285675B0B95}"/>
    <cellStyle name="Normal 69 3 2" xfId="2873" xr:uid="{8D9BF884-B970-42A6-8B28-9DE58FD82215}"/>
    <cellStyle name="Normal 69 3 2 2" xfId="2874" xr:uid="{D1073818-9A32-4A0A-8121-555DE569B814}"/>
    <cellStyle name="Normal 69 3 2 3" xfId="2875" xr:uid="{CC3B5B71-56CE-49A1-B10B-30708B854F54}"/>
    <cellStyle name="Normal 69 3 3" xfId="2876" xr:uid="{6992C339-CE77-49FD-BADC-1E8BFB55B1E4}"/>
    <cellStyle name="Normal 69 3 4" xfId="2877" xr:uid="{766BC300-9E65-4D32-A614-1FE8191867A0}"/>
    <cellStyle name="Normal 69 4" xfId="2878" xr:uid="{CF72639D-4C03-4DC2-A88A-4E6BABBB4CBD}"/>
    <cellStyle name="Normal 69 4 2" xfId="2879" xr:uid="{0D9CE81E-BDBE-44EB-A4C2-58E40D57FF5E}"/>
    <cellStyle name="Normal 69 4 3" xfId="2880" xr:uid="{73625213-9073-414C-BF68-10EC5CE4428C}"/>
    <cellStyle name="Normal 69 5" xfId="2881" xr:uid="{65041F48-238E-4D28-82C0-F8F31CCBAFE4}"/>
    <cellStyle name="Normal 69 6" xfId="2882" xr:uid="{D8D7A25D-08E9-4412-A495-6C4DC69EF18E}"/>
    <cellStyle name="Normal 69_TB" xfId="2883" xr:uid="{F9CB82D6-7A73-4610-BE57-18C67A16D30B}"/>
    <cellStyle name="Normal 7" xfId="2884" xr:uid="{C0CDF1C0-BBF8-46D6-9E50-C46B3A3400F3}"/>
    <cellStyle name="Normal 7 2" xfId="2885" xr:uid="{287C6209-589E-4189-8419-C319D103BFFF}"/>
    <cellStyle name="Normal 7 2 2" xfId="2886" xr:uid="{B154DF57-798B-46F5-9B5D-443E04D08D4F}"/>
    <cellStyle name="Normal 7 2 2 2" xfId="2887" xr:uid="{64556769-E902-41CA-9C71-0DF522FE4A50}"/>
    <cellStyle name="Normal 7 2 2 2 2" xfId="2888" xr:uid="{19C039DF-A0CA-4A5F-B1AF-281F2CD7CD38}"/>
    <cellStyle name="Normal 7 2 2 2 2 2" xfId="2889" xr:uid="{828A8E74-45F3-4958-98D8-C4470B761415}"/>
    <cellStyle name="Normal 7 2 2 2 2 2 2" xfId="2890" xr:uid="{1DE649CC-87C4-423F-891D-A869542A83A5}"/>
    <cellStyle name="Normal 7 2 2 2 2 3" xfId="2891" xr:uid="{6E1F1A11-D72A-4451-8EED-6031BDB56DBF}"/>
    <cellStyle name="Normal 7 2 2 2 3" xfId="2892" xr:uid="{D648E576-C22A-4E98-BD29-8A8BF30D6815}"/>
    <cellStyle name="Normal 7 2 2 2 3 2" xfId="2893" xr:uid="{59B1947C-870A-4D58-BC36-74D6823836B3}"/>
    <cellStyle name="Normal 7 2 2 2 4" xfId="2894" xr:uid="{6FF2FE1F-38D0-4909-857B-C7B5096E6C1F}"/>
    <cellStyle name="Normal 7 2 2 3" xfId="2895" xr:uid="{1817FE1B-D195-43E9-87E9-ABD178C2A3FF}"/>
    <cellStyle name="Normal 7 2 2 3 2" xfId="2896" xr:uid="{3F6361AC-43C8-4BC4-9881-F16CA18793CF}"/>
    <cellStyle name="Normal 7 2 2 3 2 2" xfId="2897" xr:uid="{30AD1D44-EC4B-4024-8DD5-D250A309FEA8}"/>
    <cellStyle name="Normal 7 2 2 3 2 2 2" xfId="2898" xr:uid="{A08A90A7-66F9-4A08-B63B-D2E61CE48C47}"/>
    <cellStyle name="Normal 7 2 2 3 2 3" xfId="2899" xr:uid="{963C4E32-5F7F-47CA-AD20-B73BDC4354EF}"/>
    <cellStyle name="Normal 7 2 2 3 3" xfId="2900" xr:uid="{04E3653C-AA68-4D39-8F46-CC4FA2811626}"/>
    <cellStyle name="Normal 7 2 2 3 3 2" xfId="2901" xr:uid="{1DD84C28-F209-48E5-8445-AC95624F498B}"/>
    <cellStyle name="Normal 7 2 2 3 4" xfId="2902" xr:uid="{832564B0-8F8E-4439-B9B3-9807DAD5E94B}"/>
    <cellStyle name="Normal 7 2 2 4" xfId="2903" xr:uid="{EFB61073-3550-4F6F-8FFA-CE463FAD9191}"/>
    <cellStyle name="Normal 7 2 2 4 2" xfId="2904" xr:uid="{F14AB8C4-A374-4C2B-9562-3757208BAF3D}"/>
    <cellStyle name="Normal 7 2 2 4 2 2" xfId="2905" xr:uid="{D03DCBEE-C090-45E5-83B5-F789D6AFD890}"/>
    <cellStyle name="Normal 7 2 2 4 3" xfId="2906" xr:uid="{A772B152-F4DD-4490-9CBB-7366BCDAD139}"/>
    <cellStyle name="Normal 7 2 2 5" xfId="2907" xr:uid="{DFAFD658-4EBF-4B29-B403-793C2D47F48A}"/>
    <cellStyle name="Normal 7 2 2 5 2" xfId="2908" xr:uid="{28501073-7FC2-4BC6-80A9-3DC6E2BB8B98}"/>
    <cellStyle name="Normal 7 2 2 6" xfId="2909" xr:uid="{AB56280E-9BFC-4D52-AED6-29D104FEA33D}"/>
    <cellStyle name="Normal 7 3" xfId="2910" xr:uid="{5E9F42E3-ACB2-49EC-AD46-5B4068F5899C}"/>
    <cellStyle name="Normal 7 3 2" xfId="2911" xr:uid="{1112D1B8-6EDF-428B-B983-DA2EA2F9FE92}"/>
    <cellStyle name="Normal 7 3 2 2" xfId="2912" xr:uid="{9B166238-5029-44A8-8E8E-224D65A7FCF1}"/>
    <cellStyle name="Normal 7 3 2 2 2" xfId="2913" xr:uid="{98903CB1-7CB9-44E6-AAD8-EFC238068280}"/>
    <cellStyle name="Normal 7 3 2 2 2 2" xfId="2914" xr:uid="{2EF48B72-9812-4173-88A4-17D247F7E95D}"/>
    <cellStyle name="Normal 7 3 2 2 3" xfId="2915" xr:uid="{5D7FCE28-0E70-4AAF-9AD8-8FDF086D9318}"/>
    <cellStyle name="Normal 7 3 2 2_TB" xfId="2916" xr:uid="{966637A4-8A95-4709-B76C-A6A5F9054A27}"/>
    <cellStyle name="Normal 7 3 2 3" xfId="2917" xr:uid="{BB04A37E-C2FA-4403-85CC-1CDDD48DD4FA}"/>
    <cellStyle name="Normal 7 3 2 3 2" xfId="2918" xr:uid="{F3939D1E-26D2-4CA7-9192-438FF1B692DF}"/>
    <cellStyle name="Normal 7 3 2 4" xfId="2919" xr:uid="{95BBE340-CEF5-480D-9C3C-994D4BFB1FA1}"/>
    <cellStyle name="Normal 7 3 2_TB" xfId="2920" xr:uid="{DE0664C3-59FD-4D2B-9F7D-845C30C6D98A}"/>
    <cellStyle name="Normal 7 3 3" xfId="2921" xr:uid="{8577EF67-2179-447A-A342-F63136F6FC22}"/>
    <cellStyle name="Normal 7 3 3 2" xfId="2922" xr:uid="{8B0A3D5E-8FD3-4149-9843-13C31ED26374}"/>
    <cellStyle name="Normal 7 3 3 2 2" xfId="2923" xr:uid="{387CEE62-F8AA-4EC2-9F7E-176529AF69BE}"/>
    <cellStyle name="Normal 7 3 3 2 2 2" xfId="2924" xr:uid="{8B07E1E3-303D-4A5A-861A-AB5C98CE4A82}"/>
    <cellStyle name="Normal 7 3 3 2 3" xfId="2925" xr:uid="{3A4CFA52-0E6E-4992-8C2E-8C4E4838C862}"/>
    <cellStyle name="Normal 7 3 3 3" xfId="2926" xr:uid="{F527C825-4C18-4FD1-8B6E-BC1F0DB4B658}"/>
    <cellStyle name="Normal 7 3 3 3 2" xfId="2927" xr:uid="{81C714A7-0D99-4290-A79B-9C607B104576}"/>
    <cellStyle name="Normal 7 3 3 4" xfId="2928" xr:uid="{7A3732FB-C4BB-43E0-9A30-1468A7C1C542}"/>
    <cellStyle name="Normal 7 3 3_TB" xfId="2929" xr:uid="{2CDD5B08-00F7-487A-88DE-DC350746C3BE}"/>
    <cellStyle name="Normal 7 3 4" xfId="2930" xr:uid="{D2DD0D6D-1E75-4057-BAE2-0FE453129450}"/>
    <cellStyle name="Normal 7 3 4 2" xfId="2931" xr:uid="{67C32318-BFE1-4BC8-B58E-4A06968284F5}"/>
    <cellStyle name="Normal 7 3 4 2 2" xfId="2932" xr:uid="{CF583A28-D23A-4B1F-B756-9CFA24EB4A15}"/>
    <cellStyle name="Normal 7 3 4 3" xfId="2933" xr:uid="{F3BE2020-8229-49E0-8A07-47521FF1B30F}"/>
    <cellStyle name="Normal 7 3 5" xfId="2934" xr:uid="{276545D5-FD85-4330-AFA7-4032251C4F5E}"/>
    <cellStyle name="Normal 7 3 5 2" xfId="2935" xr:uid="{CB756673-A82D-4C06-B06D-B60C8F5A8B3F}"/>
    <cellStyle name="Normal 7 3 6" xfId="2936" xr:uid="{A6CCAADA-1397-42A3-822F-7BB56D0B5C82}"/>
    <cellStyle name="Normal 7 3_TB" xfId="2937" xr:uid="{A6F98DA8-6372-4604-86A9-D9BE1D517E70}"/>
    <cellStyle name="Normal 7 4" xfId="2938" xr:uid="{3A2B4384-9D6D-4C4F-A0B5-3D5128B23BC3}"/>
    <cellStyle name="Normal 7 5" xfId="2939" xr:uid="{E1A95A4B-D7EA-4F84-B445-0F8A15B595DC}"/>
    <cellStyle name="Normal 7 5 2" xfId="2940" xr:uid="{93D5F41B-0DCD-4B89-8C2C-36560D2C46E1}"/>
    <cellStyle name="Normal 7 5 2 2" xfId="2941" xr:uid="{EB2F4051-FAD2-4140-BE03-6EB9FEBC49E1}"/>
    <cellStyle name="Normal 7 5 2 2 2" xfId="2942" xr:uid="{058BF0D1-D789-4044-B609-82BE3426F43B}"/>
    <cellStyle name="Normal 7 5 2 2 2 2" xfId="2943" xr:uid="{439231CC-1469-41B8-BE35-8B1607B3C4C1}"/>
    <cellStyle name="Normal 7 5 2 2 2 3" xfId="2944" xr:uid="{2A0A3518-7EC2-4BB2-B29C-755ADD1FA216}"/>
    <cellStyle name="Normal 7 5 2 2 3" xfId="2945" xr:uid="{2A3FCF20-75D0-456E-BB17-3A6E10764409}"/>
    <cellStyle name="Normal 7 5 2 2 4" xfId="2946" xr:uid="{A342F0E4-37E1-4F69-A80F-69843589C102}"/>
    <cellStyle name="Normal 7 5 2 3" xfId="2947" xr:uid="{9AA41420-0CC2-4A8F-86C3-00766F851C5F}"/>
    <cellStyle name="Normal 7 5 2 3 2" xfId="2948" xr:uid="{99469B9B-1EB5-4134-8D61-F49333B6CE04}"/>
    <cellStyle name="Normal 7 5 2 3 3" xfId="2949" xr:uid="{B2C1DB96-89F1-47C3-B7C9-7DBD19B2ECAD}"/>
    <cellStyle name="Normal 7 5 2 4" xfId="2950" xr:uid="{FB58BC37-0CE3-4DE8-AC87-2AD5FABF23C8}"/>
    <cellStyle name="Normal 7 5 2 5" xfId="2951" xr:uid="{A4EE157F-35EA-4EEA-A643-BEC7B451B281}"/>
    <cellStyle name="Normal 7 5 2_TB" xfId="2952" xr:uid="{FD084A02-8473-42E1-A28F-541401B7FABE}"/>
    <cellStyle name="Normal 7 5 3" xfId="2953" xr:uid="{58BD04E4-FF55-42BE-B86D-2F6FE6B47B37}"/>
    <cellStyle name="Normal 7 5 3 2" xfId="2954" xr:uid="{8C10F581-BB96-4832-BC9E-EC346B671E4A}"/>
    <cellStyle name="Normal 7 5 3 2 2" xfId="2955" xr:uid="{7D10A2A2-1487-4239-99B0-47E156CA2E14}"/>
    <cellStyle name="Normal 7 5 3 2 3" xfId="2956" xr:uid="{4D46FF34-50B1-463C-A8A5-04BA00FE0DF3}"/>
    <cellStyle name="Normal 7 5 3 3" xfId="2957" xr:uid="{9F23BC7E-DEFB-499E-8AA6-3F4EBF05FE23}"/>
    <cellStyle name="Normal 7 5 3 4" xfId="2958" xr:uid="{CF0C62F5-4FEB-449E-A38E-8DF02868CA9A}"/>
    <cellStyle name="Normal 7 5 4" xfId="2959" xr:uid="{2C83D36F-1455-476A-B3FF-84A55FDE539B}"/>
    <cellStyle name="Normal 7 5 4 2" xfId="2960" xr:uid="{F426976A-D4D0-47EB-B5C7-CE91611A3286}"/>
    <cellStyle name="Normal 7 5 4 3" xfId="2961" xr:uid="{FFE8A049-233F-4DE7-A98C-2083279A690F}"/>
    <cellStyle name="Normal 7 5 5" xfId="2962" xr:uid="{EF7C66D7-02B0-468B-9A96-0AECF7168954}"/>
    <cellStyle name="Normal 7 5 6" xfId="2963" xr:uid="{E20E5777-0EBD-4871-BF2D-E476D0633E28}"/>
    <cellStyle name="Normal 7 5_TB" xfId="2964" xr:uid="{2BAC400D-29F7-4B12-894A-EFDA942DA8C1}"/>
    <cellStyle name="Normal 7 6" xfId="2965" xr:uid="{9383695B-12F9-41C5-B701-F06801D12E46}"/>
    <cellStyle name="Normal 7 6 2" xfId="2966" xr:uid="{AF1FFB43-FC7A-4D0B-94DE-438B3311F710}"/>
    <cellStyle name="Normal 7 6 2 2" xfId="2967" xr:uid="{AAF8B35E-3673-4BE2-B3F2-B5CE9209BA9E}"/>
    <cellStyle name="Normal 7 6 2 2 2" xfId="2968" xr:uid="{197222D8-ACC1-49C8-9D91-AD6D2DF574AD}"/>
    <cellStyle name="Normal 7 6 2 2 3" xfId="2969" xr:uid="{07CB7B70-F3C8-4382-BFD4-6C5B93DA0AE4}"/>
    <cellStyle name="Normal 7 6 2 3" xfId="2970" xr:uid="{4A9BCCD3-7A47-46E5-8EA8-4C76EA342627}"/>
    <cellStyle name="Normal 7 6 2 4" xfId="2971" xr:uid="{B57EF1E1-516C-401A-8DEF-92CCA4F6706A}"/>
    <cellStyle name="Normal 7 6 3" xfId="2972" xr:uid="{4B4E67E4-5B47-4995-83EA-36E078B460F0}"/>
    <cellStyle name="Normal 7 6 3 2" xfId="2973" xr:uid="{E46ED472-447A-49D0-8DF9-506B90442843}"/>
    <cellStyle name="Normal 7 6 3 3" xfId="2974" xr:uid="{C01257DB-D04A-49E9-82D0-4122C6DA1649}"/>
    <cellStyle name="Normal 7 6 4" xfId="2975" xr:uid="{7CE089E6-E9BC-4F70-ADE0-BD59EC6AE387}"/>
    <cellStyle name="Normal 7 6 5" xfId="2976" xr:uid="{884EC2DD-2605-42A6-BC1C-0EDC75F3D5C9}"/>
    <cellStyle name="Normal 7 6_TB" xfId="2977" xr:uid="{92724A3F-7CE6-400B-91A8-B1A742359272}"/>
    <cellStyle name="Normal 7 7" xfId="2978" xr:uid="{3F53C511-1706-4737-9F9D-8D190506E427}"/>
    <cellStyle name="Normal 7 7 2" xfId="2979" xr:uid="{76F1E539-B966-47A1-A9DF-6F27E516F1DB}"/>
    <cellStyle name="Normal 7 7 2 2" xfId="2980" xr:uid="{1AC37945-D12D-4091-A375-7CF0C6356CF3}"/>
    <cellStyle name="Normal 7 7 2 2 2" xfId="2981" xr:uid="{AC541C69-1B16-476E-8B7B-D985354E62C8}"/>
    <cellStyle name="Normal 7 7 2 2 3" xfId="2982" xr:uid="{07D13D83-56A6-4FFA-8577-0B659E958E6C}"/>
    <cellStyle name="Normal 7 7 2 3" xfId="2983" xr:uid="{A6A8A30B-60E6-4D4A-9E7B-4962EB9B164D}"/>
    <cellStyle name="Normal 7 7 2 4" xfId="2984" xr:uid="{84ADA0DB-047A-419A-9F54-A8B50BE11E98}"/>
    <cellStyle name="Normal 7 7 3" xfId="2985" xr:uid="{C2E85F55-5E9A-4B92-BC9F-6B873C6C2B4B}"/>
    <cellStyle name="Normal 7 7 3 2" xfId="2986" xr:uid="{ACCA9FBC-3324-4A65-AF77-4D49685A0C14}"/>
    <cellStyle name="Normal 7 7 3 3" xfId="2987" xr:uid="{721B1143-3DE2-4A5A-A5CF-D5097B1FA01C}"/>
    <cellStyle name="Normal 7 7 4" xfId="2988" xr:uid="{86A0A8EE-70C5-4F8C-80F1-375A8F9EE778}"/>
    <cellStyle name="Normal 7 7 5" xfId="2989" xr:uid="{3CFAEDFD-DB4D-4F04-8090-E229DD4B79E9}"/>
    <cellStyle name="Normal 7 7_TB" xfId="2990" xr:uid="{D7DF3B4A-D432-4F08-A31D-1DC1D1D4D8D2}"/>
    <cellStyle name="Normal 7 8" xfId="2991" xr:uid="{4E127A6A-4EE7-41C3-8168-DA5F9AF9C7F3}"/>
    <cellStyle name="Normal 7 8 2" xfId="2992" xr:uid="{4470F008-9F4A-4B72-894C-3AEF54B4B77C}"/>
    <cellStyle name="Normal 7 8 2 2" xfId="2993" xr:uid="{F02B1AD0-CDC8-47F4-97EA-413C4E2DF311}"/>
    <cellStyle name="Normal 7 8 2 3" xfId="2994" xr:uid="{4DFAC666-DCB3-48FD-A7B3-7C7665301972}"/>
    <cellStyle name="Normal 7 8 3" xfId="2995" xr:uid="{21BC031A-63BC-4D60-8F03-08AE16C566C0}"/>
    <cellStyle name="Normal 7 8 4" xfId="2996" xr:uid="{CCFF8DE4-054E-48CD-8503-78737A6D72EC}"/>
    <cellStyle name="Normal 7 9" xfId="2997" xr:uid="{344DC5EA-D45F-4341-B137-32897FF55129}"/>
    <cellStyle name="Normal 7 9 2" xfId="2998" xr:uid="{1B3F1C38-6E30-4D3F-B0EA-D7E0C40A711B}"/>
    <cellStyle name="Normal 7 9 3" xfId="2999" xr:uid="{B958660D-E046-4217-8151-5813A16DB280}"/>
    <cellStyle name="Normal 7_TB" xfId="3000" xr:uid="{E89877C2-BB80-45E9-AF16-43F0DEAC1D85}"/>
    <cellStyle name="Normal 70" xfId="3001" xr:uid="{6FE0889A-49EF-47ED-83D3-6528C802BF94}"/>
    <cellStyle name="Normal 70 2" xfId="3002" xr:uid="{FCA8D82B-7A19-4123-AA88-763ED5D3DDA5}"/>
    <cellStyle name="Normal 70 2 2" xfId="3003" xr:uid="{33EF5E13-FF93-41A6-91BB-D7A7801CD0CF}"/>
    <cellStyle name="Normal 70 2 2 2" xfId="3004" xr:uid="{42FA567D-F090-4E42-A3A0-3EE1550BDDF5}"/>
    <cellStyle name="Normal 70 2 2 2 2" xfId="3005" xr:uid="{CD3EFFC8-CF63-443C-BE27-84E07536A191}"/>
    <cellStyle name="Normal 70 2 2 2 3" xfId="3006" xr:uid="{6BEF7967-0313-44B1-982E-50017710B3D1}"/>
    <cellStyle name="Normal 70 2 2 3" xfId="3007" xr:uid="{6A67C9F4-BEBF-4E98-914D-6F17A6BA902B}"/>
    <cellStyle name="Normal 70 2 2 4" xfId="3008" xr:uid="{3E52B887-FFD5-41B2-9EAE-DE3380A68033}"/>
    <cellStyle name="Normal 70 2 3" xfId="3009" xr:uid="{A3D7F215-93D4-4809-8A06-538BB4D6B0D9}"/>
    <cellStyle name="Normal 70 2 3 2" xfId="3010" xr:uid="{5A1A1DC2-99AE-485B-A6F5-407CAC2101D1}"/>
    <cellStyle name="Normal 70 2 3 3" xfId="3011" xr:uid="{D9759446-5990-461C-8B84-538B4F6B34B0}"/>
    <cellStyle name="Normal 70 2 4" xfId="3012" xr:uid="{BC3838FD-D1E0-46AA-BB42-80F986DB0171}"/>
    <cellStyle name="Normal 70 2 5" xfId="3013" xr:uid="{850710CC-7E17-41E0-98C9-CF6118CC0A06}"/>
    <cellStyle name="Normal 70 2_TB" xfId="3014" xr:uid="{CF81FC7A-2E73-428A-857E-944E2FE56ACB}"/>
    <cellStyle name="Normal 70 3" xfId="3015" xr:uid="{92F0F6D3-2AFA-471C-A9C5-607E4F6C07F6}"/>
    <cellStyle name="Normal 70 3 2" xfId="3016" xr:uid="{6030856A-CDCC-441F-97DC-30963B5A2A3C}"/>
    <cellStyle name="Normal 70 3 2 2" xfId="3017" xr:uid="{7C5282DD-1143-4661-97B9-130AA68AAE3A}"/>
    <cellStyle name="Normal 70 3 2 3" xfId="3018" xr:uid="{F5EF6F13-A248-45C0-A36E-114C0AAB94CE}"/>
    <cellStyle name="Normal 70 3 3" xfId="3019" xr:uid="{271B7C4C-4F93-494B-B9E8-98D32B9C2082}"/>
    <cellStyle name="Normal 70 3 4" xfId="3020" xr:uid="{2D804CD4-902D-4FDA-A518-208ADE7E6321}"/>
    <cellStyle name="Normal 70 4" xfId="3021" xr:uid="{F5D21AE8-CE3F-4B9D-8987-D0801150A737}"/>
    <cellStyle name="Normal 70 4 2" xfId="3022" xr:uid="{F43C18A1-AD29-49FA-9891-F33D4E1E4810}"/>
    <cellStyle name="Normal 70 4 3" xfId="3023" xr:uid="{84DDFCBA-D7F9-460F-BD41-77225624E648}"/>
    <cellStyle name="Normal 70 5" xfId="3024" xr:uid="{DD9C96BE-75F2-4259-B9FF-235B2BCEA174}"/>
    <cellStyle name="Normal 70 6" xfId="3025" xr:uid="{5109CD90-9BB2-4D80-B414-860D179119B4}"/>
    <cellStyle name="Normal 70_TB" xfId="3026" xr:uid="{144B6969-5565-45C2-817A-6E313344DB11}"/>
    <cellStyle name="Normal 71" xfId="3027" xr:uid="{DE3A6D6D-24C5-418D-A3F9-2117CCED738A}"/>
    <cellStyle name="Normal 71 2" xfId="3028" xr:uid="{9E15BFC0-2869-4299-B434-ADD9B7C466F5}"/>
    <cellStyle name="Normal 71 2 2" xfId="3029" xr:uid="{1B9EDE7C-013B-477C-802B-423555FB92DF}"/>
    <cellStyle name="Normal 71 2 2 2" xfId="3030" xr:uid="{20F94E51-3665-4EE4-8C8A-436CFD4FEF83}"/>
    <cellStyle name="Normal 71 2 2 2 2" xfId="3031" xr:uid="{21FB7BD5-E12B-4222-9BDE-9C8D48852EAB}"/>
    <cellStyle name="Normal 71 2 2 2 3" xfId="3032" xr:uid="{29EC543E-3808-4C84-9303-914B21C7EA22}"/>
    <cellStyle name="Normal 71 2 2 3" xfId="3033" xr:uid="{60F922EF-9150-4BEB-A599-5B0C8FAD25E1}"/>
    <cellStyle name="Normal 71 2 2 4" xfId="3034" xr:uid="{A4630B52-CDFC-480C-B872-38C9F9F61960}"/>
    <cellStyle name="Normal 71 2 3" xfId="3035" xr:uid="{DAB6322D-DFAF-4A3A-A036-F2C37EBD7892}"/>
    <cellStyle name="Normal 71 2 3 2" xfId="3036" xr:uid="{7A09A898-07C1-4C2B-B637-EEAD3B033CA0}"/>
    <cellStyle name="Normal 71 2 3 3" xfId="3037" xr:uid="{55C81EE4-2E77-4E0E-87C0-5EFC3A284046}"/>
    <cellStyle name="Normal 71 2 4" xfId="3038" xr:uid="{AEB03780-74AE-4B6D-A971-37DD17D0F705}"/>
    <cellStyle name="Normal 71 2 5" xfId="3039" xr:uid="{B21A3EDA-B6F8-43FD-921C-C64E7E083811}"/>
    <cellStyle name="Normal 71 2_TB" xfId="3040" xr:uid="{E4A002E3-42F7-4C89-9782-5B388109B930}"/>
    <cellStyle name="Normal 71 3" xfId="3041" xr:uid="{0A5C50C9-B89B-45D1-90DA-086A2BD25778}"/>
    <cellStyle name="Normal 71 3 2" xfId="3042" xr:uid="{8CE9D161-4D09-40F1-ABFF-E4BBC7B1AF52}"/>
    <cellStyle name="Normal 71 3 2 2" xfId="3043" xr:uid="{226A4B89-8B52-46A7-914F-CF687B251A18}"/>
    <cellStyle name="Normal 71 3 2 3" xfId="3044" xr:uid="{7BAE5F33-DE76-4C74-9A6C-22074B56462E}"/>
    <cellStyle name="Normal 71 3 3" xfId="3045" xr:uid="{F9717BAF-8474-4DD5-B651-487A7240D9F1}"/>
    <cellStyle name="Normal 71 3 4" xfId="3046" xr:uid="{5E0C2DFA-B4B5-4F90-8E62-8F0ABE1A26DF}"/>
    <cellStyle name="Normal 71 4" xfId="3047" xr:uid="{55E56DB6-77C5-479A-9086-23BF863B583A}"/>
    <cellStyle name="Normal 71 4 2" xfId="3048" xr:uid="{7DA31CF1-3D64-4E1D-8AC9-2715BE95255E}"/>
    <cellStyle name="Normal 71 4 3" xfId="3049" xr:uid="{3B3986C5-4976-404E-8C14-23A7445C1AB4}"/>
    <cellStyle name="Normal 71 5" xfId="3050" xr:uid="{29D1C042-9FD1-4D0C-BC39-17D7A6560B08}"/>
    <cellStyle name="Normal 71 6" xfId="3051" xr:uid="{6FA45E35-C0D1-4C8F-8B1B-076EEB0EABC0}"/>
    <cellStyle name="Normal 71_TB" xfId="3052" xr:uid="{DE8A2FB5-5921-443E-A26F-B9FCE2C91CCC}"/>
    <cellStyle name="Normal 72" xfId="3053" xr:uid="{25E6DECB-E187-4AF8-86AC-D432D735D896}"/>
    <cellStyle name="Normal 72 2" xfId="3054" xr:uid="{F1BF0554-74D3-40D4-82B1-7DCFD249808B}"/>
    <cellStyle name="Normal 72 2 2" xfId="3055" xr:uid="{20F5E087-6C34-4618-8697-4AD80981B65E}"/>
    <cellStyle name="Normal 72 2 2 2" xfId="3056" xr:uid="{7D358DE0-141D-452A-939D-997C9FD8F4E4}"/>
    <cellStyle name="Normal 72 2 2 2 2" xfId="3057" xr:uid="{7F538909-7299-4205-9643-A882FDE1CAE2}"/>
    <cellStyle name="Normal 72 2 2 2 3" xfId="3058" xr:uid="{EBA1BB75-3C79-4624-9727-617AB7FC546A}"/>
    <cellStyle name="Normal 72 2 2 3" xfId="3059" xr:uid="{2087B9F7-F286-443B-8217-092737FA998C}"/>
    <cellStyle name="Normal 72 2 2 4" xfId="3060" xr:uid="{8B0EB7B9-E3C1-402F-B650-A80B45722B4F}"/>
    <cellStyle name="Normal 72 2 3" xfId="3061" xr:uid="{BA1BC8C2-F318-4377-96B2-E253465A722A}"/>
    <cellStyle name="Normal 72 2 3 2" xfId="3062" xr:uid="{3DF3C474-86EB-4A50-9BDA-611103937ECA}"/>
    <cellStyle name="Normal 72 2 3 3" xfId="3063" xr:uid="{7B386BB5-1974-494C-BEFE-E88E27249ADD}"/>
    <cellStyle name="Normal 72 2 4" xfId="3064" xr:uid="{98787E6F-D0FC-498F-92B8-3BD77C097C40}"/>
    <cellStyle name="Normal 72 2 5" xfId="3065" xr:uid="{61AF20F6-6083-40D5-9FB0-1B7F8BF82750}"/>
    <cellStyle name="Normal 72 2_TB" xfId="3066" xr:uid="{A2E75D92-1DEF-41BB-BF39-62EC3A57BE83}"/>
    <cellStyle name="Normal 72 3" xfId="3067" xr:uid="{602E0AE1-A0BE-47E6-AFF1-2BEB8771217F}"/>
    <cellStyle name="Normal 72 3 2" xfId="3068" xr:uid="{87794BC1-5F46-43C6-AFDF-D7C43F7A9E41}"/>
    <cellStyle name="Normal 72 3 2 2" xfId="3069" xr:uid="{4672ADA9-87FB-4015-A97E-5058D750AC1C}"/>
    <cellStyle name="Normal 72 3 2 3" xfId="3070" xr:uid="{FBCD7450-65F2-4A67-8CE6-EAA24FA180FA}"/>
    <cellStyle name="Normal 72 3 3" xfId="3071" xr:uid="{47AC74D8-84CB-4D98-9E6E-98962673F592}"/>
    <cellStyle name="Normal 72 3 4" xfId="3072" xr:uid="{0D9F3ECA-0EC7-4B85-8092-2F9ED277B0E1}"/>
    <cellStyle name="Normal 72 4" xfId="3073" xr:uid="{BEDE90EF-9EA5-41DF-BCD2-A173425E69CE}"/>
    <cellStyle name="Normal 72 4 2" xfId="3074" xr:uid="{121C78AD-D1AD-453F-8740-49757352828A}"/>
    <cellStyle name="Normal 72 4 3" xfId="3075" xr:uid="{B6DF6CCC-967D-4F4A-8ED3-9D37E99DA9F9}"/>
    <cellStyle name="Normal 72 5" xfId="3076" xr:uid="{6B3E2C6A-CCFD-4215-9918-C0BE91CB9BAE}"/>
    <cellStyle name="Normal 72 6" xfId="3077" xr:uid="{D20768D0-AB0C-41BC-8F0A-6E461CA03119}"/>
    <cellStyle name="Normal 72_TB" xfId="3078" xr:uid="{13C9FFBB-FFE3-4D91-B37C-2B5190C7214A}"/>
    <cellStyle name="Normal 73" xfId="3079" xr:uid="{E208D9CB-BC1D-468A-B3F4-8704F9690ED9}"/>
    <cellStyle name="Normal 73 2" xfId="3080" xr:uid="{42A89D49-BA87-4F9F-9CFD-8E356DDB50A6}"/>
    <cellStyle name="Normal 73 2 2" xfId="3081" xr:uid="{FFCFA6ED-AB75-497E-90FD-1174DED33D78}"/>
    <cellStyle name="Normal 73 2 2 2" xfId="3082" xr:uid="{B0724818-EF23-4699-930B-009F599601B8}"/>
    <cellStyle name="Normal 73 2 2 2 2" xfId="3083" xr:uid="{2FBFD01A-063D-429D-9ED9-839460D75F8D}"/>
    <cellStyle name="Normal 73 2 2 2 3" xfId="3084" xr:uid="{5C7BCAE5-8DF2-43F4-A312-8478CA6F5F6C}"/>
    <cellStyle name="Normal 73 2 2 3" xfId="3085" xr:uid="{48897910-184A-4DD1-AA8D-A0B92E47952B}"/>
    <cellStyle name="Normal 73 2 2 4" xfId="3086" xr:uid="{6EC7D517-45C1-40B5-9279-7F511434B16C}"/>
    <cellStyle name="Normal 73 2 3" xfId="3087" xr:uid="{DFE90586-3078-457B-8E7D-7163673F001D}"/>
    <cellStyle name="Normal 73 2 3 2" xfId="3088" xr:uid="{94674778-6530-4498-9ACC-56BDD1B72FBF}"/>
    <cellStyle name="Normal 73 2 3 3" xfId="3089" xr:uid="{BDB9ECB5-C930-4B15-88FA-AE6696A4A943}"/>
    <cellStyle name="Normal 73 2 4" xfId="3090" xr:uid="{FA77528A-EF05-4156-A1E0-616A5725CB5D}"/>
    <cellStyle name="Normal 73 2 5" xfId="3091" xr:uid="{0B4FF955-1543-47C8-ABB6-9D656A739D4A}"/>
    <cellStyle name="Normal 73 2_TB" xfId="3092" xr:uid="{AF54DF8C-371D-4D07-BDEF-64C0C7C007DD}"/>
    <cellStyle name="Normal 73 3" xfId="3093" xr:uid="{D5E5F003-CDF7-43DB-BFDF-13B6C03C0FB6}"/>
    <cellStyle name="Normal 73 3 2" xfId="3094" xr:uid="{0C0209FD-C31B-4B29-AA99-873E8610741A}"/>
    <cellStyle name="Normal 73 3 2 2" xfId="3095" xr:uid="{89CD5652-B9BB-44AF-879F-B75C9FB98B4C}"/>
    <cellStyle name="Normal 73 3 2 3" xfId="3096" xr:uid="{38F80D54-FE4F-4870-9BC4-15505C97489F}"/>
    <cellStyle name="Normal 73 3 3" xfId="3097" xr:uid="{EA7261F3-D0A6-461C-A316-059A298C6582}"/>
    <cellStyle name="Normal 73 3 4" xfId="3098" xr:uid="{72DE914E-80BE-4158-812B-A90DF8C5C118}"/>
    <cellStyle name="Normal 73 4" xfId="3099" xr:uid="{11C4DD6F-E012-4620-AB39-AA52828A26C1}"/>
    <cellStyle name="Normal 73 4 2" xfId="3100" xr:uid="{BA8C79DC-2E1F-4413-AA63-D6F426B4591C}"/>
    <cellStyle name="Normal 73 4 3" xfId="3101" xr:uid="{BBAA73BB-D0C0-4EDF-891C-7F79B6B67BF4}"/>
    <cellStyle name="Normal 73 5" xfId="3102" xr:uid="{6C2A04DA-AA34-44E6-9D62-28C1EA681C2B}"/>
    <cellStyle name="Normal 73 6" xfId="3103" xr:uid="{5FBDEB8C-2CEE-4B5A-A26D-7B5C35DB3F2B}"/>
    <cellStyle name="Normal 73_TB" xfId="3104" xr:uid="{952741A8-5212-4C4B-906A-4B7FF8514AFF}"/>
    <cellStyle name="Normal 74" xfId="3105" xr:uid="{1C59A572-A684-4964-953A-9F06C87FFBF7}"/>
    <cellStyle name="Normal 74 2" xfId="3106" xr:uid="{098BB46F-1561-4A2B-A30F-1A05F6586355}"/>
    <cellStyle name="Normal 74 2 2" xfId="3107" xr:uid="{9CBBB9DE-23F0-41EB-B1CB-E34C5766B3DD}"/>
    <cellStyle name="Normal 74 2 2 2" xfId="3108" xr:uid="{B48B1987-7A3A-46CF-BD2D-0E71B3B2F46B}"/>
    <cellStyle name="Normal 74 2 2 2 2" xfId="3109" xr:uid="{0B3A9E6F-26EB-46D7-B7FE-FE26A07A21B6}"/>
    <cellStyle name="Normal 74 2 2 2 3" xfId="3110" xr:uid="{59ECE3A6-4E10-41F8-A363-94F968DC6113}"/>
    <cellStyle name="Normal 74 2 2 3" xfId="3111" xr:uid="{4285A2E5-D8C8-4D20-AEE4-C05EBEBFA91C}"/>
    <cellStyle name="Normal 74 2 2 4" xfId="3112" xr:uid="{E9B603DA-2BEB-441E-AA59-BF50CEB2763D}"/>
    <cellStyle name="Normal 74 2 3" xfId="3113" xr:uid="{3832FFD4-9E6C-4E43-8B70-E4C8CDECF860}"/>
    <cellStyle name="Normal 74 2 3 2" xfId="3114" xr:uid="{0F47DE0F-19C9-4FA4-A8C3-28101137003B}"/>
    <cellStyle name="Normal 74 2 3 3" xfId="3115" xr:uid="{5A85BA55-E74A-40C4-9ACF-5FD2C2C97182}"/>
    <cellStyle name="Normal 74 2 4" xfId="3116" xr:uid="{36C71550-BFA6-472C-A71C-CEEF064D2B57}"/>
    <cellStyle name="Normal 74 2 5" xfId="3117" xr:uid="{14ED8D9A-BE91-422B-A9E3-978E3EB440A9}"/>
    <cellStyle name="Normal 74 2_TB" xfId="3118" xr:uid="{9BE58C03-507F-40A9-91C9-737EAEE143E2}"/>
    <cellStyle name="Normal 74 3" xfId="3119" xr:uid="{75438B3B-88AA-447B-A2C2-FCA21CCC5E41}"/>
    <cellStyle name="Normal 74 3 2" xfId="3120" xr:uid="{EA7E4FE4-EE57-4214-9959-096D903D9977}"/>
    <cellStyle name="Normal 74 3 2 2" xfId="3121" xr:uid="{84997831-37C3-4D49-961A-B0AC22F97569}"/>
    <cellStyle name="Normal 74 3 2 3" xfId="3122" xr:uid="{866471BB-2F52-4453-8E44-8154FB75CEC9}"/>
    <cellStyle name="Normal 74 3 3" xfId="3123" xr:uid="{44E5DBF1-762A-4738-B2D0-A0B0353C7ABA}"/>
    <cellStyle name="Normal 74 3 4" xfId="3124" xr:uid="{451E9033-8FDE-4C6C-AD67-8950D3FE7958}"/>
    <cellStyle name="Normal 74 4" xfId="3125" xr:uid="{C3BB0953-D0A9-4F2F-A61E-8E6F64CE1E0F}"/>
    <cellStyle name="Normal 74 4 2" xfId="3126" xr:uid="{728E6A06-902B-477A-84F5-F80A229012D0}"/>
    <cellStyle name="Normal 74 4 3" xfId="3127" xr:uid="{06BB801C-EC57-4C91-87F5-50A7E0F0E1D6}"/>
    <cellStyle name="Normal 74 5" xfId="3128" xr:uid="{D8123E81-726C-4FF2-B47F-947A0B8D30E9}"/>
    <cellStyle name="Normal 74 6" xfId="3129" xr:uid="{01EFE1D3-A292-4145-A537-46B3ACE4214B}"/>
    <cellStyle name="Normal 74_TB" xfId="3130" xr:uid="{5BF0400C-A6C0-4FAD-9B89-B73052BDF726}"/>
    <cellStyle name="Normal 75" xfId="3131" xr:uid="{C90DBEBC-2B4E-40BB-AADD-73F0AEDDB53C}"/>
    <cellStyle name="Normal 75 2" xfId="3132" xr:uid="{9E0BEC66-EA15-4C66-B698-CD76484AE001}"/>
    <cellStyle name="Normal 75 2 2" xfId="3133" xr:uid="{E83A1DD8-B1C2-41DF-B483-E2D5CE300059}"/>
    <cellStyle name="Normal 75 2 2 2" xfId="3134" xr:uid="{0CA4DFCC-3974-42B7-B44D-25868D65D79D}"/>
    <cellStyle name="Normal 75 2 2 2 2" xfId="3135" xr:uid="{CB27AB9A-3437-4873-B8D4-91B714031B19}"/>
    <cellStyle name="Normal 75 2 2 2 3" xfId="3136" xr:uid="{AC90F1BF-AC8E-43DD-B4B7-065183CBD7A4}"/>
    <cellStyle name="Normal 75 2 2 3" xfId="3137" xr:uid="{E5079929-820D-4F4C-B329-D74B5672ED81}"/>
    <cellStyle name="Normal 75 2 2 4" xfId="3138" xr:uid="{6683FC14-B2A1-4949-9F08-03C453407453}"/>
    <cellStyle name="Normal 75 2 3" xfId="3139" xr:uid="{120DB1AC-DF8F-4C79-836C-FF5DFE2DAE78}"/>
    <cellStyle name="Normal 75 2 3 2" xfId="3140" xr:uid="{6A42DACB-C7BE-403F-B433-2CE7BFC34AD0}"/>
    <cellStyle name="Normal 75 2 3 3" xfId="3141" xr:uid="{2CBCD56B-510F-4078-B585-E2911E69E374}"/>
    <cellStyle name="Normal 75 2 4" xfId="3142" xr:uid="{7C491822-4660-4EC8-8145-EAB84893DB0C}"/>
    <cellStyle name="Normal 75 2 5" xfId="3143" xr:uid="{DC1D4876-0462-4D22-A6F6-221317A33D6E}"/>
    <cellStyle name="Normal 75 2_TB" xfId="3144" xr:uid="{8182D04F-CFAB-4E7E-8A44-FEB2B8B5FBFE}"/>
    <cellStyle name="Normal 75 3" xfId="3145" xr:uid="{12740271-FA89-4EA0-9825-1E12066629D0}"/>
    <cellStyle name="Normal 75 3 2" xfId="3146" xr:uid="{AD1AFC60-F538-4BE6-9888-E24AF3D612A1}"/>
    <cellStyle name="Normal 75 3 2 2" xfId="3147" xr:uid="{F9089991-561E-4DAD-BD5D-B8F6584B8FB2}"/>
    <cellStyle name="Normal 75 3 2 3" xfId="3148" xr:uid="{DD2827C2-A899-4EA1-81B1-8C3EBC1C568A}"/>
    <cellStyle name="Normal 75 3 3" xfId="3149" xr:uid="{D70751EE-3E64-47FB-92CB-AEEFE54A6EE9}"/>
    <cellStyle name="Normal 75 3 4" xfId="3150" xr:uid="{A35C90F0-C124-4CC0-9643-E3C3A42932D4}"/>
    <cellStyle name="Normal 75 4" xfId="3151" xr:uid="{1858E3D6-9DE0-4C89-B637-916D6783AD0B}"/>
    <cellStyle name="Normal 75 4 2" xfId="3152" xr:uid="{86A2C6EB-095A-4BE0-BFC8-A18D0DACBADB}"/>
    <cellStyle name="Normal 75 4 3" xfId="3153" xr:uid="{ACDFCD4E-15CB-4522-9CEC-15054A8B2105}"/>
    <cellStyle name="Normal 75 5" xfId="3154" xr:uid="{EB99E81A-3ACA-4996-BB86-255FD07ED00C}"/>
    <cellStyle name="Normal 75 6" xfId="3155" xr:uid="{1B571661-8EE7-4027-84F5-8D411357FED6}"/>
    <cellStyle name="Normal 75_TB" xfId="3156" xr:uid="{E9BC6C98-E86C-4780-978D-59C58CAAAA84}"/>
    <cellStyle name="Normal 76" xfId="3157" xr:uid="{373247F4-62DF-431F-8B7A-4E4D7CB4069B}"/>
    <cellStyle name="Normal 76 2" xfId="3158" xr:uid="{E0B5B49F-EEBD-4672-AE50-E87EA4830764}"/>
    <cellStyle name="Normal 77" xfId="3159" xr:uid="{C3E709FC-6B76-41CB-8A5E-43007CD18CF9}"/>
    <cellStyle name="Normal 77 2" xfId="3160" xr:uid="{E44493D7-341F-463A-BF97-8891B8751C46}"/>
    <cellStyle name="Normal 78" xfId="3161" xr:uid="{0DE47066-4B4D-4B4A-AADB-E9FBF5726D52}"/>
    <cellStyle name="Normal 78 2" xfId="3162" xr:uid="{B2BBD553-50F5-4BBF-9994-8639D161B922}"/>
    <cellStyle name="Normal 79" xfId="3163" xr:uid="{57F35D12-26B3-45F2-8926-168B53AC41B5}"/>
    <cellStyle name="Normal 79 2" xfId="3164" xr:uid="{826497B2-7034-47FE-8BC3-80BED3BA7B47}"/>
    <cellStyle name="Normal 8" xfId="3165" xr:uid="{C9A809C1-177A-4D7A-AD20-766C485D4A4B}"/>
    <cellStyle name="Normal 8 2" xfId="3166" xr:uid="{2C56FF2E-F3D7-4146-BF3D-59E12F8B4338}"/>
    <cellStyle name="Normal 8 2 2" xfId="3167" xr:uid="{B2BBCDFD-3850-4DAB-BD1C-53041BDCEEC7}"/>
    <cellStyle name="Normal 8 3" xfId="3168" xr:uid="{CEBD6D20-DFEB-421B-8EAB-2DD1648E832B}"/>
    <cellStyle name="Normal 8 3 2" xfId="3169" xr:uid="{53F852B8-AE0E-41FA-865F-007CC2C65B62}"/>
    <cellStyle name="Normal 8 3 2 2" xfId="3170" xr:uid="{BB40C98C-DB4B-4BE4-B7BE-EE30B2F9618B}"/>
    <cellStyle name="Normal 8 3 2 2 2" xfId="3171" xr:uid="{BAD7A697-998A-4CDF-B6A4-A8AE63434CDE}"/>
    <cellStyle name="Normal 8 3 2 2 2 2" xfId="3172" xr:uid="{B04B7BF4-EA76-489A-91F0-2FC59F9C8ACE}"/>
    <cellStyle name="Normal 8 3 2 2 2 2 2" xfId="3173" xr:uid="{0E8E6B89-A46B-4538-A056-EA1C64D9C929}"/>
    <cellStyle name="Normal 8 3 2 2 2 2 3" xfId="3174" xr:uid="{57EEF711-FFFD-4276-88CA-D32D65BE261E}"/>
    <cellStyle name="Normal 8 3 2 2 2 3" xfId="3175" xr:uid="{A5794F3F-84A0-4E83-98D0-425A9E9D4293}"/>
    <cellStyle name="Normal 8 3 2 2 2 4" xfId="3176" xr:uid="{E373DB10-9927-49A4-B17C-2A5541C3A036}"/>
    <cellStyle name="Normal 8 3 2 2 3" xfId="3177" xr:uid="{D016FEFD-5B5F-4B44-881E-5ECA0386FCF1}"/>
    <cellStyle name="Normal 8 3 2 2 3 2" xfId="3178" xr:uid="{ACE6B93E-1474-4969-8B57-70C7FB686520}"/>
    <cellStyle name="Normal 8 3 2 2 3 3" xfId="3179" xr:uid="{0A643DA6-A3F3-4BD8-BA00-405918989191}"/>
    <cellStyle name="Normal 8 3 2 2 4" xfId="3180" xr:uid="{76822EF6-B3E4-46F9-B966-68F5948446AB}"/>
    <cellStyle name="Normal 8 3 2 2 5" xfId="3181" xr:uid="{6CA23682-550E-4D24-A5E6-159474D420F8}"/>
    <cellStyle name="Normal 8 3 2 2_TB" xfId="3182" xr:uid="{D03AB3A9-AD5A-4077-ACFB-AAB861BEE1D5}"/>
    <cellStyle name="Normal 8 3 2 3" xfId="3183" xr:uid="{89B831C3-F5D9-4DA7-90E3-D43827729A31}"/>
    <cellStyle name="Normal 8 3 2 3 2" xfId="3184" xr:uid="{70CC85B2-6A97-4090-84E3-AD09D078DAFD}"/>
    <cellStyle name="Normal 8 3 2 3 2 2" xfId="3185" xr:uid="{4D216BD6-406D-4B0C-84ED-FF16A99B9D8E}"/>
    <cellStyle name="Normal 8 3 2 3 2 3" xfId="3186" xr:uid="{C95070EB-FC37-4661-8349-C7C223FF364F}"/>
    <cellStyle name="Normal 8 3 2 3 3" xfId="3187" xr:uid="{9A5261CE-F5E0-4ED2-8782-0607892287F0}"/>
    <cellStyle name="Normal 8 3 2 3 4" xfId="3188" xr:uid="{5DD7723F-F0CD-4F34-AEFE-4815D66FAD3C}"/>
    <cellStyle name="Normal 8 3 2 4" xfId="3189" xr:uid="{BDD6D9F0-0B6A-4D0A-A556-EA7BA6B2AF27}"/>
    <cellStyle name="Normal 8 3 2 4 2" xfId="3190" xr:uid="{D2A9CB6F-EE86-4824-A473-4F625C26EA3F}"/>
    <cellStyle name="Normal 8 3 2 4 3" xfId="3191" xr:uid="{144B11C5-B273-4E91-91FE-E5209D88E72A}"/>
    <cellStyle name="Normal 8 3 2 5" xfId="3192" xr:uid="{4B657A94-6A0F-4F71-8A11-69E1E20F0165}"/>
    <cellStyle name="Normal 8 3 2 6" xfId="3193" xr:uid="{9D173A5B-0E87-4D21-A0AF-C9BC15CC531A}"/>
    <cellStyle name="Normal 8 3 2_TB" xfId="3194" xr:uid="{4BC2E558-3E1A-4AEB-A10C-99BE08609778}"/>
    <cellStyle name="Normal 8 3 3" xfId="3195" xr:uid="{3439690D-75DE-48B5-89FA-2758464E4995}"/>
    <cellStyle name="Normal 8 3 3 2" xfId="3196" xr:uid="{01AB79DF-C14F-4188-B1CF-E20E0ECAC219}"/>
    <cellStyle name="Normal 8 3 3 2 2" xfId="3197" xr:uid="{688D2117-865A-4951-8429-A6BBCA33F227}"/>
    <cellStyle name="Normal 8 3 3 2 2 2" xfId="3198" xr:uid="{0D824A21-31CE-4163-80C2-519A6A48A516}"/>
    <cellStyle name="Normal 8 3 3 2 2 3" xfId="3199" xr:uid="{4697FB67-0C60-44C0-AC78-6C8571EF8AF1}"/>
    <cellStyle name="Normal 8 3 3 2 3" xfId="3200" xr:uid="{72E26A37-DF11-4E2B-A616-6D0510826681}"/>
    <cellStyle name="Normal 8 3 3 2 4" xfId="3201" xr:uid="{ECF5B835-45FF-4FF7-8CB2-B677C7A7C534}"/>
    <cellStyle name="Normal 8 3 3 3" xfId="3202" xr:uid="{310709A9-55CD-40B7-9B0A-63B5EC6C6004}"/>
    <cellStyle name="Normal 8 3 3 3 2" xfId="3203" xr:uid="{36780A63-81C2-4B7D-A5D9-BD7956358F41}"/>
    <cellStyle name="Normal 8 3 3 3 3" xfId="3204" xr:uid="{AF2D6684-EDD3-40A8-A879-238E8B0E9B78}"/>
    <cellStyle name="Normal 8 3 3 4" xfId="3205" xr:uid="{C030A1E5-E237-4EE9-8BEE-0AACB0C6153F}"/>
    <cellStyle name="Normal 8 3 3 5" xfId="3206" xr:uid="{9BC5A075-87CF-4C6E-8414-BD9D2E0E0969}"/>
    <cellStyle name="Normal 8 3 3_TB" xfId="3207" xr:uid="{34C5914F-EF3B-4B18-9D2C-A55C2640AC2E}"/>
    <cellStyle name="Normal 8 3 4" xfId="3208" xr:uid="{447C2489-4BD7-41DF-AE0F-5114B802CA79}"/>
    <cellStyle name="Normal 8 3 4 2" xfId="3209" xr:uid="{71A1B2A9-3EFC-4072-9788-36A5F9ED92C1}"/>
    <cellStyle name="Normal 8 3 4 2 2" xfId="3210" xr:uid="{3A9BC7E0-7F00-4AAD-9C26-C22CE759D9B9}"/>
    <cellStyle name="Normal 8 3 4 2 3" xfId="3211" xr:uid="{AC9131F4-A9E6-4E4A-B814-FF988CB01CAF}"/>
    <cellStyle name="Normal 8 3 4 3" xfId="3212" xr:uid="{5397EE2D-36AD-4739-8958-FC89BF0B0965}"/>
    <cellStyle name="Normal 8 3 4 4" xfId="3213" xr:uid="{F7BC9D7C-5709-403A-95AC-488C04BBE2EB}"/>
    <cellStyle name="Normal 8 3 5" xfId="3214" xr:uid="{CF72E2BC-7834-425C-9A39-D14716D00829}"/>
    <cellStyle name="Normal 8 3 5 2" xfId="3215" xr:uid="{84F22F70-6477-4564-9DFF-CF37B5759637}"/>
    <cellStyle name="Normal 8 3 5 3" xfId="3216" xr:uid="{EF359DEA-58C4-4854-B662-55EC912E28EA}"/>
    <cellStyle name="Normal 8 3 6" xfId="3217" xr:uid="{773747A8-C42F-40D4-89D6-51FE55BA42EA}"/>
    <cellStyle name="Normal 8 3 7" xfId="3218" xr:uid="{8D7C900A-8DCA-4F8C-BB90-E4C2BD26CB16}"/>
    <cellStyle name="Normal 8 3_TB" xfId="3219" xr:uid="{6DA93870-ECEA-462A-9D0B-DBE7F40E47C7}"/>
    <cellStyle name="Normal 8 4" xfId="3220" xr:uid="{54F11D80-A6E8-4CC5-8E74-C63ADDF3FCB0}"/>
    <cellStyle name="Normal 8 4 2" xfId="3221" xr:uid="{193BF8A0-EB6A-435C-896F-0DD4DAE96482}"/>
    <cellStyle name="Normal 8 4 2 2" xfId="3222" xr:uid="{62FC37D9-D6B1-41B4-A0EE-07887CE09B97}"/>
    <cellStyle name="Normal 8 4 2 2 2" xfId="3223" xr:uid="{ABCD5730-293E-4089-B2DE-68ED109989FC}"/>
    <cellStyle name="Normal 8 4 2 2 2 2" xfId="3224" xr:uid="{C46DB99E-E194-442A-98A9-01EDA8B6B8E6}"/>
    <cellStyle name="Normal 8 4 2 2 2 3" xfId="3225" xr:uid="{6E01A6FC-0B2F-4537-8683-D4D52A01743E}"/>
    <cellStyle name="Normal 8 4 2 2 3" xfId="3226" xr:uid="{71A81A13-B8A0-4397-B341-8792047B6FDB}"/>
    <cellStyle name="Normal 8 4 2 2 4" xfId="3227" xr:uid="{E45CBC3D-41FC-4228-A5C5-24D8836AD666}"/>
    <cellStyle name="Normal 8 4 2 3" xfId="3228" xr:uid="{544E5DC0-15ED-46C3-A216-96BA21AC383D}"/>
    <cellStyle name="Normal 8 4 2 3 2" xfId="3229" xr:uid="{76E6E971-7BD6-4320-843A-EC6233C4D7B0}"/>
    <cellStyle name="Normal 8 4 2 3 3" xfId="3230" xr:uid="{1C49C0BB-1355-479F-BB64-3932B2A2C7B1}"/>
    <cellStyle name="Normal 8 4 2 4" xfId="3231" xr:uid="{5A1C6C5D-E221-41EC-AB8E-7056022E5BC5}"/>
    <cellStyle name="Normal 8 4 2 5" xfId="3232" xr:uid="{77A88C9E-04E9-45BD-9068-F9B84645A78D}"/>
    <cellStyle name="Normal 8 4 2_TB" xfId="3233" xr:uid="{62C7DDE3-DFEC-4FA1-BE70-6304102D7590}"/>
    <cellStyle name="Normal 8 4 3" xfId="3234" xr:uid="{6CA9A194-8D56-46BF-8A55-988AA2DA4128}"/>
    <cellStyle name="Normal 8 4 3 2" xfId="3235" xr:uid="{CA026BCC-E08F-4834-BF49-2CCB6F98FFE0}"/>
    <cellStyle name="Normal 8 4 3 2 2" xfId="3236" xr:uid="{4C53BA17-A664-4216-8316-69ECA79D4332}"/>
    <cellStyle name="Normal 8 4 3 2 3" xfId="3237" xr:uid="{A43A6F71-5C62-43CA-91B9-41D46071D57D}"/>
    <cellStyle name="Normal 8 4 3 3" xfId="3238" xr:uid="{6903986E-0170-4C4B-82B1-ADDB68016524}"/>
    <cellStyle name="Normal 8 4 3 4" xfId="3239" xr:uid="{BB999F79-60C3-4163-A82E-F13B54899F78}"/>
    <cellStyle name="Normal 8 4 4" xfId="3240" xr:uid="{2631D2DA-04C6-4204-8756-3B5A4C9C187E}"/>
    <cellStyle name="Normal 8 4 4 2" xfId="3241" xr:uid="{79E673BE-104E-4F43-AE92-F197B24D9B9F}"/>
    <cellStyle name="Normal 8 4 4 3" xfId="3242" xr:uid="{79F077CA-9A3B-4763-A203-6968BD5C5D44}"/>
    <cellStyle name="Normal 8 4 5" xfId="3243" xr:uid="{2E8C334F-7BBE-46FB-B6E6-2098AB8EE194}"/>
    <cellStyle name="Normal 8 4 6" xfId="3244" xr:uid="{F80B6E7E-CFB4-45A2-8D29-A9160F97D723}"/>
    <cellStyle name="Normal 8 4_TB" xfId="3245" xr:uid="{863564DE-9341-489E-9E76-97547050E27B}"/>
    <cellStyle name="Normal 8 5" xfId="3246" xr:uid="{44238C3E-67BC-40DD-819C-E0C1E9D2C65A}"/>
    <cellStyle name="Normal 8 5 2" xfId="3247" xr:uid="{6277851A-600B-4515-A287-A8016FB478BE}"/>
    <cellStyle name="Normal 8 5 2 2" xfId="3248" xr:uid="{FEF288E2-EC22-4C73-AB39-53FDC10E1B1F}"/>
    <cellStyle name="Normal 8 5 2 2 2" xfId="3249" xr:uid="{7611D041-276B-44A0-AF4B-11747E998A8A}"/>
    <cellStyle name="Normal 8 5 2 2 3" xfId="3250" xr:uid="{F590DDD3-7552-46A6-B801-E8E78BF70CBF}"/>
    <cellStyle name="Normal 8 5 2 3" xfId="3251" xr:uid="{082CF654-223D-4846-B5B1-1F142952ED4A}"/>
    <cellStyle name="Normal 8 5 2 4" xfId="3252" xr:uid="{48D307F8-3460-4F19-B21E-046E4A9D9B4E}"/>
    <cellStyle name="Normal 8 5 3" xfId="3253" xr:uid="{F3CADD86-9514-44F5-9632-93C54AAB0FAB}"/>
    <cellStyle name="Normal 8 5 3 2" xfId="3254" xr:uid="{966CAEF2-FC6D-4A98-AB20-FE7C8E336913}"/>
    <cellStyle name="Normal 8 5 3 3" xfId="3255" xr:uid="{57F3971B-1C60-48F6-AC23-8A3969FF65C7}"/>
    <cellStyle name="Normal 8 5 4" xfId="3256" xr:uid="{96361FEF-EE7B-481C-8A88-85B603148EA9}"/>
    <cellStyle name="Normal 8 5 5" xfId="3257" xr:uid="{831E5D50-0935-46B9-A1D5-6305BEEA059A}"/>
    <cellStyle name="Normal 8 5_TB" xfId="3258" xr:uid="{5167BB99-4912-4845-9235-018553BBF6FE}"/>
    <cellStyle name="Normal 8 6" xfId="3259" xr:uid="{68D3C73A-4E29-4C1C-8B6A-97711503D857}"/>
    <cellStyle name="Normal 8 6 2" xfId="3260" xr:uid="{EA1C6E0D-E9DA-45A7-A93F-063E7E2D0AC1}"/>
    <cellStyle name="Normal 8 6 2 2" xfId="3261" xr:uid="{1C4BDF9D-F2DC-46A2-890E-12B030FCBB5A}"/>
    <cellStyle name="Normal 8 6 2 3" xfId="3262" xr:uid="{02D79EC1-378D-406E-A4C8-FF3F42CE658B}"/>
    <cellStyle name="Normal 8 6 3" xfId="3263" xr:uid="{D572E66D-0C77-4265-B2A7-E13D524162CB}"/>
    <cellStyle name="Normal 8 6 4" xfId="3264" xr:uid="{ADE1814D-986D-48A2-A208-132DD0D9EB34}"/>
    <cellStyle name="Normal 8 7" xfId="3265" xr:uid="{5AE4CE3B-EAE2-4473-ADAD-3EA9431CB127}"/>
    <cellStyle name="Normal 8 7 2" xfId="3266" xr:uid="{E4D5BF1A-712B-4B9F-BC0F-CFB190F3A63D}"/>
    <cellStyle name="Normal 8 7 3" xfId="3267" xr:uid="{A66AD79B-F7A1-4451-9B65-39567E53C1E8}"/>
    <cellStyle name="Normal 8_TB" xfId="3268" xr:uid="{874DABDF-ABC4-429A-9CBC-C7DC380BF3AC}"/>
    <cellStyle name="Normal 80" xfId="3269" xr:uid="{C6BF33F3-6447-4CB7-86C7-9413DE7C854C}"/>
    <cellStyle name="Normal 80 2" xfId="3270" xr:uid="{BFBBC816-31CA-4387-89FF-C3B19F0D1BA1}"/>
    <cellStyle name="Normal 81" xfId="3271" xr:uid="{1A176EBC-AC80-42F1-A102-39929496F31E}"/>
    <cellStyle name="Normal 81 2" xfId="3272" xr:uid="{4FCBE893-C147-40FC-9617-1D4868ECAE8C}"/>
    <cellStyle name="Normal 82" xfId="3273" xr:uid="{00B9A134-174D-466F-A06F-3926621E5A08}"/>
    <cellStyle name="Normal 82 2" xfId="3274" xr:uid="{32E8C2A3-28BA-43E3-8AD3-550070CDEBB2}"/>
    <cellStyle name="Normal 83" xfId="3275" xr:uid="{AF194B55-F16D-493C-8600-EDF244AA25F2}"/>
    <cellStyle name="Normal 83 2" xfId="3276" xr:uid="{762171B3-0C27-4A00-B175-972E3F97BE6C}"/>
    <cellStyle name="Normal 84" xfId="3277" xr:uid="{5C420CEE-2DCB-44D4-BCDB-2641089EACB8}"/>
    <cellStyle name="Normal 84 2" xfId="3278" xr:uid="{0271079D-4AE9-457C-BA0B-1F9B7B02E56D}"/>
    <cellStyle name="Normal 85" xfId="3279" xr:uid="{E06F0503-41C8-4897-B859-F0A583F5BD6E}"/>
    <cellStyle name="Normal 85 2" xfId="3280" xr:uid="{D9D7F4D3-B7B8-43BB-B423-15F16423959B}"/>
    <cellStyle name="Normal 86" xfId="3281" xr:uid="{BF622D89-EDBF-4F3F-B506-962A3508E38B}"/>
    <cellStyle name="Normal 86 2" xfId="3282" xr:uid="{DBE411B7-51CB-4B1E-9F22-1BB179BB8A3C}"/>
    <cellStyle name="Normal 87" xfId="3283" xr:uid="{4933D2AC-B23D-4CDE-B6FD-43B6BC5A9329}"/>
    <cellStyle name="Normal 87 2" xfId="3284" xr:uid="{F38DBB69-121F-403D-A118-DD454453F060}"/>
    <cellStyle name="Normal 88" xfId="3285" xr:uid="{994511A9-492E-4FAD-9CE6-7CDD4580AF16}"/>
    <cellStyle name="Normal 88 2" xfId="3286" xr:uid="{1572558C-9199-407E-B583-587E90EC3550}"/>
    <cellStyle name="Normal 89" xfId="3287" xr:uid="{5BEEC847-3945-48B7-97FF-5887F78DDE8D}"/>
    <cellStyle name="Normal 89 2" xfId="3288" xr:uid="{831E908F-F04A-49B6-A477-CD9D828D9FEF}"/>
    <cellStyle name="Normal 9" xfId="3289" xr:uid="{C0508E7D-044B-42C8-A851-98734AB0A303}"/>
    <cellStyle name="Normal 9 2" xfId="3290" xr:uid="{3C24E817-ACA6-404E-9219-31C1F1408B08}"/>
    <cellStyle name="Normal 90" xfId="3291" xr:uid="{A9F42AF5-B4DF-4E0F-A417-A55B94D494AA}"/>
    <cellStyle name="Normal 90 2" xfId="3292" xr:uid="{73D9AAF4-1ED4-40DB-A151-6603963F8C3F}"/>
    <cellStyle name="Normal 91" xfId="3293" xr:uid="{0F6F1305-8ADA-4688-89DD-7D242EEB65F8}"/>
    <cellStyle name="Normal 91 2" xfId="3294" xr:uid="{8657FD13-6A02-488D-85D2-823009AFF1AF}"/>
    <cellStyle name="Normal 92" xfId="3295" xr:uid="{90577D32-54D8-4525-9667-980E1974F607}"/>
    <cellStyle name="Normal 92 2" xfId="3296" xr:uid="{B537C4DD-35AF-4866-A923-E1A12A46E05E}"/>
    <cellStyle name="Normal 93" xfId="3297" xr:uid="{9EFC36AF-BF87-4C87-80F5-C84DD893B21A}"/>
    <cellStyle name="Normal 93 2" xfId="3298" xr:uid="{D53D3BA8-211E-4FE9-8561-F8192992B458}"/>
    <cellStyle name="Normal 94" xfId="3299" xr:uid="{A7A53475-872E-4A49-9E3C-4E37E76DB75D}"/>
    <cellStyle name="Normal 94 2" xfId="3300" xr:uid="{15EDE7F0-CF8B-4F99-950E-232A9D7A9BC4}"/>
    <cellStyle name="Normal 95" xfId="3301" xr:uid="{F067EAB4-DBCD-49E4-BBCD-BDD07E643F60}"/>
    <cellStyle name="Normal 95 2" xfId="3302" xr:uid="{C44539DF-5CAB-4137-A333-02C0B5789FEC}"/>
    <cellStyle name="Normal 96" xfId="3303" xr:uid="{92BA90DC-A5F1-44EF-B900-B1F131A1C0D0}"/>
    <cellStyle name="Normal 96 2" xfId="3304" xr:uid="{0A497482-61A3-4B4B-A028-E76C86B7505A}"/>
    <cellStyle name="Normal 97" xfId="3305" xr:uid="{9CE2DA41-60C0-4570-BBCB-CE684C704173}"/>
    <cellStyle name="Normal 97 2" xfId="3306" xr:uid="{6AD4D66E-F203-4800-898F-0A2DA36FC00D}"/>
    <cellStyle name="Normal 98" xfId="3307" xr:uid="{85FEC488-F809-4646-90F1-28EDAFA13F57}"/>
    <cellStyle name="Normal 98 2" xfId="3308" xr:uid="{AB6473D0-7DBC-4215-B720-84CE65A0E782}"/>
    <cellStyle name="Normal 99" xfId="3309" xr:uid="{D622C9B2-391D-42B2-BB07-E82820C343F7}"/>
    <cellStyle name="Normal 99 2" xfId="3310" xr:uid="{2720BE4D-F044-4115-AD91-5C845C17DD18}"/>
    <cellStyle name="Normal_Position Level Data" xfId="4606" xr:uid="{AA6A4703-A07E-4680-8416-3841C65FF10C}"/>
    <cellStyle name="Note 2" xfId="3311" xr:uid="{E92BF198-86B5-401C-B4A6-58EEE9908A66}"/>
    <cellStyle name="Note 2 2" xfId="3312" xr:uid="{2A413222-9A62-410C-8F7C-3D09296FFBE8}"/>
    <cellStyle name="Note 2 2 2" xfId="3313" xr:uid="{34F57CE8-BABC-4728-825F-91A572328BBC}"/>
    <cellStyle name="Note 2 2 3" xfId="3314" xr:uid="{35ABD613-F789-4BC5-97A2-0EC6D2A39795}"/>
    <cellStyle name="Note 3" xfId="3315" xr:uid="{D971C372-D91C-41DC-B7AC-4C5A1C618816}"/>
    <cellStyle name="Note 3 2" xfId="3316" xr:uid="{81490A96-0D4D-40F0-B632-EAAF38CD18A3}"/>
    <cellStyle name="Note 3 2 2" xfId="3317" xr:uid="{480CFD12-DBA7-4B7D-A3EB-9ACA00269DE5}"/>
    <cellStyle name="Note 3 2 3" xfId="3318" xr:uid="{4060ADD8-A504-4882-A7F8-B0E97451440A}"/>
    <cellStyle name="Note 3 3" xfId="3319" xr:uid="{A04827A2-4A9E-4152-A42D-37724516E358}"/>
    <cellStyle name="Note 3 4" xfId="3320" xr:uid="{E6C49A34-8D83-48E5-A09B-D3497B520580}"/>
    <cellStyle name="Notiz 2" xfId="3321" xr:uid="{387C1339-C0DB-46E5-B99D-3714FDD2C6F7}"/>
    <cellStyle name="Notiz 2 2" xfId="3322" xr:uid="{6DD83470-EAF3-4372-8C90-CC6864F44BBB}"/>
    <cellStyle name="Notiz 2 2 2" xfId="3323" xr:uid="{5B985768-F917-4B1D-985E-4E299E5BC55D}"/>
    <cellStyle name="Notiz 2 2 3" xfId="3324" xr:uid="{B8345344-4EA5-4F9D-9A55-F811665E920F}"/>
    <cellStyle name="Notiz 2 3" xfId="3325" xr:uid="{4FA938FE-FF85-48F8-AD25-478995A13F75}"/>
    <cellStyle name="Notiz 2 4" xfId="3326" xr:uid="{D06F0ED0-5601-43F9-A4B1-2CD4BA01BB98}"/>
    <cellStyle name="NumberFormat" xfId="3327" xr:uid="{399CF5DC-0CE8-473A-8684-2AABB8EF6EA1}"/>
    <cellStyle name="Output 2" xfId="3328" xr:uid="{9CBF7697-0C8C-4811-9338-1F9788453476}"/>
    <cellStyle name="palat" xfId="3329" xr:uid="{F31BA8AE-9D66-4A1D-B0AD-203EEC04D67A}"/>
    <cellStyle name="palat 2" xfId="3330" xr:uid="{A0B5B071-B6F2-4DDA-B9F8-4BB95016AF70}"/>
    <cellStyle name="Percent [0]" xfId="3331" xr:uid="{F0977E9D-F4A4-46E6-9095-9F25A2961AD7}"/>
    <cellStyle name="Percent [00]" xfId="3332" xr:uid="{EEA01482-7CDC-4C8D-AD23-E0CD4FE35C17}"/>
    <cellStyle name="Percent [2]" xfId="3333" xr:uid="{DFF983EE-1CCA-46A0-86CD-590DC427D500}"/>
    <cellStyle name="Percent [2] 2" xfId="3334" xr:uid="{F57C58C5-A94C-4D53-857A-4781C185E4B6}"/>
    <cellStyle name="Percent 10" xfId="3335" xr:uid="{DF18E77D-7F50-463A-A007-68405A3A0C12}"/>
    <cellStyle name="Percent 10 2" xfId="3336" xr:uid="{C1247E98-6C85-4D20-9C8D-81B7952A8C61}"/>
    <cellStyle name="Percent 10 2 2" xfId="3337" xr:uid="{AF85FFBC-6C82-4087-8ECA-D10FA86BC23F}"/>
    <cellStyle name="Percent 10 2 2 2" xfId="3338" xr:uid="{65596122-A1E7-4394-A64D-3191333A38DD}"/>
    <cellStyle name="Percent 10 2 2 2 2" xfId="3339" xr:uid="{3284DC37-E339-4813-92EC-F711A461318D}"/>
    <cellStyle name="Percent 10 2 2 2 3" xfId="3340" xr:uid="{16E6CCAF-E53F-456B-ABA4-1FAC03B64418}"/>
    <cellStyle name="Percent 10 2 2 3" xfId="3341" xr:uid="{1A1E9CC0-5D9F-4EE4-821C-E43D9BD0FC34}"/>
    <cellStyle name="Percent 10 2 2 4" xfId="3342" xr:uid="{6369911D-26D6-4396-B01D-4908E2685433}"/>
    <cellStyle name="Percent 10 2 3" xfId="3343" xr:uid="{7B32F74E-6289-4A17-9223-4146ED1882DF}"/>
    <cellStyle name="Percent 10 2 3 2" xfId="3344" xr:uid="{DFB14BEB-725E-4E9C-8A71-ABF7424EDBE3}"/>
    <cellStyle name="Percent 10 2 3 3" xfId="3345" xr:uid="{01B72B9B-B260-4603-BC1B-755A0B2CA504}"/>
    <cellStyle name="Percent 10 2 4" xfId="3346" xr:uid="{8D215524-710F-427E-8BCB-177B6537D5EB}"/>
    <cellStyle name="Percent 10 2 5" xfId="3347" xr:uid="{E01A52EE-1BAB-4BB2-A438-D996C1D56668}"/>
    <cellStyle name="Percent 10 3" xfId="3348" xr:uid="{67630E00-7651-4926-9371-F0D0A1BCA45E}"/>
    <cellStyle name="Percent 10 3 2" xfId="3349" xr:uid="{438FA76F-EDAD-4E37-816C-A1A5C08D8CE2}"/>
    <cellStyle name="Percent 10 3 2 2" xfId="3350" xr:uid="{5D845562-4574-422E-A817-2B25497E741E}"/>
    <cellStyle name="Percent 10 3 2 3" xfId="3351" xr:uid="{4AC9FC5E-FD8E-477B-9439-3E2AD32B2416}"/>
    <cellStyle name="Percent 10 3 3" xfId="3352" xr:uid="{38F04DE0-92C0-496C-A81A-7EB387AB7F30}"/>
    <cellStyle name="Percent 10 3 4" xfId="3353" xr:uid="{82AFC41F-A867-46EA-A0A6-ACDE38F8392D}"/>
    <cellStyle name="Percent 10 4" xfId="3354" xr:uid="{E578A68A-55F5-49A3-B850-4ED26523D754}"/>
    <cellStyle name="Percent 10 4 2" xfId="3355" xr:uid="{218608EB-EC4B-460C-949C-B326E66BD131}"/>
    <cellStyle name="Percent 10 4 3" xfId="3356" xr:uid="{4EF9F1EE-3DCA-45A6-82F6-617607A26550}"/>
    <cellStyle name="Percent 10 5" xfId="3357" xr:uid="{15C1B873-3C3C-4D66-824B-719F3A6E6E47}"/>
    <cellStyle name="Percent 10 6" xfId="3358" xr:uid="{7CEAEFCB-FC74-45ED-BF48-0CA5CD0DB3A9}"/>
    <cellStyle name="Percent 11" xfId="3359" xr:uid="{18E991E0-5F09-40ED-8E92-4BB2DFC88C7E}"/>
    <cellStyle name="Percent 11 2" xfId="3360" xr:uid="{54CFE923-5A60-4D54-A6AB-A08CFFF1AC20}"/>
    <cellStyle name="Percent 11 2 2" xfId="3361" xr:uid="{7B895ED8-F93C-43EB-B957-41A2258522F3}"/>
    <cellStyle name="Percent 11 2 2 2" xfId="3362" xr:uid="{2B2DDB59-A5FE-4C83-9BF6-263158B1A106}"/>
    <cellStyle name="Percent 11 2 2 2 2" xfId="3363" xr:uid="{D4E1F07A-84B1-4A57-B345-1F72886CA44F}"/>
    <cellStyle name="Percent 11 2 2 2 3" xfId="3364" xr:uid="{700905EC-3A37-4FD7-970F-6789C144FEF3}"/>
    <cellStyle name="Percent 11 2 2 3" xfId="3365" xr:uid="{EEBD1CF6-998E-43E3-A75F-73C3E8CED066}"/>
    <cellStyle name="Percent 11 2 2 4" xfId="3366" xr:uid="{8A9C82B8-EDC0-42A3-8361-88BAB891BEEB}"/>
    <cellStyle name="Percent 11 2 3" xfId="3367" xr:uid="{95DC28FA-E6AA-480F-8E41-7426B05D970D}"/>
    <cellStyle name="Percent 11 2 3 2" xfId="3368" xr:uid="{7E01070F-76FA-4A10-9929-407ED76E48CE}"/>
    <cellStyle name="Percent 11 2 3 3" xfId="3369" xr:uid="{CE6732AF-378C-4392-B65C-41046E4EC0E0}"/>
    <cellStyle name="Percent 11 2 4" xfId="3370" xr:uid="{220E97AC-246F-461B-AA51-977B306247AC}"/>
    <cellStyle name="Percent 11 2 5" xfId="3371" xr:uid="{ED3CBC49-EC4D-421A-8325-232902CFAB92}"/>
    <cellStyle name="Percent 11 3" xfId="3372" xr:uid="{B569D575-6A22-42FC-AFB6-37321F9D0044}"/>
    <cellStyle name="Percent 11 3 2" xfId="3373" xr:uid="{0EFBC354-C707-41D1-AE36-4262727074A9}"/>
    <cellStyle name="Percent 11 3 2 2" xfId="3374" xr:uid="{33E27E70-B118-4D83-9AE0-9061427B6FD2}"/>
    <cellStyle name="Percent 11 3 2 3" xfId="3375" xr:uid="{11D6BC5E-E26E-4159-9116-93DDC8C0662B}"/>
    <cellStyle name="Percent 11 3 3" xfId="3376" xr:uid="{549E4B38-5794-4BFC-AD5B-8FF22266E39B}"/>
    <cellStyle name="Percent 11 3 4" xfId="3377" xr:uid="{0794B223-F91A-49E4-AC8E-11DA119EAF21}"/>
    <cellStyle name="Percent 11 4" xfId="3378" xr:uid="{81247A1E-77E2-49D9-BBA7-0F09074562EE}"/>
    <cellStyle name="Percent 11 4 2" xfId="3379" xr:uid="{E5D32A1D-E895-441C-B89B-F9901FF41912}"/>
    <cellStyle name="Percent 11 4 3" xfId="3380" xr:uid="{759DFF6D-77E5-497A-9FB3-21DBA26A1F87}"/>
    <cellStyle name="Percent 11 5" xfId="3381" xr:uid="{30E14ADA-3AB2-4C88-AF1C-ABADDB89C716}"/>
    <cellStyle name="Percent 11 6" xfId="3382" xr:uid="{502F63C0-A109-43C6-B727-7382B51DF4B4}"/>
    <cellStyle name="Percent 12" xfId="3383" xr:uid="{DE037232-A029-45A0-94AC-DD4F47718CFE}"/>
    <cellStyle name="Percent 12 2" xfId="3384" xr:uid="{5920B0FC-5A23-4F4D-9864-EA5416D8E01B}"/>
    <cellStyle name="Percent 12 2 2" xfId="3385" xr:uid="{2471E41C-0A3B-4D92-A87C-C41B06F1356B}"/>
    <cellStyle name="Percent 12 2 2 2" xfId="3386" xr:uid="{A6E6F63E-ED34-41DC-8B69-5384F5F72003}"/>
    <cellStyle name="Percent 12 2 2 2 2" xfId="3387" xr:uid="{FACB9105-EFB8-4D18-A43A-E60797894A74}"/>
    <cellStyle name="Percent 12 2 2 2 3" xfId="3388" xr:uid="{48FD85C8-7BB9-485C-89DD-692A213F2DDE}"/>
    <cellStyle name="Percent 12 2 2 3" xfId="3389" xr:uid="{306CCE3D-0F93-4513-900D-F8DAD428C1A3}"/>
    <cellStyle name="Percent 12 2 2 4" xfId="3390" xr:uid="{E0209A7C-51D7-4007-B2BD-E0A766490C3F}"/>
    <cellStyle name="Percent 12 2 3" xfId="3391" xr:uid="{1B3B0826-9586-4870-A4B8-3F79D4261845}"/>
    <cellStyle name="Percent 12 2 3 2" xfId="3392" xr:uid="{7A5BA192-6DB5-4EB4-80D5-803A5BCB2AAD}"/>
    <cellStyle name="Percent 12 2 3 3" xfId="3393" xr:uid="{92F05BC7-C65A-47CC-8677-68E43836BB7C}"/>
    <cellStyle name="Percent 12 2 4" xfId="3394" xr:uid="{91588E33-03F8-44A4-8239-B75CD7EB8C82}"/>
    <cellStyle name="Percent 12 2 5" xfId="3395" xr:uid="{BFD8D189-5E4C-4294-9D7B-F1D67EB86ED5}"/>
    <cellStyle name="Percent 12 3" xfId="3396" xr:uid="{7A42A59B-EDC5-4119-A30E-8995683C2FA8}"/>
    <cellStyle name="Percent 12 3 2" xfId="3397" xr:uid="{4A41FBB8-0B9A-4FFC-A2C0-58D518EBF4DB}"/>
    <cellStyle name="Percent 12 3 2 2" xfId="3398" xr:uid="{9E09325D-B3D1-4A3B-BCBA-8C7BF5B1BC78}"/>
    <cellStyle name="Percent 12 3 2 3" xfId="3399" xr:uid="{D70B4844-764C-4304-8833-A938CE1499ED}"/>
    <cellStyle name="Percent 12 3 3" xfId="3400" xr:uid="{F8191481-D6D5-4F40-A591-C5D4E1805988}"/>
    <cellStyle name="Percent 12 3 4" xfId="3401" xr:uid="{092B6463-89B0-4D4B-8DCD-6CDCD6364691}"/>
    <cellStyle name="Percent 12 4" xfId="3402" xr:uid="{4AF7DB39-3216-4A9A-87BB-F21DAD661117}"/>
    <cellStyle name="Percent 12 4 2" xfId="3403" xr:uid="{25F83E60-2255-4124-BF85-44F188EFF197}"/>
    <cellStyle name="Percent 12 4 3" xfId="3404" xr:uid="{D3D918C8-53C0-4F64-B9F3-7E1FAEF47D7F}"/>
    <cellStyle name="Percent 12 5" xfId="3405" xr:uid="{059E6576-A6B1-4175-914D-C155C8007278}"/>
    <cellStyle name="Percent 12 6" xfId="3406" xr:uid="{949512D4-7E1F-4118-9B4F-635CDC541B0E}"/>
    <cellStyle name="Percent 13" xfId="3407" xr:uid="{6D04DC71-CA30-4F9D-8F6E-99A5870DFED0}"/>
    <cellStyle name="Percent 13 2" xfId="3408" xr:uid="{3E4F8D6F-8747-4F01-9191-2D423676C4E4}"/>
    <cellStyle name="Percent 13 2 2" xfId="3409" xr:uid="{3C48C48F-986B-47F8-BF6A-6E77479BA265}"/>
    <cellStyle name="Percent 13 2 2 2" xfId="3410" xr:uid="{36CC9F70-B5E3-49A0-B9AE-3ADE21841C28}"/>
    <cellStyle name="Percent 13 2 2 2 2" xfId="3411" xr:uid="{47BCC9C2-838C-4172-B0A4-CA263C244090}"/>
    <cellStyle name="Percent 13 2 2 2 3" xfId="3412" xr:uid="{EFCB355B-BC2F-4F0A-BB05-FAEC037FE668}"/>
    <cellStyle name="Percent 13 2 2 3" xfId="3413" xr:uid="{8CC8F3A5-8392-46A8-8CCE-7AAF73300029}"/>
    <cellStyle name="Percent 13 2 2 4" xfId="3414" xr:uid="{D89A69CE-51D6-4ACC-97A3-5FC7AFB5B5CB}"/>
    <cellStyle name="Percent 13 2 3" xfId="3415" xr:uid="{E00361D2-7DE9-48FA-999A-F706BB768674}"/>
    <cellStyle name="Percent 13 2 3 2" xfId="3416" xr:uid="{AE631210-D817-40B3-B077-7FD733DC35E4}"/>
    <cellStyle name="Percent 13 2 3 3" xfId="3417" xr:uid="{7CF7AE2A-6719-4BC3-8FBF-59876C18B4F5}"/>
    <cellStyle name="Percent 13 2 4" xfId="3418" xr:uid="{06745D05-1E9E-408F-800D-42CC8D9AD5F3}"/>
    <cellStyle name="Percent 13 2 5" xfId="3419" xr:uid="{23DCD9FD-2E7D-4B83-9E66-144E26660554}"/>
    <cellStyle name="Percent 13 3" xfId="3420" xr:uid="{64BA9983-CDEC-4894-9A89-0615C4533372}"/>
    <cellStyle name="Percent 13 3 2" xfId="3421" xr:uid="{AEEC4C1E-C537-4DDE-BF82-222ADC29151D}"/>
    <cellStyle name="Percent 13 3 2 2" xfId="3422" xr:uid="{D31284F8-49A9-4152-BB70-A8CC59C40E3D}"/>
    <cellStyle name="Percent 13 3 2 3" xfId="3423" xr:uid="{03863A93-032E-4C47-959A-0EFD4000250A}"/>
    <cellStyle name="Percent 13 3 3" xfId="3424" xr:uid="{6DFE5692-F04B-40C0-A328-981AC584625D}"/>
    <cellStyle name="Percent 13 3 4" xfId="3425" xr:uid="{712800C3-0C80-422F-9C57-8B1DE74FFAB4}"/>
    <cellStyle name="Percent 13 4" xfId="3426" xr:uid="{4102F023-8B4D-4C07-ADBC-49AE7FE1AED2}"/>
    <cellStyle name="Percent 13 4 2" xfId="3427" xr:uid="{E30D6CDC-C982-4485-BB01-7077BD43215F}"/>
    <cellStyle name="Percent 13 4 3" xfId="3428" xr:uid="{BBDD4E73-07F3-407B-8B8C-E125C98D906C}"/>
    <cellStyle name="Percent 13 5" xfId="3429" xr:uid="{D9E1E1C5-9F88-4601-89D2-71BB68D414B1}"/>
    <cellStyle name="Percent 13 6" xfId="3430" xr:uid="{BEA8DF7E-7F2A-4C2F-857D-C6DBA08D228D}"/>
    <cellStyle name="Percent 14" xfId="3431" xr:uid="{D620CFA8-BB31-4E36-AC65-ABBC592AE22F}"/>
    <cellStyle name="Percent 14 2" xfId="3432" xr:uid="{46080A02-1E5B-42A0-B041-4534F5758C9A}"/>
    <cellStyle name="Percent 14 2 2" xfId="3433" xr:uid="{792F2999-22A8-453B-9362-A9CEDB4174C8}"/>
    <cellStyle name="Percent 14 2 2 2" xfId="3434" xr:uid="{BF532167-5EC6-483D-B2EF-38F0D7E2ACB9}"/>
    <cellStyle name="Percent 14 2 2 2 2" xfId="3435" xr:uid="{8B1CC91C-A710-4776-A9CB-47EA679E7D4E}"/>
    <cellStyle name="Percent 14 2 2 2 3" xfId="3436" xr:uid="{E8C277F9-01C4-4E01-8D17-F3D15AFEBE53}"/>
    <cellStyle name="Percent 14 2 2 3" xfId="3437" xr:uid="{F2573F06-1268-4DA9-8B8B-C8D1764C8F29}"/>
    <cellStyle name="Percent 14 2 2 4" xfId="3438" xr:uid="{6803D3F3-4C57-42FD-9DA3-A8CB42BD6C0B}"/>
    <cellStyle name="Percent 14 2 3" xfId="3439" xr:uid="{0725C727-9DAC-450C-AA25-B796FD4D99B6}"/>
    <cellStyle name="Percent 14 2 3 2" xfId="3440" xr:uid="{93645E0C-8558-4452-AFBA-4CA6FB461E14}"/>
    <cellStyle name="Percent 14 2 3 3" xfId="3441" xr:uid="{AF2419E0-DB1D-4B78-B263-2E6525270BAA}"/>
    <cellStyle name="Percent 14 2 4" xfId="3442" xr:uid="{98E0A12F-B1AA-4752-ABAE-0EAFC09C611A}"/>
    <cellStyle name="Percent 14 2 5" xfId="3443" xr:uid="{8E7CA08A-C0B7-47C2-A75E-D960E95AF296}"/>
    <cellStyle name="Percent 14 3" xfId="3444" xr:uid="{ADB7CB6B-FAD7-417F-ABA4-F05F1C30B624}"/>
    <cellStyle name="Percent 14 3 2" xfId="3445" xr:uid="{98C745A3-144C-499B-91E9-D8B099DF9937}"/>
    <cellStyle name="Percent 14 3 2 2" xfId="3446" xr:uid="{0C34CA17-B740-48F5-B8D0-52DE231EF001}"/>
    <cellStyle name="Percent 14 3 2 3" xfId="3447" xr:uid="{CE6DD479-940B-4D35-A1FA-65E2E94E9FA2}"/>
    <cellStyle name="Percent 14 3 3" xfId="3448" xr:uid="{36372E21-18B9-422B-AEB2-F1B22CFBF6FE}"/>
    <cellStyle name="Percent 14 3 4" xfId="3449" xr:uid="{CC63DD8C-D3EE-441A-865D-F56DBF9F7100}"/>
    <cellStyle name="Percent 14 4" xfId="3450" xr:uid="{98B1090C-4509-4E24-8564-76D4E15E2D99}"/>
    <cellStyle name="Percent 14 4 2" xfId="3451" xr:uid="{8F858EDF-D1A7-4E56-AF91-9CE15C3B0C7F}"/>
    <cellStyle name="Percent 14 4 3" xfId="3452" xr:uid="{CF82E418-ECFE-4CFB-A00A-022AA945ADCB}"/>
    <cellStyle name="Percent 14 5" xfId="3453" xr:uid="{FB36BC1B-97EA-41D1-B79C-CEED4D41D342}"/>
    <cellStyle name="Percent 14 6" xfId="3454" xr:uid="{C6D9FE16-F45C-41AF-8669-495A2E935B97}"/>
    <cellStyle name="Percent 15" xfId="3455" xr:uid="{0EC5DBA3-C5BD-44DC-8BF1-C3D8B96FD3A4}"/>
    <cellStyle name="Percent 15 2" xfId="3456" xr:uid="{B4C002BB-6206-4AD4-B063-A1C0BA16C701}"/>
    <cellStyle name="Percent 15 2 2" xfId="3457" xr:uid="{7876AB6C-78EB-4BC7-AD84-4741F8C88B60}"/>
    <cellStyle name="Percent 15 2 2 2" xfId="3458" xr:uid="{1EDCE3B1-3A5E-48BF-B384-C39ADB867BD2}"/>
    <cellStyle name="Percent 15 2 2 2 2" xfId="3459" xr:uid="{BD0E76AD-7962-4EEA-B7F6-7A2DC8E5AFDB}"/>
    <cellStyle name="Percent 15 2 2 2 3" xfId="3460" xr:uid="{FA006991-C87B-446C-AB69-1AF1E7239492}"/>
    <cellStyle name="Percent 15 2 2 3" xfId="3461" xr:uid="{FECB26D6-BF43-4C14-8745-F52EEF3AD98A}"/>
    <cellStyle name="Percent 15 2 2 4" xfId="3462" xr:uid="{8804E962-A4F0-4A29-8906-F9C60C2426C3}"/>
    <cellStyle name="Percent 15 2 3" xfId="3463" xr:uid="{71CAC1E0-86C5-49BC-989E-5925EBB7C059}"/>
    <cellStyle name="Percent 15 2 3 2" xfId="3464" xr:uid="{3B033836-4B1E-4A61-B0B1-59E9AB0BA417}"/>
    <cellStyle name="Percent 15 2 3 3" xfId="3465" xr:uid="{9A5873EA-77A4-4F9F-8898-0C276391D835}"/>
    <cellStyle name="Percent 15 2 4" xfId="3466" xr:uid="{897DD235-5215-46BD-8E6C-67DA84D534E8}"/>
    <cellStyle name="Percent 15 2 5" xfId="3467" xr:uid="{488B8BD0-A530-4639-AA45-31A820057188}"/>
    <cellStyle name="Percent 15 3" xfId="3468" xr:uid="{8402A8BB-A581-4EB7-9E1E-F07E54733F6C}"/>
    <cellStyle name="Percent 15 3 2" xfId="3469" xr:uid="{3B7188A9-0C24-4151-A203-15A0CFE138FC}"/>
    <cellStyle name="Percent 15 3 2 2" xfId="3470" xr:uid="{88175637-7E98-47A0-BDCB-3760F52A1F8B}"/>
    <cellStyle name="Percent 15 3 2 3" xfId="3471" xr:uid="{7CFABEF3-CFF5-4D6C-B6BD-9EC0FAD1118C}"/>
    <cellStyle name="Percent 15 3 3" xfId="3472" xr:uid="{3B05E4CD-00A0-43D6-A5F4-7D41123E11BB}"/>
    <cellStyle name="Percent 15 3 4" xfId="3473" xr:uid="{7AAD3A0C-EBA4-441C-B87B-654B21D855EF}"/>
    <cellStyle name="Percent 15 4" xfId="3474" xr:uid="{71952B6E-8240-48CD-A862-0AFDC49D21D3}"/>
    <cellStyle name="Percent 15 4 2" xfId="3475" xr:uid="{E777A474-F38E-4B3E-9C37-25F5DC3D5444}"/>
    <cellStyle name="Percent 15 4 3" xfId="3476" xr:uid="{C88B0172-CC31-4337-8966-CE9405F35E97}"/>
    <cellStyle name="Percent 15 5" xfId="3477" xr:uid="{335523AE-9D42-4A70-B5C9-5D76CA13C544}"/>
    <cellStyle name="Percent 15 6" xfId="3478" xr:uid="{9E0F05D9-26D8-4B16-B55E-75CB41C6E7CD}"/>
    <cellStyle name="Percent 16" xfId="3479" xr:uid="{81AD65CF-22B3-4EDA-A26D-00D96798950C}"/>
    <cellStyle name="Percent 16 2" xfId="3480" xr:uid="{2054EE91-ECAC-4504-B971-0D4C6CA8169C}"/>
    <cellStyle name="Percent 16 2 2" xfId="3481" xr:uid="{9321CDF0-1942-4CBB-A2B1-1D42DA596919}"/>
    <cellStyle name="Percent 16 2 2 2" xfId="3482" xr:uid="{5F9CEC4A-BA94-49BF-A32A-B24B7C466F63}"/>
    <cellStyle name="Percent 16 2 2 2 2" xfId="3483" xr:uid="{95FD4226-2003-479F-ADCE-49654DF52947}"/>
    <cellStyle name="Percent 16 2 2 2 3" xfId="3484" xr:uid="{D8A84E3E-4F76-41E0-AC06-85AD6AF064DB}"/>
    <cellStyle name="Percent 16 2 2 3" xfId="3485" xr:uid="{0A06BBD4-D077-4000-B2E8-7920CC1CF662}"/>
    <cellStyle name="Percent 16 2 2 4" xfId="3486" xr:uid="{AB4D518B-A325-4D5D-9660-C2305DF85966}"/>
    <cellStyle name="Percent 16 2 3" xfId="3487" xr:uid="{BD85FDA4-0FFE-4BAD-8FCE-F442EEA4B96B}"/>
    <cellStyle name="Percent 16 2 3 2" xfId="3488" xr:uid="{72936BF2-1DA6-4212-BDE1-CC5F41504B19}"/>
    <cellStyle name="Percent 16 2 3 3" xfId="3489" xr:uid="{3C41789D-94B2-474C-A8A7-9C5D6FCBA61D}"/>
    <cellStyle name="Percent 16 2 4" xfId="3490" xr:uid="{C7D47CA7-B8D2-4308-8EB8-BAFFD7B71CA4}"/>
    <cellStyle name="Percent 16 2 5" xfId="3491" xr:uid="{878BA352-07A7-46DD-8954-D876CAE832D8}"/>
    <cellStyle name="Percent 16 3" xfId="3492" xr:uid="{472D8E8C-629E-4D49-B586-400DA43099DB}"/>
    <cellStyle name="Percent 16 3 2" xfId="3493" xr:uid="{AA877ADD-6E96-4F6C-A680-210D458DDEAE}"/>
    <cellStyle name="Percent 16 3 2 2" xfId="3494" xr:uid="{ABD734D6-C754-4784-975A-B5031B8B7562}"/>
    <cellStyle name="Percent 16 3 2 3" xfId="3495" xr:uid="{33F2ABAE-5427-48DC-955E-30AC98BAC053}"/>
    <cellStyle name="Percent 16 3 3" xfId="3496" xr:uid="{5CA9039C-32D1-4F91-B3D1-1EFE543017EB}"/>
    <cellStyle name="Percent 16 3 4" xfId="3497" xr:uid="{51E41E1E-C2B8-4A30-B6F7-1A3DBD79801C}"/>
    <cellStyle name="Percent 16 4" xfId="3498" xr:uid="{216BE8BE-B926-4153-ADED-0C1F17574A9F}"/>
    <cellStyle name="Percent 16 4 2" xfId="3499" xr:uid="{64F90ACC-7324-4D2F-967E-BB9A50DE7B72}"/>
    <cellStyle name="Percent 16 4 3" xfId="3500" xr:uid="{4684445F-A18F-47A0-8DCB-6B698F1F6754}"/>
    <cellStyle name="Percent 16 5" xfId="3501" xr:uid="{83840740-17DC-4647-810B-10BEB8AA5E97}"/>
    <cellStyle name="Percent 16 6" xfId="3502" xr:uid="{B9FA119C-9820-47B6-B56F-854015BE9B29}"/>
    <cellStyle name="Percent 17" xfId="3503" xr:uid="{19D72245-F97C-42F5-9E33-98FCFF3F6107}"/>
    <cellStyle name="Percent 17 2" xfId="3504" xr:uid="{2851FB71-43AE-4552-9826-A97BCA55838E}"/>
    <cellStyle name="Percent 17 2 2" xfId="3505" xr:uid="{F4FAAD57-EAE5-42DA-A0D6-F12E90C227CE}"/>
    <cellStyle name="Percent 17 2 2 2" xfId="3506" xr:uid="{2ABED169-41AF-4208-96B0-53C702206A1B}"/>
    <cellStyle name="Percent 17 2 2 2 2" xfId="3507" xr:uid="{E5643671-D2C5-4A09-B67C-00137A5A8751}"/>
    <cellStyle name="Percent 17 2 2 2 3" xfId="3508" xr:uid="{260B4099-2063-44EB-ADD6-E8383D307DE3}"/>
    <cellStyle name="Percent 17 2 2 3" xfId="3509" xr:uid="{6C31F804-2FB1-40E3-BA73-C534C7994E10}"/>
    <cellStyle name="Percent 17 2 2 4" xfId="3510" xr:uid="{D2E4BC14-8C50-42C4-8A63-7B03105561B5}"/>
    <cellStyle name="Percent 17 2 3" xfId="3511" xr:uid="{94283947-6D9F-434C-B131-F053D1BF600B}"/>
    <cellStyle name="Percent 17 2 3 2" xfId="3512" xr:uid="{18436068-BB2F-4050-899A-56DB2D4F23BA}"/>
    <cellStyle name="Percent 17 2 3 3" xfId="3513" xr:uid="{DEC82D4F-5FA4-4EEA-953B-8E927CA0CC91}"/>
    <cellStyle name="Percent 17 2 4" xfId="3514" xr:uid="{DC7E3F22-7164-429D-8151-15E744004B90}"/>
    <cellStyle name="Percent 17 2 5" xfId="3515" xr:uid="{40F774FD-CDCC-458A-8CEF-D38D1298CCD7}"/>
    <cellStyle name="Percent 17 3" xfId="3516" xr:uid="{D1F22034-C650-4572-BC62-E3B8AF9CC414}"/>
    <cellStyle name="Percent 17 3 2" xfId="3517" xr:uid="{CAB8FF04-7A85-48DB-899E-E93506FDA84B}"/>
    <cellStyle name="Percent 17 3 2 2" xfId="3518" xr:uid="{748F9E9A-FA1B-4947-A14D-0F3998554CE5}"/>
    <cellStyle name="Percent 17 3 2 3" xfId="3519" xr:uid="{4F3DC1D0-EEBC-4C40-905F-95C814FF5279}"/>
    <cellStyle name="Percent 17 3 3" xfId="3520" xr:uid="{A0681AAC-2628-40CF-8B86-62615E0CED86}"/>
    <cellStyle name="Percent 17 3 4" xfId="3521" xr:uid="{F9F833A0-81BD-46FB-A8D3-CDEE339E7324}"/>
    <cellStyle name="Percent 17 4" xfId="3522" xr:uid="{7872C350-7105-44B5-B24A-63451F39FDD7}"/>
    <cellStyle name="Percent 17 4 2" xfId="3523" xr:uid="{CDE816E9-FD63-450B-B4DF-A5DF847FF0E4}"/>
    <cellStyle name="Percent 17 4 3" xfId="3524" xr:uid="{4F185B33-E310-4ACF-9492-4E11B2E984CB}"/>
    <cellStyle name="Percent 17 5" xfId="3525" xr:uid="{7590BE17-E51D-4676-A1C3-0726A5B3B409}"/>
    <cellStyle name="Percent 17 6" xfId="3526" xr:uid="{96B5D685-D64A-4280-880A-BE1D141034B4}"/>
    <cellStyle name="Percent 18" xfId="3527" xr:uid="{63EF51D5-D660-4AC4-820C-56F2A36F6D13}"/>
    <cellStyle name="Percent 18 2" xfId="3528" xr:uid="{AA410D28-39D1-49F3-962B-718716A9C173}"/>
    <cellStyle name="Percent 18 2 2" xfId="3529" xr:uid="{4C451664-440E-42C3-BCD2-5D11BE9D102D}"/>
    <cellStyle name="Percent 18 2 2 2" xfId="3530" xr:uid="{48365BD5-B2DA-4160-BF3E-1FDB67280467}"/>
    <cellStyle name="Percent 18 2 2 2 2" xfId="3531" xr:uid="{EECAB9D7-9227-4806-B77C-7DA0E61F3A8E}"/>
    <cellStyle name="Percent 18 2 2 2 3" xfId="3532" xr:uid="{6EAD9EC7-293C-407C-BD2A-9F3F82C0C627}"/>
    <cellStyle name="Percent 18 2 2 3" xfId="3533" xr:uid="{BF6CE0D3-3E1E-45FB-A693-E591194B89D4}"/>
    <cellStyle name="Percent 18 2 2 4" xfId="3534" xr:uid="{9FA68FBA-5AAE-435D-9248-7DD483754DDC}"/>
    <cellStyle name="Percent 18 2 3" xfId="3535" xr:uid="{0B7059FA-A9EA-4F45-B34A-48E2EE227327}"/>
    <cellStyle name="Percent 18 2 3 2" xfId="3536" xr:uid="{21F88218-D5B9-447C-AB1B-9FC2D4D94F4C}"/>
    <cellStyle name="Percent 18 2 3 3" xfId="3537" xr:uid="{FA2D583F-E4AE-4158-92CB-0D6CA1C91E86}"/>
    <cellStyle name="Percent 18 2 4" xfId="3538" xr:uid="{AEAEE641-FA7F-4E4B-8A98-F508704C94E0}"/>
    <cellStyle name="Percent 18 2 5" xfId="3539" xr:uid="{0B5F2546-C424-4F33-8445-66F5F6AAF229}"/>
    <cellStyle name="Percent 18 3" xfId="3540" xr:uid="{E4153ECE-01C4-4799-8EED-443A7054DC9E}"/>
    <cellStyle name="Percent 18 3 2" xfId="3541" xr:uid="{BC7CDD20-DF28-44EA-B7B1-C0E53D07576E}"/>
    <cellStyle name="Percent 18 3 2 2" xfId="3542" xr:uid="{B7B6DDD7-17DD-4328-9B6C-05D3B41595CB}"/>
    <cellStyle name="Percent 18 3 2 3" xfId="3543" xr:uid="{F7233966-A5F2-4891-A28D-921A15D27926}"/>
    <cellStyle name="Percent 18 3 3" xfId="3544" xr:uid="{46CD208A-BB9D-4399-990A-7EAAC4550D19}"/>
    <cellStyle name="Percent 18 3 4" xfId="3545" xr:uid="{75457360-2779-40BD-A2A8-0BD23FAD212B}"/>
    <cellStyle name="Percent 18 4" xfId="3546" xr:uid="{6B5E31EC-C4A8-4EC1-82E6-166BFF3B2F4E}"/>
    <cellStyle name="Percent 18 4 2" xfId="3547" xr:uid="{A7FB4D1C-7B4A-458E-81FA-7C8CAC1D64C2}"/>
    <cellStyle name="Percent 18 4 3" xfId="3548" xr:uid="{DBA0B62F-B13F-4DF1-9906-70A5FFA73DE8}"/>
    <cellStyle name="Percent 18 5" xfId="3549" xr:uid="{2D1C15CC-D41E-40AA-9665-84C92A9DE852}"/>
    <cellStyle name="Percent 18 6" xfId="3550" xr:uid="{E9F942D4-6FA5-4728-9DE7-43EF2D4C794E}"/>
    <cellStyle name="Percent 19" xfId="3551" xr:uid="{C6F1FAA4-70B5-41AD-96E6-3EB8ADBA16E3}"/>
    <cellStyle name="Percent 19 2" xfId="3552" xr:uid="{3FA1C730-C1BD-4A93-8BED-37137B0B5F21}"/>
    <cellStyle name="Percent 19 2 2" xfId="3553" xr:uid="{2149B1CC-21F2-42C1-8A75-3317A0D1E27D}"/>
    <cellStyle name="Percent 19 2 2 2" xfId="3554" xr:uid="{FB9295F5-D080-4700-9863-07C6383E335E}"/>
    <cellStyle name="Percent 19 2 2 2 2" xfId="3555" xr:uid="{179ABC3E-08A7-4D39-8471-A568ABBF7525}"/>
    <cellStyle name="Percent 19 2 2 2 3" xfId="3556" xr:uid="{1EDFB740-B7E1-4B5B-B178-90742487CFA6}"/>
    <cellStyle name="Percent 19 2 2 3" xfId="3557" xr:uid="{323407BD-9890-48D4-9A6A-F751FE08F3D5}"/>
    <cellStyle name="Percent 19 2 2 4" xfId="3558" xr:uid="{E1985E08-37AD-410E-8307-CE62BC395FBB}"/>
    <cellStyle name="Percent 19 2 3" xfId="3559" xr:uid="{EF33116D-73F8-4AAF-BB3E-1AB29C76DAF5}"/>
    <cellStyle name="Percent 19 2 3 2" xfId="3560" xr:uid="{95FDC0DE-1694-424F-9367-5BE368886170}"/>
    <cellStyle name="Percent 19 2 3 3" xfId="3561" xr:uid="{1CFF04AE-0DA3-488B-873E-D03B03D84DF2}"/>
    <cellStyle name="Percent 19 2 4" xfId="3562" xr:uid="{C44D5669-5CAF-4207-9021-90DD90C6715E}"/>
    <cellStyle name="Percent 19 2 5" xfId="3563" xr:uid="{3663E890-2C64-48D5-B37A-5E3B7B0FB76A}"/>
    <cellStyle name="Percent 19 3" xfId="3564" xr:uid="{7D075DD6-B619-47C6-A375-0235C8945862}"/>
    <cellStyle name="Percent 19 3 2" xfId="3565" xr:uid="{32B326E3-78E2-4090-B10D-F09B0055AA9A}"/>
    <cellStyle name="Percent 19 3 2 2" xfId="3566" xr:uid="{01A9A2C3-8E62-4B48-8D1F-F18FEA204616}"/>
    <cellStyle name="Percent 19 3 2 3" xfId="3567" xr:uid="{AE11F2D7-4D19-41D4-8A9F-F36462021531}"/>
    <cellStyle name="Percent 19 3 3" xfId="3568" xr:uid="{A818B038-C46F-480E-990F-C1B3DF86954C}"/>
    <cellStyle name="Percent 19 3 4" xfId="3569" xr:uid="{53C902D5-3808-4F98-AB07-2DE4235A8256}"/>
    <cellStyle name="Percent 19 4" xfId="3570" xr:uid="{6D4CABDE-EBCE-4818-B7EC-ED4CD3106924}"/>
    <cellStyle name="Percent 19 4 2" xfId="3571" xr:uid="{CC103A62-126C-4D48-A57A-552FBB8E4609}"/>
    <cellStyle name="Percent 19 4 3" xfId="3572" xr:uid="{D4FD09BF-E9CB-428C-9C89-DC054E2841FF}"/>
    <cellStyle name="Percent 19 5" xfId="3573" xr:uid="{8805902A-139F-4C64-AF6C-27ED85EF1C0A}"/>
    <cellStyle name="Percent 19 6" xfId="3574" xr:uid="{F88AC50B-3A99-492B-84CC-F9934080AA9C}"/>
    <cellStyle name="Percent 2" xfId="3575" xr:uid="{93C382D8-602F-4093-853B-D8DAD366D05D}"/>
    <cellStyle name="Percent 2 2" xfId="3576" xr:uid="{F2225A01-DC8C-417B-BE13-7121BFCD5470}"/>
    <cellStyle name="Percent 2 2 2" xfId="3577" xr:uid="{F03BEE04-932B-417D-AD80-4985ADA0D544}"/>
    <cellStyle name="Percent 2 2 3" xfId="3578" xr:uid="{B0464002-7C63-494C-A24C-A07409C4C295}"/>
    <cellStyle name="Percent 2 2 4" xfId="3579" xr:uid="{AF8F08F6-8080-4240-B186-76D1A7C8B1B8}"/>
    <cellStyle name="Percent 2 2 4 2" xfId="3580" xr:uid="{D32BED26-B13B-43E5-A9BF-140869CD7873}"/>
    <cellStyle name="Percent 2 2 4 2 2" xfId="3581" xr:uid="{85172D50-CE5E-469B-8F16-569EC24B1BE2}"/>
    <cellStyle name="Percent 2 2 4 2 3" xfId="3582" xr:uid="{7DD1EB9C-19E8-4B32-ADC5-C49CC101936D}"/>
    <cellStyle name="Percent 2 2 4 3" xfId="3583" xr:uid="{CC7FBA6B-3076-4F1C-B0AC-F618DEEF364E}"/>
    <cellStyle name="Percent 2 2 4 4" xfId="3584" xr:uid="{C9F92EED-5C03-46F6-9BD3-3FF71A0A7B6B}"/>
    <cellStyle name="Percent 2 2 5" xfId="3585" xr:uid="{C24ED711-A1A5-44EE-8534-C700A3A1F6C2}"/>
    <cellStyle name="Percent 2 2 5 2" xfId="3586" xr:uid="{F2FA11DF-1CDC-4187-A715-9C36AE50FF61}"/>
    <cellStyle name="Percent 2 2 5 3" xfId="3587" xr:uid="{A16BBD72-AA19-41A5-B147-56E66C8DA018}"/>
    <cellStyle name="Percent 2 2 6" xfId="3588" xr:uid="{D1E8E999-F7AD-4B7B-918F-6BBE327AB73D}"/>
    <cellStyle name="Percent 2 2 7" xfId="3589" xr:uid="{76EB126A-6C99-4D1F-BDB3-BB495329410A}"/>
    <cellStyle name="Percent 2 3" xfId="3590" xr:uid="{7F78E088-2E12-44D5-92B9-E894EE95FF33}"/>
    <cellStyle name="Percent 2 3 2" xfId="3591" xr:uid="{9FF8BB62-FC7B-439A-8209-015D8FEC4D0A}"/>
    <cellStyle name="Percent 2 3 2 2" xfId="3592" xr:uid="{871C8F6F-3A5D-4366-9751-18B9C07F25C9}"/>
    <cellStyle name="Percent 2 3 2 2 2" xfId="3593" xr:uid="{EE34B070-D803-4D36-A2C8-B1F5FA98E644}"/>
    <cellStyle name="Percent 2 3 2 2 3" xfId="3594" xr:uid="{24E83849-D1B6-4E7D-B884-2B634C3FCA64}"/>
    <cellStyle name="Percent 2 3 2 3" xfId="3595" xr:uid="{253917DD-3779-4197-8A58-28A6D0AAD9C5}"/>
    <cellStyle name="Percent 2 3 2 4" xfId="3596" xr:uid="{3661B6A6-D556-42E2-9A45-8CF665831ADD}"/>
    <cellStyle name="Percent 2 3 3" xfId="3597" xr:uid="{E035FD8B-7A3F-462C-9682-254301DFECA0}"/>
    <cellStyle name="Percent 2 3 3 2" xfId="3598" xr:uid="{4060755C-2CB8-4891-9128-BC25C05F541E}"/>
    <cellStyle name="Percent 2 3 3 3" xfId="3599" xr:uid="{2E6F1EB7-30B8-41EC-98EA-BFD0B97C9619}"/>
    <cellStyle name="Percent 2 3 4" xfId="3600" xr:uid="{DB9D68D9-11BD-450E-A30C-CFB61833E7A1}"/>
    <cellStyle name="Percent 2 3 5" xfId="3601" xr:uid="{92E7ACE4-712A-4935-96B9-B8B918DBC26C}"/>
    <cellStyle name="Percent 2 4" xfId="3602" xr:uid="{2EB9853D-6B9A-40A3-80BA-0983D62F5F4B}"/>
    <cellStyle name="Percent 2 4 2" xfId="3603" xr:uid="{B158718B-F10C-4C69-B99F-562A11441F7E}"/>
    <cellStyle name="Percent 2 4 2 2" xfId="3604" xr:uid="{EB60740D-996B-4918-8DE4-7B038764DDCA}"/>
    <cellStyle name="Percent 2 4 2 2 2" xfId="3605" xr:uid="{352DB32E-B2E9-4DCA-AF35-64BD464C22CF}"/>
    <cellStyle name="Percent 2 4 2 2 3" xfId="3606" xr:uid="{FA6E523C-11B3-49AD-A0D6-2E9E0F7A90D7}"/>
    <cellStyle name="Percent 2 4 2 3" xfId="3607" xr:uid="{5AAFD359-07C9-4F43-8667-AC6102AE7573}"/>
    <cellStyle name="Percent 2 4 2 4" xfId="3608" xr:uid="{384D3618-D630-4EAE-9F21-F528CB8D9F73}"/>
    <cellStyle name="Percent 2 4 3" xfId="3609" xr:uid="{16BD3F7A-43E9-4501-8AAD-74FA3924F9FF}"/>
    <cellStyle name="Percent 2 4 3 2" xfId="3610" xr:uid="{9D23F03B-A381-4600-8D6D-5E1EB981C2C7}"/>
    <cellStyle name="Percent 2 4 3 3" xfId="3611" xr:uid="{7A080BA5-B42F-4BEC-85CE-9ABCEA0247F0}"/>
    <cellStyle name="Percent 2 4 4" xfId="3612" xr:uid="{18DB94CB-82F6-46F1-B643-565895559B15}"/>
    <cellStyle name="Percent 2 4 5" xfId="3613" xr:uid="{5DBB15F6-F15B-46E1-A030-E5960029920D}"/>
    <cellStyle name="Percent 2 5" xfId="3614" xr:uid="{7C557752-EFEC-4B52-BF29-CA3C30D3D31E}"/>
    <cellStyle name="Percent 2 5 2" xfId="3615" xr:uid="{9744BEDE-C56F-457E-8D4B-3E9A5557A885}"/>
    <cellStyle name="Percent 2 5 2 2" xfId="3616" xr:uid="{7A0096A6-0F26-4658-BC55-2950C722D87D}"/>
    <cellStyle name="Percent 2 5 2 2 2" xfId="3617" xr:uid="{94046066-2F66-4E20-8B2B-2757041A01F2}"/>
    <cellStyle name="Percent 2 5 2 2 3" xfId="3618" xr:uid="{736EEC8B-261D-4EDD-8392-966DB9BF5E64}"/>
    <cellStyle name="Percent 2 5 2 3" xfId="3619" xr:uid="{C33F4886-0EBD-4CA6-8555-57CDEB68864D}"/>
    <cellStyle name="Percent 2 5 2 4" xfId="3620" xr:uid="{A5583A02-2F12-484C-B747-7D5A11738492}"/>
    <cellStyle name="Percent 2 5 3" xfId="3621" xr:uid="{A69F1F2E-7E03-4E80-BB54-67B6B3E8CEE0}"/>
    <cellStyle name="Percent 2 5 3 2" xfId="3622" xr:uid="{EDE0043A-97C7-4A96-9CB2-2CD59F12E7C6}"/>
    <cellStyle name="Percent 2 5 3 3" xfId="3623" xr:uid="{F95A3FDC-4379-490F-8D64-437D246A8099}"/>
    <cellStyle name="Percent 2 5 4" xfId="3624" xr:uid="{34A1C54B-F8F6-4EE6-A8FB-FFAC6E7FA6B1}"/>
    <cellStyle name="Percent 2 5 5" xfId="3625" xr:uid="{A1E5147B-4EF6-426B-99F5-C5C09ABDEFE9}"/>
    <cellStyle name="Percent 2 6" xfId="3626" xr:uid="{80C0FE84-2307-4D6C-9805-09DEE0936158}"/>
    <cellStyle name="Percent 2 6 2" xfId="3627" xr:uid="{753B4E61-B3A2-477F-ACF6-78AB452A1ABA}"/>
    <cellStyle name="Percent 2 6 2 2" xfId="3628" xr:uid="{CFCD29AE-72CD-4541-AA13-EF157F133D05}"/>
    <cellStyle name="Percent 2 6 2 2 2" xfId="3629" xr:uid="{1674C6E3-D6DC-41B4-B5F9-E3971DB65824}"/>
    <cellStyle name="Percent 2 6 2 2 3" xfId="3630" xr:uid="{5B5D6547-8150-43E2-8B57-A7D5F5C0162C}"/>
    <cellStyle name="Percent 2 6 2 3" xfId="3631" xr:uid="{C5B9499F-CE69-4BE7-B466-5A8178430FDF}"/>
    <cellStyle name="Percent 2 6 2 4" xfId="3632" xr:uid="{99F51665-C6E1-4AF0-A53F-C84AA8EBCA91}"/>
    <cellStyle name="Percent 2 6 3" xfId="3633" xr:uid="{A1FCF109-D8CA-40C4-BDAA-C6D36BE576CE}"/>
    <cellStyle name="Percent 2 6 3 2" xfId="3634" xr:uid="{8D48CA8A-FEEF-41DA-BFBC-1CEF40E798B1}"/>
    <cellStyle name="Percent 2 6 3 3" xfId="3635" xr:uid="{FB3485F0-6D6D-4B2D-B758-CB1EDD70262F}"/>
    <cellStyle name="Percent 2 6 4" xfId="3636" xr:uid="{60337719-ED39-42BE-B6E2-8CD966440325}"/>
    <cellStyle name="Percent 2 6 5" xfId="3637" xr:uid="{051AC653-2D9F-46E1-AA89-982C546A2325}"/>
    <cellStyle name="Percent 2 7" xfId="3638" xr:uid="{16192897-6F66-4290-81DE-E1508C5C8D2A}"/>
    <cellStyle name="Percent 2 8" xfId="3639" xr:uid="{727D3386-EEA4-4151-8D65-23FBCE6FC9D3}"/>
    <cellStyle name="Percent 20" xfId="3640" xr:uid="{3BB7F96B-B132-4C62-8684-82A7A10B39AB}"/>
    <cellStyle name="Percent 20 2" xfId="3641" xr:uid="{0DE1357A-37FA-46C9-B796-276D7F92C809}"/>
    <cellStyle name="Percent 20 2 2" xfId="3642" xr:uid="{16A19CB1-5C83-454B-89A0-6BF1CB52ADF2}"/>
    <cellStyle name="Percent 20 2 2 2" xfId="3643" xr:uid="{A7990FF2-DCE7-4597-ABE1-007222587B52}"/>
    <cellStyle name="Percent 20 2 2 2 2" xfId="3644" xr:uid="{26B72365-312C-4146-AE05-22D2A3E28B06}"/>
    <cellStyle name="Percent 20 2 2 2 3" xfId="3645" xr:uid="{6E83420D-D77E-4687-9530-CE70C9E4EC32}"/>
    <cellStyle name="Percent 20 2 2 3" xfId="3646" xr:uid="{327E62C7-428F-4D17-BC68-827B9D8B21CA}"/>
    <cellStyle name="Percent 20 2 2 4" xfId="3647" xr:uid="{28EC3373-DA8B-41FA-9D23-093FCC1DCD7A}"/>
    <cellStyle name="Percent 20 2 3" xfId="3648" xr:uid="{38828A7E-78F3-41EB-9DCC-BE095CBCAED8}"/>
    <cellStyle name="Percent 20 2 3 2" xfId="3649" xr:uid="{8EB9067F-F8E8-42DB-A618-6BB5C31C21BB}"/>
    <cellStyle name="Percent 20 2 3 3" xfId="3650" xr:uid="{F03ED858-FCAB-4883-AB72-A17BB21C6C6F}"/>
    <cellStyle name="Percent 20 2 4" xfId="3651" xr:uid="{31A4D9BD-89BE-4F98-8D90-B8695DD18A75}"/>
    <cellStyle name="Percent 20 2 5" xfId="3652" xr:uid="{5BB944AD-8E13-4823-A291-2724E49D57F9}"/>
    <cellStyle name="Percent 20 3" xfId="3653" xr:uid="{4D417C6D-CA9C-4BDC-8876-5191816F1A00}"/>
    <cellStyle name="Percent 20 3 2" xfId="3654" xr:uid="{140347B9-B3A1-4208-9DD9-26A9AA8712F0}"/>
    <cellStyle name="Percent 20 3 2 2" xfId="3655" xr:uid="{756688D7-C4A7-4409-AEC0-AED2DBBD3550}"/>
    <cellStyle name="Percent 20 3 2 3" xfId="3656" xr:uid="{E46E5B16-8F24-4CE2-A8AF-2C1AADD157BE}"/>
    <cellStyle name="Percent 20 3 3" xfId="3657" xr:uid="{9E65CE6C-BA64-49F5-A981-7D3919E9930C}"/>
    <cellStyle name="Percent 20 3 4" xfId="3658" xr:uid="{9DC03075-41CD-4CFB-BF0D-E9CBAA2C6612}"/>
    <cellStyle name="Percent 20 4" xfId="3659" xr:uid="{345651B9-D659-4780-9F68-57C90AA579B0}"/>
    <cellStyle name="Percent 20 4 2" xfId="3660" xr:uid="{35CFD9E9-CD8E-4A1D-A478-0891FAD3DF5F}"/>
    <cellStyle name="Percent 20 4 3" xfId="3661" xr:uid="{82E875C0-AF2F-4D86-94BD-4301ED812F40}"/>
    <cellStyle name="Percent 20 5" xfId="3662" xr:uid="{3DDF429F-CAF6-4426-ABB5-6AA7CFCBC2EB}"/>
    <cellStyle name="Percent 20 6" xfId="3663" xr:uid="{127A9291-E2F5-4821-83AF-2364584D396E}"/>
    <cellStyle name="Percent 21" xfId="3664" xr:uid="{22929E6E-6F4B-4510-B238-5447E7207C63}"/>
    <cellStyle name="Percent 21 2" xfId="3665" xr:uid="{9BA5660B-577C-49D7-9CBE-3D07655385E7}"/>
    <cellStyle name="Percent 21 2 2" xfId="3666" xr:uid="{E533B2C7-268B-49FE-AE1A-A91E098807FA}"/>
    <cellStyle name="Percent 21 2 2 2" xfId="3667" xr:uid="{716E9230-3727-4EC3-9EEB-DB8461A628D7}"/>
    <cellStyle name="Percent 21 2 2 2 2" xfId="3668" xr:uid="{4A93C777-EAFB-4B99-985B-E9FF3BA322BB}"/>
    <cellStyle name="Percent 21 2 2 2 3" xfId="3669" xr:uid="{654AA026-F6E5-457B-B379-B3E2F2F5A117}"/>
    <cellStyle name="Percent 21 2 2 3" xfId="3670" xr:uid="{A61597B7-2863-4339-A0CC-2E93A6662A8E}"/>
    <cellStyle name="Percent 21 2 2 4" xfId="3671" xr:uid="{A05F2167-2E4B-4406-A16E-A1D7C9447709}"/>
    <cellStyle name="Percent 21 2 3" xfId="3672" xr:uid="{E53BC86C-D591-4183-BBD1-A3DFE3B4A43D}"/>
    <cellStyle name="Percent 21 2 3 2" xfId="3673" xr:uid="{FF96D987-A484-4DCA-8017-B0B0B654BB5F}"/>
    <cellStyle name="Percent 21 2 3 3" xfId="3674" xr:uid="{6DF382A1-3D58-44FB-A522-4B924F450E2D}"/>
    <cellStyle name="Percent 21 2 4" xfId="3675" xr:uid="{3083F2FC-12F2-40B9-A979-B1A80ECE80E3}"/>
    <cellStyle name="Percent 21 2 5" xfId="3676" xr:uid="{96C61521-2373-4179-95A9-70BA3B7609A7}"/>
    <cellStyle name="Percent 21 3" xfId="3677" xr:uid="{94AEE487-84BC-4372-9D7D-5C816A67A667}"/>
    <cellStyle name="Percent 21 3 2" xfId="3678" xr:uid="{BC81E2E5-C14A-499E-8CA9-31DDD229E5E1}"/>
    <cellStyle name="Percent 21 3 2 2" xfId="3679" xr:uid="{0E22E02C-CE72-4BAB-A042-CA7B14E90A3F}"/>
    <cellStyle name="Percent 21 3 2 3" xfId="3680" xr:uid="{71616493-62C0-4A9E-B64A-B4F9DC3115C5}"/>
    <cellStyle name="Percent 21 3 3" xfId="3681" xr:uid="{C18C2E51-D902-4ADD-812B-8C0AEA3F34F9}"/>
    <cellStyle name="Percent 21 3 4" xfId="3682" xr:uid="{AE837A65-7DB9-4DCE-943A-ABA6F6062F27}"/>
    <cellStyle name="Percent 21 4" xfId="3683" xr:uid="{7E41D453-502E-4489-BA48-E314B9BC9A6E}"/>
    <cellStyle name="Percent 21 4 2" xfId="3684" xr:uid="{AE3083D7-7384-4D7C-B61E-D0851238E281}"/>
    <cellStyle name="Percent 21 4 3" xfId="3685" xr:uid="{38ED62E5-E264-4447-AFEA-DBF443D6A025}"/>
    <cellStyle name="Percent 21 5" xfId="3686" xr:uid="{6CE26F7E-B288-4FC0-82DC-BF9158DA166D}"/>
    <cellStyle name="Percent 21 6" xfId="3687" xr:uid="{6AF0B57F-FDA7-4AA9-B73A-463D41B63C08}"/>
    <cellStyle name="Percent 22" xfId="3688" xr:uid="{FFDF06A5-A7DF-45A6-82AA-D7F3A41BFF4C}"/>
    <cellStyle name="Percent 22 2" xfId="3689" xr:uid="{88D09DED-580B-4ABD-BB71-2BC7A87FF424}"/>
    <cellStyle name="Percent 22 2 2" xfId="3690" xr:uid="{97CA3C6D-B42E-444A-AC85-781CD0DDC810}"/>
    <cellStyle name="Percent 22 2 2 2" xfId="3691" xr:uid="{95BE80BB-0A36-40C7-A470-52F26FE5FF1F}"/>
    <cellStyle name="Percent 22 2 2 2 2" xfId="3692" xr:uid="{608A7D14-A8CB-4C04-AE69-6810919E72C8}"/>
    <cellStyle name="Percent 22 2 2 2 3" xfId="3693" xr:uid="{640DE84E-BC01-426B-87E6-1E93EFB4A47B}"/>
    <cellStyle name="Percent 22 2 2 3" xfId="3694" xr:uid="{96DFBEFF-026A-45D8-87A7-8D91B9E9F215}"/>
    <cellStyle name="Percent 22 2 2 4" xfId="3695" xr:uid="{EB981539-87DB-44BC-9E50-37FA6194C132}"/>
    <cellStyle name="Percent 22 2 3" xfId="3696" xr:uid="{930AE5AE-8887-4D5B-9D7C-664C00284D2D}"/>
    <cellStyle name="Percent 22 2 3 2" xfId="3697" xr:uid="{9BB30286-1447-4C32-94C0-D99E25B45551}"/>
    <cellStyle name="Percent 22 2 3 3" xfId="3698" xr:uid="{DD1ED554-3863-4847-9FA4-15DE62DBD8B9}"/>
    <cellStyle name="Percent 22 2 4" xfId="3699" xr:uid="{BA81E9F4-3232-4277-81EF-F41FBD65E47F}"/>
    <cellStyle name="Percent 22 2 5" xfId="3700" xr:uid="{28C485AF-0182-411A-8B06-D2FD1548EDD8}"/>
    <cellStyle name="Percent 22 3" xfId="3701" xr:uid="{F3EA1F84-8C6C-419B-AB57-4CF4C7037387}"/>
    <cellStyle name="Percent 22 3 2" xfId="3702" xr:uid="{3C785554-2A16-46B1-AEA3-BE763EAA8B4D}"/>
    <cellStyle name="Percent 22 3 2 2" xfId="3703" xr:uid="{93234A9D-8583-4198-8874-9346E9524DB2}"/>
    <cellStyle name="Percent 22 3 2 3" xfId="3704" xr:uid="{D5C9AA65-E34D-4491-A634-B5E9B4E0C2E3}"/>
    <cellStyle name="Percent 22 3 3" xfId="3705" xr:uid="{FA577BD7-0405-4261-9A50-F294E4E4CE18}"/>
    <cellStyle name="Percent 22 3 4" xfId="3706" xr:uid="{89F2F85D-D2BB-49FB-8401-64952FCC709A}"/>
    <cellStyle name="Percent 22 4" xfId="3707" xr:uid="{40F240A9-117C-4056-ADF4-635FD281564A}"/>
    <cellStyle name="Percent 22 4 2" xfId="3708" xr:uid="{6341665E-8C31-4791-A40D-53E8FA146CD6}"/>
    <cellStyle name="Percent 22 4 3" xfId="3709" xr:uid="{492EA729-0F48-4A23-B554-081B4B82B708}"/>
    <cellStyle name="Percent 22 5" xfId="3710" xr:uid="{17CD7FC0-9EA4-4031-81A0-AE2217C26B3D}"/>
    <cellStyle name="Percent 22 6" xfId="3711" xr:uid="{975B2748-4A7D-4296-BE2C-499BBC359E72}"/>
    <cellStyle name="Percent 23" xfId="3712" xr:uid="{05A58B42-8DDC-4E7C-95CF-B840D5647193}"/>
    <cellStyle name="Percent 23 2" xfId="3713" xr:uid="{A6C59E31-E142-4EC7-BA9C-4F86FDF8CE7F}"/>
    <cellStyle name="Percent 23 2 2" xfId="3714" xr:uid="{5CEEEAE9-2E93-4CA0-8C2E-9ABC96ED2F3F}"/>
    <cellStyle name="Percent 23 2 2 2" xfId="3715" xr:uid="{7EDAE5B6-0006-4F40-BA63-A9958DD5EB58}"/>
    <cellStyle name="Percent 23 2 2 2 2" xfId="3716" xr:uid="{47DFB31B-CBED-4D77-B476-D200D41D4F8C}"/>
    <cellStyle name="Percent 23 2 2 2 3" xfId="3717" xr:uid="{5A4AAA87-5D6C-4207-802C-E007823106E5}"/>
    <cellStyle name="Percent 23 2 2 3" xfId="3718" xr:uid="{4F1B0E5F-6C32-4BE7-92C5-CB5846E7B77F}"/>
    <cellStyle name="Percent 23 2 2 4" xfId="3719" xr:uid="{B79AF03B-19B6-4C02-BED6-45A261D92D3D}"/>
    <cellStyle name="Percent 23 2 3" xfId="3720" xr:uid="{0AEBFDAC-AF4A-47FE-804B-815ADD8667E5}"/>
    <cellStyle name="Percent 23 2 3 2" xfId="3721" xr:uid="{988A5468-EA7D-4284-9C8A-25E05BB24463}"/>
    <cellStyle name="Percent 23 2 3 3" xfId="3722" xr:uid="{212129D6-FED4-4801-AA38-90857DAA47D9}"/>
    <cellStyle name="Percent 23 2 4" xfId="3723" xr:uid="{C34B6B80-AB97-49EA-834F-74BC036FC6C6}"/>
    <cellStyle name="Percent 23 2 5" xfId="3724" xr:uid="{93D90FBE-9261-49D1-AC37-29538D330F4F}"/>
    <cellStyle name="Percent 23 3" xfId="3725" xr:uid="{DB807F81-5789-42FE-9A4B-4634C6FF943C}"/>
    <cellStyle name="Percent 23 3 2" xfId="3726" xr:uid="{FF2F91E5-04BA-4E38-BCF9-DD8AEF6D0391}"/>
    <cellStyle name="Percent 23 3 2 2" xfId="3727" xr:uid="{FB132FC0-7B1F-48ED-BB0A-2BAC6B74CB82}"/>
    <cellStyle name="Percent 23 3 2 3" xfId="3728" xr:uid="{DA67291F-164C-41F9-8196-470BCD90EF68}"/>
    <cellStyle name="Percent 23 3 3" xfId="3729" xr:uid="{553DB16E-79DD-4E11-8BF6-74DB5AA2491F}"/>
    <cellStyle name="Percent 23 3 4" xfId="3730" xr:uid="{678AAEFC-9B9F-421D-9FC5-5F759B60C1C7}"/>
    <cellStyle name="Percent 23 4" xfId="3731" xr:uid="{6A906278-FE79-4FE1-93A5-A7A2859A2518}"/>
    <cellStyle name="Percent 23 4 2" xfId="3732" xr:uid="{09C01575-07C8-49E6-8924-AEDE3001E3FC}"/>
    <cellStyle name="Percent 23 4 3" xfId="3733" xr:uid="{A5C91FAB-C4DE-4F6A-8704-14FA57A8E815}"/>
    <cellStyle name="Percent 23 5" xfId="3734" xr:uid="{76823B79-C3B2-4F09-B341-535F76D9F92F}"/>
    <cellStyle name="Percent 23 6" xfId="3735" xr:uid="{C482C019-C814-4F49-9F20-7CCBC7567043}"/>
    <cellStyle name="Percent 24" xfId="3736" xr:uid="{58470635-BB6F-4649-A8A9-E767B00525E5}"/>
    <cellStyle name="Percent 24 2" xfId="3737" xr:uid="{49F27FB4-FDC2-48F3-8C7D-FDFD98553335}"/>
    <cellStyle name="Percent 24 2 2" xfId="3738" xr:uid="{6D3CB8AA-6E88-4D7D-A7EE-0752B2D58DA6}"/>
    <cellStyle name="Percent 24 2 2 2" xfId="3739" xr:uid="{8A342543-F7DA-4049-AD5F-C07B102E3F32}"/>
    <cellStyle name="Percent 24 2 2 2 2" xfId="3740" xr:uid="{7CA50545-3A5B-4A67-B849-FC448E52D5C3}"/>
    <cellStyle name="Percent 24 2 2 2 3" xfId="3741" xr:uid="{371AF4EB-97DE-41BF-9F92-78DDE43BE60A}"/>
    <cellStyle name="Percent 24 2 2 3" xfId="3742" xr:uid="{79BC17E8-5E6C-45AF-977E-2D12BF29ED35}"/>
    <cellStyle name="Percent 24 2 2 4" xfId="3743" xr:uid="{C78B4BD0-96EE-48CA-A60D-0310B35E49D1}"/>
    <cellStyle name="Percent 24 2 3" xfId="3744" xr:uid="{2118D705-BE8C-449D-8C72-FBA6D7519E4F}"/>
    <cellStyle name="Percent 24 2 3 2" xfId="3745" xr:uid="{77B4F554-1DEE-4F33-A254-864A31E14F97}"/>
    <cellStyle name="Percent 24 2 3 3" xfId="3746" xr:uid="{776F0D7C-238B-426B-A195-46F0EBC0B9EE}"/>
    <cellStyle name="Percent 24 2 4" xfId="3747" xr:uid="{D50FD1AE-1886-4FBA-98C2-8EBB4AF43D5F}"/>
    <cellStyle name="Percent 24 2 5" xfId="3748" xr:uid="{445520E6-6DA9-4864-8A80-13C8487C6AB7}"/>
    <cellStyle name="Percent 24 3" xfId="3749" xr:uid="{CB022FA5-55D3-4238-892A-0EAAB11CCA91}"/>
    <cellStyle name="Percent 24 3 2" xfId="3750" xr:uid="{158BCFD1-23E5-4A26-A14E-9919E708EF70}"/>
    <cellStyle name="Percent 24 3 2 2" xfId="3751" xr:uid="{0D39E7F1-2165-498E-B5A6-AD5B3F6F5E3F}"/>
    <cellStyle name="Percent 24 3 2 3" xfId="3752" xr:uid="{0CACAA66-BE9F-4454-AB51-403A0155F92C}"/>
    <cellStyle name="Percent 24 3 3" xfId="3753" xr:uid="{48493250-0CC7-4199-BF86-02D07A8244FE}"/>
    <cellStyle name="Percent 24 3 4" xfId="3754" xr:uid="{62AC5E17-A81B-4E66-BBEF-4DD3963C6EEB}"/>
    <cellStyle name="Percent 24 4" xfId="3755" xr:uid="{9C5BF7E3-DA94-4F23-8133-FEF5C870A481}"/>
    <cellStyle name="Percent 24 4 2" xfId="3756" xr:uid="{76F89541-40A1-4BFD-879B-46C03DF179FB}"/>
    <cellStyle name="Percent 24 4 3" xfId="3757" xr:uid="{31B57EF3-2098-46CE-9A19-11697A75E9D6}"/>
    <cellStyle name="Percent 24 5" xfId="3758" xr:uid="{E63C5D3F-F641-44CC-9761-6DC9A78913B7}"/>
    <cellStyle name="Percent 24 6" xfId="3759" xr:uid="{75069496-B8C6-45A2-BEEE-4F10885B7FF7}"/>
    <cellStyle name="Percent 25" xfId="3760" xr:uid="{6DDA521F-DED2-4C10-85A2-AA0C8602C992}"/>
    <cellStyle name="Percent 25 2" xfId="3761" xr:uid="{3C817A67-B788-43AE-B789-E1183ED2766A}"/>
    <cellStyle name="Percent 25 2 2" xfId="3762" xr:uid="{0D4A5CD8-BE35-43C9-A7ED-FB7B842E7501}"/>
    <cellStyle name="Percent 25 2 2 2" xfId="3763" xr:uid="{83E45FD7-DA0F-43D7-8F5A-0B2E941DF2B7}"/>
    <cellStyle name="Percent 25 2 2 2 2" xfId="3764" xr:uid="{3A72C50D-47D9-4749-8022-5EF7F0620F2A}"/>
    <cellStyle name="Percent 25 2 2 2 3" xfId="3765" xr:uid="{A0012C5C-9117-45B8-9957-59C830EFCD40}"/>
    <cellStyle name="Percent 25 2 2 3" xfId="3766" xr:uid="{79A205B3-F130-4389-A4B6-B9A2DC956F86}"/>
    <cellStyle name="Percent 25 2 2 4" xfId="3767" xr:uid="{78D4F9A9-8FEC-4AA0-85A8-FE67C6F3EA2A}"/>
    <cellStyle name="Percent 25 2 3" xfId="3768" xr:uid="{0E344CB9-A5E4-46A9-B643-FD02B7E91AFC}"/>
    <cellStyle name="Percent 25 2 3 2" xfId="3769" xr:uid="{D673D96A-F6DA-4BB7-819C-9DE831441059}"/>
    <cellStyle name="Percent 25 2 3 3" xfId="3770" xr:uid="{8AA5EC6E-7301-4E01-8E13-D43FDAE5A507}"/>
    <cellStyle name="Percent 25 2 4" xfId="3771" xr:uid="{EBF33C75-1294-4482-9DB4-6275A615A0F5}"/>
    <cellStyle name="Percent 25 2 5" xfId="3772" xr:uid="{E7E1A8D5-271B-485C-B35E-AC2B2C3AEBC4}"/>
    <cellStyle name="Percent 25 3" xfId="3773" xr:uid="{B01C21B2-AFF7-43BF-8623-F2712C7F8785}"/>
    <cellStyle name="Percent 25 3 2" xfId="3774" xr:uid="{5F918511-7BE2-4EFB-B7EB-468A8073C4DD}"/>
    <cellStyle name="Percent 25 3 2 2" xfId="3775" xr:uid="{E99D73DE-B1DC-4A33-976D-4B096AD57439}"/>
    <cellStyle name="Percent 25 3 2 3" xfId="3776" xr:uid="{EE32F80C-0043-47F7-B55E-C8994E7D26CF}"/>
    <cellStyle name="Percent 25 3 3" xfId="3777" xr:uid="{BE9898ED-8B53-4315-A7BA-CD99D33C6E79}"/>
    <cellStyle name="Percent 25 3 4" xfId="3778" xr:uid="{6553D77A-B238-4663-ABD3-6F0C8356B87F}"/>
    <cellStyle name="Percent 25 4" xfId="3779" xr:uid="{041AE43C-188D-4FEF-95EC-1828DAAB9851}"/>
    <cellStyle name="Percent 25 4 2" xfId="3780" xr:uid="{D4483905-5411-434C-A2AE-84DBFE245E27}"/>
    <cellStyle name="Percent 25 4 3" xfId="3781" xr:uid="{4896A957-AE4D-4731-BDE4-3B2F0767B368}"/>
    <cellStyle name="Percent 25 5" xfId="3782" xr:uid="{02C96041-1937-4019-89D9-BC3BB8D3BD17}"/>
    <cellStyle name="Percent 25 6" xfId="3783" xr:uid="{CB35692E-FBC6-47FB-BC68-6E5C67D19068}"/>
    <cellStyle name="Percent 26" xfId="3784" xr:uid="{51A2C0DC-8DCC-46D3-9521-657F47C80D68}"/>
    <cellStyle name="Percent 26 2" xfId="3785" xr:uid="{BA130AA6-3CCA-4D33-BE5D-D1CBC09E17B2}"/>
    <cellStyle name="Percent 26 2 2" xfId="3786" xr:uid="{1B591F0B-6862-4EF5-932B-52482556BB6C}"/>
    <cellStyle name="Percent 26 2 2 2" xfId="3787" xr:uid="{D453DE43-7C5F-4C3E-85FE-CA143A4613A0}"/>
    <cellStyle name="Percent 26 2 2 2 2" xfId="3788" xr:uid="{38516662-D930-4B0D-985D-695C4C1E362F}"/>
    <cellStyle name="Percent 26 2 2 2 3" xfId="3789" xr:uid="{D291D165-778F-4790-BA99-E53808A4C67C}"/>
    <cellStyle name="Percent 26 2 2 3" xfId="3790" xr:uid="{534D84B8-AC70-43F0-9C57-8B0882F3DA4B}"/>
    <cellStyle name="Percent 26 2 2 4" xfId="3791" xr:uid="{585F0356-015D-49EE-BDA1-E4B1EA07260E}"/>
    <cellStyle name="Percent 26 2 3" xfId="3792" xr:uid="{CFF0C1DC-E219-43FF-BFB4-076BA3720982}"/>
    <cellStyle name="Percent 26 2 3 2" xfId="3793" xr:uid="{57EE7476-6A7A-4144-97DA-00FFE0659BB0}"/>
    <cellStyle name="Percent 26 2 3 3" xfId="3794" xr:uid="{94ACD49D-2BDE-4813-A239-BFC7D4BE14D8}"/>
    <cellStyle name="Percent 26 2 4" xfId="3795" xr:uid="{BBF0A29B-788B-4F51-946F-76E0F98D3983}"/>
    <cellStyle name="Percent 26 2 5" xfId="3796" xr:uid="{0C676001-3FC4-4C27-8777-CD1ACDA55C4C}"/>
    <cellStyle name="Percent 26 3" xfId="3797" xr:uid="{8E44864B-FE7E-4BFF-B3F9-B5F01A449DAA}"/>
    <cellStyle name="Percent 26 3 2" xfId="3798" xr:uid="{5C9EFA7A-1DC3-4AA2-AFC2-A7BBD54976BB}"/>
    <cellStyle name="Percent 26 3 2 2" xfId="3799" xr:uid="{65AFA10E-BA22-4AA9-8C88-731ED9BFBA1C}"/>
    <cellStyle name="Percent 26 3 2 3" xfId="3800" xr:uid="{2854AE48-6CE8-436C-BBF7-F4217F22C318}"/>
    <cellStyle name="Percent 26 3 3" xfId="3801" xr:uid="{EA695FAD-8C73-4E72-B347-F81B82F2C66B}"/>
    <cellStyle name="Percent 26 3 4" xfId="3802" xr:uid="{4EAEADC5-7DBF-4989-8ABA-0D7FD9031CC0}"/>
    <cellStyle name="Percent 26 4" xfId="3803" xr:uid="{07C439C6-E738-4DF3-B32B-00F03C7BD9B8}"/>
    <cellStyle name="Percent 26 4 2" xfId="3804" xr:uid="{DF295B42-EE49-485B-A1C9-482A8016DFE5}"/>
    <cellStyle name="Percent 26 4 3" xfId="3805" xr:uid="{69616C7D-76A0-40C5-8E04-A5592F668B37}"/>
    <cellStyle name="Percent 26 5" xfId="3806" xr:uid="{78C02CEC-66BD-4182-BDC6-B9C2F4935A44}"/>
    <cellStyle name="Percent 26 6" xfId="3807" xr:uid="{E41644EA-1B38-4E8C-9C24-23CDD3981315}"/>
    <cellStyle name="Percent 27" xfId="3808" xr:uid="{90EA7811-F798-4ABF-9E54-8AD140578E5F}"/>
    <cellStyle name="Percent 27 2" xfId="3809" xr:uid="{E4C8577C-7BA6-456A-975F-756267E8DCD7}"/>
    <cellStyle name="Percent 27 2 2" xfId="3810" xr:uid="{6CC1FAEA-CA6B-466D-A031-C381E58782EE}"/>
    <cellStyle name="Percent 27 2 2 2" xfId="3811" xr:uid="{F0A5229C-EDBB-4E42-8F41-D821CCBF804E}"/>
    <cellStyle name="Percent 27 2 2 2 2" xfId="3812" xr:uid="{684EB749-C513-4DDB-A50F-E38617D9C427}"/>
    <cellStyle name="Percent 27 2 2 2 3" xfId="3813" xr:uid="{4B87ADEA-6365-438E-B2FF-1DC17366C7FB}"/>
    <cellStyle name="Percent 27 2 2 3" xfId="3814" xr:uid="{23C4AB28-6053-4335-9713-BAC8041ECDB3}"/>
    <cellStyle name="Percent 27 2 2 4" xfId="3815" xr:uid="{D1C9B425-D440-47FA-B047-2A9A687AE563}"/>
    <cellStyle name="Percent 27 2 3" xfId="3816" xr:uid="{A7249F8D-15FF-4E59-A7DB-B2A42B694D9B}"/>
    <cellStyle name="Percent 27 2 3 2" xfId="3817" xr:uid="{9A21B3B7-94B4-4622-BAAA-BBE3F3719E33}"/>
    <cellStyle name="Percent 27 2 3 3" xfId="3818" xr:uid="{20051ECA-AD32-4C6D-8818-44FA131307AA}"/>
    <cellStyle name="Percent 27 2 4" xfId="3819" xr:uid="{BD2B51A5-7216-410B-83D3-130B2A8DB3C7}"/>
    <cellStyle name="Percent 27 2 5" xfId="3820" xr:uid="{6F15ECD2-B55D-4B86-81F2-47385DFA9B0B}"/>
    <cellStyle name="Percent 27 3" xfId="3821" xr:uid="{78AA88AA-9BAC-47C5-8292-4E504636C2D8}"/>
    <cellStyle name="Percent 27 3 2" xfId="3822" xr:uid="{0F44996B-DD70-40B8-9A00-E07F1777E1CB}"/>
    <cellStyle name="Percent 27 3 2 2" xfId="3823" xr:uid="{7FFCF5F4-6B35-43A6-92C4-D2D05477E12C}"/>
    <cellStyle name="Percent 27 3 2 3" xfId="3824" xr:uid="{20D5C2BF-F026-4F35-9A8B-60285BBA919E}"/>
    <cellStyle name="Percent 27 3 3" xfId="3825" xr:uid="{7745C702-CC4D-4D44-A7DA-3CA889FC4AB4}"/>
    <cellStyle name="Percent 27 3 4" xfId="3826" xr:uid="{6F30AF46-C030-46B8-8468-B07B924B1D71}"/>
    <cellStyle name="Percent 27 4" xfId="3827" xr:uid="{E9E8B027-6C09-4615-96C3-4A657A0B6DC3}"/>
    <cellStyle name="Percent 27 4 2" xfId="3828" xr:uid="{C10AF3AE-F4F5-46BE-80D4-CA2184F5112D}"/>
    <cellStyle name="Percent 27 4 3" xfId="3829" xr:uid="{60796A93-915C-4932-B13E-215424F409F8}"/>
    <cellStyle name="Percent 27 5" xfId="3830" xr:uid="{EE39617F-7A4F-421E-9D7D-0C732E54C85B}"/>
    <cellStyle name="Percent 27 6" xfId="3831" xr:uid="{E41C4AAA-5EA1-4142-9C10-DB9C246765E5}"/>
    <cellStyle name="Percent 28" xfId="3832" xr:uid="{B0D9294F-1702-47F4-9819-6C9FFD4722B8}"/>
    <cellStyle name="Percent 28 2" xfId="3833" xr:uid="{F211096E-5981-45FA-8169-219BB45445D2}"/>
    <cellStyle name="Percent 29" xfId="3834" xr:uid="{8EE89551-9A91-48DF-8700-73342DA8B9F9}"/>
    <cellStyle name="Percent 29 2" xfId="3835" xr:uid="{C13C8E18-B007-4E0F-B9CA-6A1A35453A46}"/>
    <cellStyle name="Percent 3" xfId="3836" xr:uid="{AA526AA0-9447-402F-BD96-77CC12F3C879}"/>
    <cellStyle name="Percent 3 2" xfId="3837" xr:uid="{8CAC986B-8093-4BEC-844C-078D0907C30B}"/>
    <cellStyle name="Percent 3 2 2" xfId="3838" xr:uid="{EFB20960-B294-45D0-BF18-B47E74E23DD5}"/>
    <cellStyle name="Percent 3 3" xfId="3839" xr:uid="{7F98D60E-3CE0-4F7A-95F7-33775967F388}"/>
    <cellStyle name="Percent 3 4" xfId="3840" xr:uid="{5A7E486A-D376-4B92-8578-07965BE93164}"/>
    <cellStyle name="Percent 3 4 2" xfId="3841" xr:uid="{B2EC386A-3F81-46C6-A341-BBC21F897217}"/>
    <cellStyle name="Percent 3 4 2 2" xfId="3842" xr:uid="{3B797FA4-521F-4899-A704-2D229B691399}"/>
    <cellStyle name="Percent 3 4 2 3" xfId="3843" xr:uid="{4F2BA40B-6073-4816-9DC0-3CD4C24FBBF0}"/>
    <cellStyle name="Percent 3 4 3" xfId="3844" xr:uid="{8ACFE77A-B46F-4000-A708-8C59A43F4CF3}"/>
    <cellStyle name="Percent 3 4 4" xfId="3845" xr:uid="{84F33B60-D746-48A1-A690-7A727823A180}"/>
    <cellStyle name="Percent 3 5" xfId="3846" xr:uid="{4C7F4C76-0CC5-4F18-B088-538BB39FB4DA}"/>
    <cellStyle name="Percent 3 5 2" xfId="3847" xr:uid="{87CCBFC8-1605-4AFB-A7CA-CC12372D685B}"/>
    <cellStyle name="Percent 3 5 3" xfId="3848" xr:uid="{150D711C-FA4D-46F7-BF80-766A8426271C}"/>
    <cellStyle name="Percent 3 6" xfId="3849" xr:uid="{7B7A7CAD-1772-4B47-BD74-D751B71DAD8D}"/>
    <cellStyle name="Percent 3 7" xfId="3850" xr:uid="{98A7BC2C-1EE8-482C-ABFA-2034A9A45224}"/>
    <cellStyle name="Percent 30" xfId="3851" xr:uid="{8D11643F-0B13-44EF-9B01-216931C5BE5B}"/>
    <cellStyle name="Percent 30 2" xfId="3852" xr:uid="{37811665-9608-4FBE-93C5-BC0C19429588}"/>
    <cellStyle name="Percent 31" xfId="3853" xr:uid="{64C3B990-1A5F-4BB3-BF34-AA627CF28259}"/>
    <cellStyle name="Percent 31 2" xfId="3854" xr:uid="{AF316FD1-54C4-4A6A-BB3B-D2A2BEB4BA37}"/>
    <cellStyle name="Percent 32" xfId="3855" xr:uid="{6D67FDB6-1C2C-4569-BAB0-7894356B850D}"/>
    <cellStyle name="Percent 32 2" xfId="3856" xr:uid="{A3420F2E-C2F3-4F32-B218-FFDC0748A36F}"/>
    <cellStyle name="Percent 33" xfId="3857" xr:uid="{F54250E2-2563-4B58-A179-EC58FEF879DD}"/>
    <cellStyle name="Percent 33 2" xfId="3858" xr:uid="{10BEBCD3-3151-44D3-A0C3-B4F9E56671CF}"/>
    <cellStyle name="Percent 34" xfId="3859" xr:uid="{37303B74-03F6-4F4F-B0EF-8F3D5532080E}"/>
    <cellStyle name="Percent 34 2" xfId="3860" xr:uid="{99A26A39-107D-4329-9646-3199D295AED0}"/>
    <cellStyle name="Percent 35" xfId="3861" xr:uid="{E33A1AE1-556F-40F4-A423-EF3C6686312D}"/>
    <cellStyle name="Percent 35 2" xfId="3862" xr:uid="{29161FA6-742A-4769-AF3C-B4B193453011}"/>
    <cellStyle name="Percent 36" xfId="3863" xr:uid="{AAB4F756-E6E4-4F7A-9141-E0FA6EFC8315}"/>
    <cellStyle name="Percent 36 2" xfId="3864" xr:uid="{7A344512-039C-4082-8EBA-CB17F772B1C3}"/>
    <cellStyle name="Percent 37" xfId="3865" xr:uid="{8CF50F3F-4301-4A1D-87DA-085F08C154F3}"/>
    <cellStyle name="Percent 37 2" xfId="3866" xr:uid="{66F5F12F-3475-4F96-BEAF-005A9246FF21}"/>
    <cellStyle name="Percent 38" xfId="3867" xr:uid="{F9C29FC1-5384-484F-9B44-5CCBA77F07E4}"/>
    <cellStyle name="Percent 38 2" xfId="3868" xr:uid="{2F186D65-1E0A-4CEA-963F-E66C156213E5}"/>
    <cellStyle name="Percent 39" xfId="3869" xr:uid="{38DE69AF-929C-4257-AEB1-D6293F12AB0C}"/>
    <cellStyle name="Percent 39 2" xfId="3870" xr:uid="{737A972B-5D68-4F58-B895-6D08AEDA6EE9}"/>
    <cellStyle name="Percent 4" xfId="3871" xr:uid="{D236D662-38EC-4F56-8987-F62E907DC8EB}"/>
    <cellStyle name="Percent 4 2" xfId="3872" xr:uid="{020836C7-F87D-420F-B837-D689608171CA}"/>
    <cellStyle name="Percent 40" xfId="3873" xr:uid="{4A18DDB7-9845-48EC-A248-308A4D0EE434}"/>
    <cellStyle name="Percent 40 2" xfId="3874" xr:uid="{0B0AE636-8D18-446C-9B5F-7A6B72E01A6E}"/>
    <cellStyle name="Percent 41" xfId="3875" xr:uid="{4BC44D7E-3DE5-40D4-83DF-3B0109E6182B}"/>
    <cellStyle name="Percent 41 2" xfId="3876" xr:uid="{06DF9FD1-166C-4BC4-84A8-04EFB81688EC}"/>
    <cellStyle name="Percent 42" xfId="3877" xr:uid="{FBE00964-8BDE-4707-8AC1-BD8B3C583F57}"/>
    <cellStyle name="Percent 42 2" xfId="3878" xr:uid="{E045C48B-762B-4AEC-A3E7-8756A8A85412}"/>
    <cellStyle name="Percent 43" xfId="3879" xr:uid="{E05F7664-EB07-4579-935E-1E4D11D795B9}"/>
    <cellStyle name="Percent 43 2" xfId="3880" xr:uid="{92D9516F-A895-4B22-A88E-34927AD2C2E1}"/>
    <cellStyle name="Percent 44" xfId="3881" xr:uid="{700927C3-9A48-4B4A-AE63-1E6A324E9789}"/>
    <cellStyle name="Percent 44 2" xfId="3882" xr:uid="{FB68808A-D071-428B-9FAE-1CEF63E94D61}"/>
    <cellStyle name="Percent 45" xfId="3883" xr:uid="{A7F37E74-D029-4584-8465-18BE477A5ADF}"/>
    <cellStyle name="Percent 45 2" xfId="3884" xr:uid="{DD2DBF53-3405-40A5-A2D3-F2C9E1A7208E}"/>
    <cellStyle name="Percent 46" xfId="3885" xr:uid="{BA1C5A0F-D665-45B3-BCB5-36FC53EA9A5B}"/>
    <cellStyle name="Percent 46 2" xfId="3886" xr:uid="{AA9FF729-BE7F-4821-B2E6-D61BC26BF6E4}"/>
    <cellStyle name="Percent 47" xfId="3887" xr:uid="{464C8739-8055-4842-9B92-857EBF111D8D}"/>
    <cellStyle name="Percent 47 2" xfId="3888" xr:uid="{7D23CD72-ADA2-4600-9CB1-A4C395E8EA6A}"/>
    <cellStyle name="Percent 48" xfId="3889" xr:uid="{07CD1994-ECD3-448C-AF5A-E60DD9F7AB52}"/>
    <cellStyle name="Percent 48 2" xfId="3890" xr:uid="{B729BFCD-C402-47A4-BE5D-4813F05CA789}"/>
    <cellStyle name="Percent 49" xfId="3891" xr:uid="{5815906C-FCDC-4C4C-B49A-F4166B16A41C}"/>
    <cellStyle name="Percent 49 2" xfId="3892" xr:uid="{C12F76EA-8830-4939-A971-044DB6253DE8}"/>
    <cellStyle name="Percent 5" xfId="3893" xr:uid="{AF94148A-C52E-4013-B1D8-12A8AB8ACD04}"/>
    <cellStyle name="Percent 5 2" xfId="3894" xr:uid="{58EC64B3-AF15-4600-87EB-5B13560041F8}"/>
    <cellStyle name="Percent 50" xfId="3895" xr:uid="{154B234F-8568-41A7-AED6-0BE5429FD7FE}"/>
    <cellStyle name="Percent 50 2" xfId="3896" xr:uid="{FF2BA654-D877-404F-AA62-07AE8F685E32}"/>
    <cellStyle name="Percent 51" xfId="3897" xr:uid="{8BDBC9E1-C34A-4CE0-A70B-A6ED29AA4647}"/>
    <cellStyle name="Percent 51 2" xfId="3898" xr:uid="{0BDC4547-B2AA-4AFB-B19F-F956BC0FD0A2}"/>
    <cellStyle name="Percent 52" xfId="3899" xr:uid="{C326C311-32AD-44CA-8714-47318F197EF4}"/>
    <cellStyle name="Percent 52 2" xfId="3900" xr:uid="{D5F5B263-6EB0-47C9-BD4F-859836D36D47}"/>
    <cellStyle name="Percent 53" xfId="3901" xr:uid="{00D2D969-E7FC-4C3B-9BC7-D07FF1BF1330}"/>
    <cellStyle name="Percent 53 2" xfId="3902" xr:uid="{78FACB5D-EB98-4CE6-AECA-B366CD46865D}"/>
    <cellStyle name="Percent 54" xfId="3903" xr:uid="{DCFFF77A-3128-4892-B523-10B21600F10B}"/>
    <cellStyle name="Percent 54 2" xfId="3904" xr:uid="{B048F0BB-3FC5-401E-96BF-7494FFD7D4CA}"/>
    <cellStyle name="Percent 55" xfId="3905" xr:uid="{4707653B-8ABB-4D3A-A5FB-A536FB0B5710}"/>
    <cellStyle name="Percent 55 2" xfId="3906" xr:uid="{CD225C32-9816-483A-814E-B57F8C8DAA1D}"/>
    <cellStyle name="Percent 56" xfId="3907" xr:uid="{220EAAB6-329E-4D74-A5DC-4268772FDD78}"/>
    <cellStyle name="Percent 56 2" xfId="3908" xr:uid="{0BC6015B-E5A8-46E0-B5D8-454FA0FBAC34}"/>
    <cellStyle name="Percent 57" xfId="3909" xr:uid="{DFA2699D-5194-4C02-AEF5-3CDB7E8B7D48}"/>
    <cellStyle name="Percent 57 2" xfId="3910" xr:uid="{11D82118-4E4E-4209-9279-F03CB4E7C4EC}"/>
    <cellStyle name="Percent 58" xfId="3911" xr:uid="{529D9EA7-F6AE-48A4-8146-37B1B20FADE1}"/>
    <cellStyle name="Percent 58 2" xfId="3912" xr:uid="{D63E8DC6-E6B1-4F8F-AE9D-70ADE28BDA9D}"/>
    <cellStyle name="Percent 59" xfId="3913" xr:uid="{4DFBAD11-441B-4322-9CC4-C053A8181178}"/>
    <cellStyle name="Percent 59 2" xfId="3914" xr:uid="{4D6D0759-F26B-4070-891B-7E4852221C85}"/>
    <cellStyle name="Percent 6" xfId="3915" xr:uid="{ED60999E-9E7E-4D37-BD00-72BA933AA827}"/>
    <cellStyle name="Percent 6 2" xfId="3916" xr:uid="{89B65C86-9FBF-477C-9604-C7CE915E583C}"/>
    <cellStyle name="Percent 60" xfId="3917" xr:uid="{405A2A29-04C2-4E93-B94E-6B23B8322C81}"/>
    <cellStyle name="Percent 60 2" xfId="3918" xr:uid="{7667259A-CAC6-4825-A84A-549B38E7F42A}"/>
    <cellStyle name="Percent 61" xfId="3919" xr:uid="{9ABDC357-EC49-483E-AF5A-34C18B6FC424}"/>
    <cellStyle name="Percent 61 2" xfId="3920" xr:uid="{E1D9E250-DD6D-4678-976F-281E33455F36}"/>
    <cellStyle name="Percent 62" xfId="3921" xr:uid="{5263621E-C88A-4734-BEE3-974BA45BDF73}"/>
    <cellStyle name="Percent 62 2" xfId="3922" xr:uid="{7FBCCED5-6CEA-4179-918C-1981CF17337C}"/>
    <cellStyle name="Percent 63" xfId="3923" xr:uid="{FA7C01D5-2E43-45C4-BDDA-9BFF272B72EF}"/>
    <cellStyle name="Percent 63 2" xfId="3924" xr:uid="{BA75524D-5503-4F9B-A004-DA5F89673B69}"/>
    <cellStyle name="Percent 64" xfId="3925" xr:uid="{15AA60E9-46E6-40A5-9B10-B0E7A6EF48D0}"/>
    <cellStyle name="Percent 64 2" xfId="3926" xr:uid="{646F68C9-F6D5-440F-8466-15C182A8F0A9}"/>
    <cellStyle name="Percent 64 2 2" xfId="3927" xr:uid="{8B0B280F-E00E-4483-BC05-B68C9BD0AA59}"/>
    <cellStyle name="Percent 64 2 2 2" xfId="3928" xr:uid="{30995550-9EC4-4D20-A9AA-D1D917D703F8}"/>
    <cellStyle name="Percent 64 2 2 3" xfId="3929" xr:uid="{A10FD7A1-402C-475D-889B-0BDF669C7397}"/>
    <cellStyle name="Percent 64 2 3" xfId="3930" xr:uid="{C5F9AF50-8288-4232-A435-5204DEC03226}"/>
    <cellStyle name="Percent 64 2 4" xfId="3931" xr:uid="{2F0FCA63-4D50-490B-B78C-742C9AA3A5C1}"/>
    <cellStyle name="Percent 64 3" xfId="3932" xr:uid="{EC50F6B7-F9C5-4987-A178-93AF7FA74557}"/>
    <cellStyle name="Percent 64 3 2" xfId="3933" xr:uid="{B5256EB8-1A6D-4200-AA76-8F651E460044}"/>
    <cellStyle name="Percent 64 3 3" xfId="3934" xr:uid="{D173E710-70DA-41EE-94EC-72D2A04BB9C2}"/>
    <cellStyle name="Percent 64 4" xfId="3935" xr:uid="{43D83204-EBEE-471E-AB63-936014C2076B}"/>
    <cellStyle name="Percent 64 5" xfId="3936" xr:uid="{2CF45F26-B4CC-4182-AD6E-E3AC3F2D9CAC}"/>
    <cellStyle name="Percent 65" xfId="3937" xr:uid="{FBD8FC18-EF94-43B8-89D4-F038F8A0EBA4}"/>
    <cellStyle name="Percent 65 2" xfId="3938" xr:uid="{93CEB88C-EDB3-4FE9-84D1-D4F8C4512F98}"/>
    <cellStyle name="Percent 65 2 2" xfId="3939" xr:uid="{1F002A5C-9E9B-47E9-A311-111BF1386DEA}"/>
    <cellStyle name="Percent 65 2 2 2" xfId="3940" xr:uid="{4338BBFA-CB96-4BAF-A622-B488C8405269}"/>
    <cellStyle name="Percent 65 2 2 3" xfId="3941" xr:uid="{7DB86CD4-6FE9-48F4-A872-E51ACA575110}"/>
    <cellStyle name="Percent 65 2 3" xfId="3942" xr:uid="{141E614B-433A-4DD6-911C-57498352BF03}"/>
    <cellStyle name="Percent 65 2 4" xfId="3943" xr:uid="{EB5792C7-BFEC-4E88-863A-EFDBCB88A912}"/>
    <cellStyle name="Percent 65 3" xfId="3944" xr:uid="{4CAA70FA-94C8-4946-A739-9D1AA2EB50C0}"/>
    <cellStyle name="Percent 65 3 2" xfId="3945" xr:uid="{720DA887-6044-4E05-90F3-8620903F6FC4}"/>
    <cellStyle name="Percent 65 3 3" xfId="3946" xr:uid="{9D5AE8FB-788F-43A8-B385-76C114E7F4B8}"/>
    <cellStyle name="Percent 65 4" xfId="3947" xr:uid="{2C5742D1-AA93-40E0-8AFB-8561DA71EEA2}"/>
    <cellStyle name="Percent 65 5" xfId="3948" xr:uid="{3A737903-FAF1-4238-AF9C-AD8F41352D3B}"/>
    <cellStyle name="Percent 66" xfId="3949" xr:uid="{1E8189F8-FA76-4333-AE90-31A4C81DAEC3}"/>
    <cellStyle name="Percent 67" xfId="3950" xr:uid="{F181BDB7-12DD-41C5-AFE7-93A50EBB53B6}"/>
    <cellStyle name="Percent 67 2" xfId="3951" xr:uid="{2962C2F6-CF1A-45DB-81D1-FFDB0FB01587}"/>
    <cellStyle name="Percent 68" xfId="3952" xr:uid="{8DDD9561-CC31-4411-867C-0ED7A256D2BB}"/>
    <cellStyle name="Percent 68 2" xfId="3953" xr:uid="{749E9A62-3B3B-4B14-B15A-2D50EFA9DB05}"/>
    <cellStyle name="Percent 69" xfId="3954" xr:uid="{F3ECBF72-939B-4FC3-8B37-FE62913820A3}"/>
    <cellStyle name="Percent 69 2" xfId="3955" xr:uid="{84D19F73-7AF5-4FE0-9F35-53C5672CF9CD}"/>
    <cellStyle name="Percent 7" xfId="3956" xr:uid="{8D6876F0-0975-4519-B023-D3091E5DF0AD}"/>
    <cellStyle name="Percent 7 2" xfId="3957" xr:uid="{A0A2FC63-4734-49C2-A1BB-F733FB370D63}"/>
    <cellStyle name="Percent 70" xfId="3958" xr:uid="{F34ECFD5-8A54-4C9B-BF18-4291E40A0436}"/>
    <cellStyle name="Percent 70 2" xfId="3959" xr:uid="{40A189C3-A26C-41E7-82A1-7771015E54DF}"/>
    <cellStyle name="Percent 71" xfId="3960" xr:uid="{40FE16DF-68CA-4DCD-8A04-C3C07B34F8EC}"/>
    <cellStyle name="Percent 71 2" xfId="3961" xr:uid="{B59CA8E9-DE30-4E0D-9546-D8F58E13C9B8}"/>
    <cellStyle name="Percent 72" xfId="3962" xr:uid="{76C717BB-5FAE-40FF-950E-BC34FCA7D63A}"/>
    <cellStyle name="Percent 72 2" xfId="3963" xr:uid="{32BF493E-2EA2-4005-B9D2-915045C0D959}"/>
    <cellStyle name="Percent 73" xfId="3964" xr:uid="{3B65A317-A41A-4A64-A208-322E24F9FDAA}"/>
    <cellStyle name="Percent 73 2" xfId="3965" xr:uid="{CA6A15ED-9BF6-40AE-A9AC-DCCC4A7E0AA0}"/>
    <cellStyle name="Percent 74" xfId="3966" xr:uid="{C31C4F5A-58A9-4BD4-96FE-732B45500BAA}"/>
    <cellStyle name="Percent 75" xfId="3967" xr:uid="{20349EE2-90A0-4A44-8439-DE293DF0E0B9}"/>
    <cellStyle name="Percent 76" xfId="3968" xr:uid="{B6B2F1DC-7DBB-4ED8-AE6E-C8484BAC2FD9}"/>
    <cellStyle name="Percent 77" xfId="3969" xr:uid="{C5BFB1A5-787E-4656-BF65-0295FDD10610}"/>
    <cellStyle name="Percent 78" xfId="3970" xr:uid="{19FFFE6B-9D79-4820-B224-8905074A036E}"/>
    <cellStyle name="Percent 78 2" xfId="3971" xr:uid="{24225F9F-2AE5-44E7-9E26-BE7C843F2E6A}"/>
    <cellStyle name="Percent 78 3" xfId="3972" xr:uid="{6435A939-8121-4619-8166-C719B82A8B06}"/>
    <cellStyle name="Percent 79" xfId="3973" xr:uid="{4DC0EA51-9F28-468C-B2D7-B4D3393BB9AF}"/>
    <cellStyle name="Percent 79 2" xfId="3974" xr:uid="{929BCB74-B0EB-43C7-AA87-EB6A0B99DEAE}"/>
    <cellStyle name="Percent 79 3" xfId="3975" xr:uid="{AC941F3B-6839-41C7-A2F1-4B55392F12D5}"/>
    <cellStyle name="Percent 8" xfId="3976" xr:uid="{BB2D7A98-A1B4-4E29-80F9-D7157371F94D}"/>
    <cellStyle name="Percent 8 2" xfId="3977" xr:uid="{68E7DB54-86B6-4D07-845D-C5C40529604E}"/>
    <cellStyle name="Percent 8 2 2" xfId="3978" xr:uid="{E7C3F21B-56DE-4655-9EB1-8683AAB2DA22}"/>
    <cellStyle name="Percent 8 2 2 2" xfId="3979" xr:uid="{CE60F559-F100-4328-BB7F-BDE16A21BBEE}"/>
    <cellStyle name="Percent 8 2 2 2 2" xfId="3980" xr:uid="{124C45C4-ACB0-4BDA-859D-8C73D8CC41AA}"/>
    <cellStyle name="Percent 8 2 2 2 3" xfId="3981" xr:uid="{D70B274B-D239-48E1-AFB6-D61D58E0EC08}"/>
    <cellStyle name="Percent 8 2 2 3" xfId="3982" xr:uid="{257B55B9-5597-497D-AA4A-658352EF338F}"/>
    <cellStyle name="Percent 8 2 2 4" xfId="3983" xr:uid="{85366123-6A76-440E-A6E7-87BC80F2D0E4}"/>
    <cellStyle name="Percent 8 2 3" xfId="3984" xr:uid="{F8599356-F108-4D47-9CED-087485AAD334}"/>
    <cellStyle name="Percent 8 2 3 2" xfId="3985" xr:uid="{C6C62A1A-73F8-46B8-94AB-285F0E168070}"/>
    <cellStyle name="Percent 8 2 3 3" xfId="3986" xr:uid="{AFC04EE8-D07A-43E9-90EF-4DF1F518E5DF}"/>
    <cellStyle name="Percent 8 2 4" xfId="3987" xr:uid="{02246C01-ADD6-4E9E-A34B-CA4056C05212}"/>
    <cellStyle name="Percent 8 2 5" xfId="3988" xr:uid="{AB7C4A75-6027-49CF-936D-9132170FCFD4}"/>
    <cellStyle name="Percent 8 3" xfId="3989" xr:uid="{1EC1F631-A28E-46E3-905E-37507E2CD2D6}"/>
    <cellStyle name="Percent 8 3 2" xfId="3990" xr:uid="{B581DC63-E578-4362-B121-B01099EFED5D}"/>
    <cellStyle name="Percent 8 3 2 2" xfId="3991" xr:uid="{1555493D-E643-4745-B8FB-94815096C4E8}"/>
    <cellStyle name="Percent 8 3 2 3" xfId="3992" xr:uid="{9F160B7A-E4C5-4921-8A62-2342D5A91AA1}"/>
    <cellStyle name="Percent 8 3 3" xfId="3993" xr:uid="{DBAD510B-4D5A-44A0-A8A3-808E9CFB416D}"/>
    <cellStyle name="Percent 8 3 4" xfId="3994" xr:uid="{6CD4DE3A-09B6-4B15-87AE-40EEACC94B63}"/>
    <cellStyle name="Percent 8 4" xfId="3995" xr:uid="{A5FD6922-1D64-4DF4-AA53-ADE100BFD47C}"/>
    <cellStyle name="Percent 8 4 2" xfId="3996" xr:uid="{68F96EE0-77FD-44B1-A2A9-88E6ABA23BF6}"/>
    <cellStyle name="Percent 8 4 3" xfId="3997" xr:uid="{AA988DCD-1E80-4197-9434-7C7F16685998}"/>
    <cellStyle name="Percent 8 5" xfId="3998" xr:uid="{7AE719EF-DAD4-426C-9711-4143179DA5E0}"/>
    <cellStyle name="Percent 8 6" xfId="3999" xr:uid="{8ABD9AB2-8A52-4DF3-8B1C-692F8D33B926}"/>
    <cellStyle name="Percent 80" xfId="4000" xr:uid="{78B9DE8C-D23B-40F3-A3DC-3F854DF100F0}"/>
    <cellStyle name="Percent 80 2" xfId="4001" xr:uid="{A118D2FA-1FD9-465A-8594-47385D5B1391}"/>
    <cellStyle name="Percent 80 3" xfId="4002" xr:uid="{E4468B61-5041-4F59-AEC8-B269BFDEE3B4}"/>
    <cellStyle name="Percent 81" xfId="4003" xr:uid="{C292D275-BBF7-4A23-B924-41014FFA2852}"/>
    <cellStyle name="Percent 81 2" xfId="4004" xr:uid="{AE8ACFB7-06B7-4D28-A5A4-07C26A72F280}"/>
    <cellStyle name="Percent 81 3" xfId="4005" xr:uid="{CCCC3F56-F7F7-4FDF-A113-611B33E3D735}"/>
    <cellStyle name="Percent 82" xfId="4006" xr:uid="{D59E92DF-A980-4838-8216-F730E52D15EA}"/>
    <cellStyle name="Percent 82 2" xfId="4007" xr:uid="{C2177DE4-F519-435B-BA64-CE72406EF6ED}"/>
    <cellStyle name="Percent 82 3" xfId="4008" xr:uid="{ED29298D-6614-41D4-B734-E9F369308AC6}"/>
    <cellStyle name="Percent 83" xfId="4009" xr:uid="{D97346BD-5E8D-4154-A42C-814BF6342D95}"/>
    <cellStyle name="Percent 83 2" xfId="4010" xr:uid="{C33AD9DA-0BF8-4AB1-9161-366BAF3422F6}"/>
    <cellStyle name="Percent 83 3" xfId="4011" xr:uid="{E82D0BDE-E1D4-4B7A-B5E2-4B46AE86E8AD}"/>
    <cellStyle name="Percent 84" xfId="4012" xr:uid="{A072F4B3-9B9C-409C-9D2A-4DF2F6D35A16}"/>
    <cellStyle name="Percent 84 2" xfId="4013" xr:uid="{F3756BB0-DE0E-4AD7-9D39-A177F64C808E}"/>
    <cellStyle name="Percent 84 3" xfId="4014" xr:uid="{F65CD4CC-E48A-4C86-BF13-BAA01010E14A}"/>
    <cellStyle name="Percent 85" xfId="4015" xr:uid="{2F238862-DAC1-45B2-A6FE-1AAF3E58CB40}"/>
    <cellStyle name="Percent 85 2" xfId="4016" xr:uid="{95084BBD-B255-48BD-881D-BC1E87C7F95A}"/>
    <cellStyle name="Percent 85 3" xfId="4017" xr:uid="{B454BFE2-565F-411C-9EB6-B0BA9671BA21}"/>
    <cellStyle name="Percent 86" xfId="4018" xr:uid="{68325661-B9D2-45E9-AAC9-BE76397F6142}"/>
    <cellStyle name="Percent 86 2" xfId="4019" xr:uid="{5E423311-ADC1-412A-BCCE-6575CAA6D986}"/>
    <cellStyle name="Percent 86 3" xfId="4020" xr:uid="{A614E65C-E7EC-4E48-9465-0CBB232F5815}"/>
    <cellStyle name="Percent 87" xfId="4021" xr:uid="{217AB85C-7DD8-4DCE-9594-D5CB8067186A}"/>
    <cellStyle name="Percent 87 2" xfId="4022" xr:uid="{0F162B6D-ADE1-487A-8AF2-A8D38DEE0C9C}"/>
    <cellStyle name="Percent 87 3" xfId="4023" xr:uid="{98C961F4-2118-4041-80A9-0FB8324A2193}"/>
    <cellStyle name="Percent 88" xfId="4024" xr:uid="{2156A7D2-2030-41B6-AE72-80D468FB4904}"/>
    <cellStyle name="Percent 88 2" xfId="4025" xr:uid="{88234A61-89F5-4E56-95D1-E8EE63FC7401}"/>
    <cellStyle name="Percent 88 3" xfId="4026" xr:uid="{E4408930-4D37-4FE8-A0CD-B08F656E8278}"/>
    <cellStyle name="Percent 89" xfId="4027" xr:uid="{F86F2957-67D1-452A-8622-5F1D3242914C}"/>
    <cellStyle name="Percent 89 2" xfId="4028" xr:uid="{B57B10CB-3916-440F-B6F6-233CA423E940}"/>
    <cellStyle name="Percent 89 3" xfId="4029" xr:uid="{D24E4F76-72A9-4F6B-8722-C1B414A7A3E1}"/>
    <cellStyle name="Percent 9" xfId="4030" xr:uid="{F0F60E96-03E4-4D62-B17E-2AB9974C1666}"/>
    <cellStyle name="Percent 9 2" xfId="4031" xr:uid="{FEE0890C-9A60-4D5A-99AE-CEC62E3E238D}"/>
    <cellStyle name="Percent 9 2 2" xfId="4032" xr:uid="{4F047B8E-E680-48BA-B1E9-08A36BA73025}"/>
    <cellStyle name="Percent 9 2 2 2" xfId="4033" xr:uid="{3B700B85-4FCC-49AE-9A46-5BA97E4DDA02}"/>
    <cellStyle name="Percent 9 2 2 2 2" xfId="4034" xr:uid="{468902EC-2D1D-4F10-A968-2A144B5C7CE3}"/>
    <cellStyle name="Percent 9 2 2 2 3" xfId="4035" xr:uid="{9ABF9F91-A37D-4FE1-994F-8CD3EA02DA3F}"/>
    <cellStyle name="Percent 9 2 2 3" xfId="4036" xr:uid="{16A4E681-63C2-4B63-A383-76E3017CD5C0}"/>
    <cellStyle name="Percent 9 2 2 4" xfId="4037" xr:uid="{35D42ED6-D662-4E70-9DEA-7EDC7AE5D3E3}"/>
    <cellStyle name="Percent 9 2 3" xfId="4038" xr:uid="{EE835441-5098-4AE6-98B6-075410471CC4}"/>
    <cellStyle name="Percent 9 2 3 2" xfId="4039" xr:uid="{99BA0839-BE55-4EE6-BD12-2BD8F984699A}"/>
    <cellStyle name="Percent 9 2 3 3" xfId="4040" xr:uid="{03C9C34E-97FE-4004-B83F-ADA5F2F07E21}"/>
    <cellStyle name="Percent 9 2 4" xfId="4041" xr:uid="{6FBB8946-47D5-45ED-BE33-B9CE8F5D15DC}"/>
    <cellStyle name="Percent 9 2 5" xfId="4042" xr:uid="{999AD363-F994-4D82-AACB-79AAED7F2F9B}"/>
    <cellStyle name="Percent 9 3" xfId="4043" xr:uid="{5259D576-1C5F-4F49-B269-1895F07F22DF}"/>
    <cellStyle name="Percent 9 3 2" xfId="4044" xr:uid="{C97E45DB-B02F-4356-99A8-377D93F44C33}"/>
    <cellStyle name="Percent 9 3 2 2" xfId="4045" xr:uid="{1E53C543-71DE-4E90-8CCA-4C9BC5A1A452}"/>
    <cellStyle name="Percent 9 3 2 3" xfId="4046" xr:uid="{62DA33A4-29DE-464E-A4FB-F3F50900477C}"/>
    <cellStyle name="Percent 9 3 3" xfId="4047" xr:uid="{6CF81D86-D565-43D0-800A-EECEE639C836}"/>
    <cellStyle name="Percent 9 3 4" xfId="4048" xr:uid="{9BC46F1F-05D4-4DAC-A20F-0B90C9A448EA}"/>
    <cellStyle name="Percent 9 4" xfId="4049" xr:uid="{E216C226-8BB0-44F7-B0B9-F4E98758CC01}"/>
    <cellStyle name="Percent 9 4 2" xfId="4050" xr:uid="{5DA4A10A-1E1B-4F6D-878D-04AA1861E77E}"/>
    <cellStyle name="Percent 9 4 3" xfId="4051" xr:uid="{2AD8F351-96FF-4F6E-842D-B3F64DAC082E}"/>
    <cellStyle name="Percent 9 5" xfId="4052" xr:uid="{29D9DB37-55C3-4E5F-A5A9-A5CE9DF08A1A}"/>
    <cellStyle name="Percent 9 6" xfId="4053" xr:uid="{ACAAA7E2-994C-4F9F-B84A-651119DB2B48}"/>
    <cellStyle name="Percent 90" xfId="4054" xr:uid="{88881CBD-3E8C-4BE5-98D6-002AE717FA1B}"/>
    <cellStyle name="Percent 90 2" xfId="4055" xr:uid="{984688A8-CC79-40C3-A193-A6A292FCAA0F}"/>
    <cellStyle name="Percent 90 3" xfId="4056" xr:uid="{407C72F1-4052-4688-ABAE-B0FBC947C6A3}"/>
    <cellStyle name="Percent 91" xfId="4057" xr:uid="{1B0C552E-A83E-477E-8B79-CE1842B2B761}"/>
    <cellStyle name="Percent 92" xfId="4058" xr:uid="{64564F70-A539-4FE1-A6B5-485648F9B42A}"/>
    <cellStyle name="Percent 93" xfId="4598" xr:uid="{B5FA26AD-B625-43F7-85A0-AF016A775CB4}"/>
    <cellStyle name="Pourcentage 2" xfId="4059" xr:uid="{89B81326-579E-437C-A9D7-0763A0C64B42}"/>
    <cellStyle name="Pourcentage 2 2" xfId="4060" xr:uid="{5FAEDE16-4799-49D7-80FA-796EC59CF8A3}"/>
    <cellStyle name="Pourcentage 2 2 2" xfId="4061" xr:uid="{3EAFF0D8-38C9-4C9C-9C06-AAB5D99E05DE}"/>
    <cellStyle name="Pourcentage 2 3" xfId="4062" xr:uid="{C37D0484-0671-452E-84FB-CB6C296D9EE5}"/>
    <cellStyle name="Pourcentage 2 3 2" xfId="4063" xr:uid="{9C53D874-32E9-41B1-AB90-57577B41F27B}"/>
    <cellStyle name="Pourcentage 2 4" xfId="4064" xr:uid="{27BBBED5-DA1B-493C-A6BC-2631E49D0EDD}"/>
    <cellStyle name="Pourcentage 3" xfId="4065" xr:uid="{D37BCE1E-5BC4-454A-8690-5603AA722FFB}"/>
    <cellStyle name="Pourcentage 3 10" xfId="4066" xr:uid="{6A692D91-DEBD-416C-8B97-0CA36994B130}"/>
    <cellStyle name="Pourcentage 3 10 2" xfId="4067" xr:uid="{A5F2579D-AD8F-4836-96AD-FC37243381CB}"/>
    <cellStyle name="Pourcentage 3 10 3" xfId="4068" xr:uid="{994EAF59-6638-4317-B247-ED5D681FF801}"/>
    <cellStyle name="Pourcentage 3 11" xfId="4069" xr:uid="{C2027AD7-CF66-4864-BF91-4C7A54EE86DC}"/>
    <cellStyle name="Pourcentage 3 12" xfId="4070" xr:uid="{56F41091-FB25-4DEE-982F-EC2386698562}"/>
    <cellStyle name="Pourcentage 3 2" xfId="4071" xr:uid="{C0064B7F-15AA-4A12-AA8A-982F891AF539}"/>
    <cellStyle name="Pourcentage 3 2 2" xfId="4072" xr:uid="{680712BE-B56E-441B-830B-585AAD6A89F0}"/>
    <cellStyle name="Pourcentage 3 2 2 2" xfId="4073" xr:uid="{CF455535-2D2D-422F-9EC0-2B6ABC596ED1}"/>
    <cellStyle name="Pourcentage 3 2 2 2 2" xfId="4074" xr:uid="{0D8C11D0-100E-4C55-9062-24DECE934F6A}"/>
    <cellStyle name="Pourcentage 3 2 2 2 2 2" xfId="4075" xr:uid="{D642F48E-22A2-487B-B913-C05D24BBBA58}"/>
    <cellStyle name="Pourcentage 3 2 2 2 2 2 2" xfId="4076" xr:uid="{A6C4220B-8406-4F1C-9225-63B01EB9C99F}"/>
    <cellStyle name="Pourcentage 3 2 2 2 2 2 2 2" xfId="4077" xr:uid="{66C23FB6-A07A-4FAF-BEB8-7718B653A133}"/>
    <cellStyle name="Pourcentage 3 2 2 2 2 2 2 3" xfId="4078" xr:uid="{EA76AB84-DE1E-491D-BF6C-EB5CFFE042A5}"/>
    <cellStyle name="Pourcentage 3 2 2 2 2 2 3" xfId="4079" xr:uid="{4DA2A213-5BBD-4D20-A6D2-13349D0EF246}"/>
    <cellStyle name="Pourcentage 3 2 2 2 2 2 4" xfId="4080" xr:uid="{9A5A2AED-01C7-4587-A6BE-496431FB2205}"/>
    <cellStyle name="Pourcentage 3 2 2 2 2 3" xfId="4081" xr:uid="{C1C25AE5-08C5-4402-9799-D3ADF8FF83C1}"/>
    <cellStyle name="Pourcentage 3 2 2 2 2 3 2" xfId="4082" xr:uid="{7170E4C3-3D8C-4853-95BA-F5CEBA9161E3}"/>
    <cellStyle name="Pourcentage 3 2 2 2 2 3 3" xfId="4083" xr:uid="{E16C717C-492E-4B06-BC7A-0289D5D6D72F}"/>
    <cellStyle name="Pourcentage 3 2 2 2 2 4" xfId="4084" xr:uid="{12CB77DC-B0CA-4A61-9364-20EFCAF4129A}"/>
    <cellStyle name="Pourcentage 3 2 2 2 2 5" xfId="4085" xr:uid="{829FB10E-F20E-4F05-A533-DEC72BFDE358}"/>
    <cellStyle name="Pourcentage 3 2 2 2 3" xfId="4086" xr:uid="{3E65EA73-209D-441F-A5BE-004A9C46AFD9}"/>
    <cellStyle name="Pourcentage 3 2 2 2 3 2" xfId="4087" xr:uid="{48773B43-078F-435F-BC84-68C2B8E4A823}"/>
    <cellStyle name="Pourcentage 3 2 2 2 3 2 2" xfId="4088" xr:uid="{81027530-9126-44C6-944F-3973A72BFE4B}"/>
    <cellStyle name="Pourcentage 3 2 2 2 3 2 3" xfId="4089" xr:uid="{7609073B-AED0-4DB6-9009-BFA5CE0D142E}"/>
    <cellStyle name="Pourcentage 3 2 2 2 3 3" xfId="4090" xr:uid="{25432D05-8A89-4871-97A5-1798FCCAFBC8}"/>
    <cellStyle name="Pourcentage 3 2 2 2 3 4" xfId="4091" xr:uid="{F235E9C4-81FE-48A6-B5F4-0E7B21D685A1}"/>
    <cellStyle name="Pourcentage 3 2 2 2 4" xfId="4092" xr:uid="{6E31F9E6-FA0D-462D-BFE3-BF64769F3521}"/>
    <cellStyle name="Pourcentage 3 2 2 2 4 2" xfId="4093" xr:uid="{20DD1A6A-19F1-44EB-A01F-78AE0E83610B}"/>
    <cellStyle name="Pourcentage 3 2 2 2 4 3" xfId="4094" xr:uid="{9A7E0C7E-3FC8-43C5-8508-BF6741EBE036}"/>
    <cellStyle name="Pourcentage 3 2 2 2 5" xfId="4095" xr:uid="{8EDAE7CA-F3A3-4EA5-AFDF-B735E7E6DB67}"/>
    <cellStyle name="Pourcentage 3 2 2 2 6" xfId="4096" xr:uid="{72B92D38-80C7-4DD4-A1D5-44E6285D567F}"/>
    <cellStyle name="Pourcentage 3 2 2 3" xfId="4097" xr:uid="{2429D7BE-5723-4F2F-98F9-D17B2E3C06D7}"/>
    <cellStyle name="Pourcentage 3 2 2 3 2" xfId="4098" xr:uid="{FAD21982-EAE5-452E-B164-6A4A28ABD1E7}"/>
    <cellStyle name="Pourcentage 3 2 2 3 2 2" xfId="4099" xr:uid="{99E4D7F5-C773-4EFB-9140-E5B5D6632E16}"/>
    <cellStyle name="Pourcentage 3 2 2 3 2 2 2" xfId="4100" xr:uid="{5621A82C-5680-4C2F-B4E7-77399755AA73}"/>
    <cellStyle name="Pourcentage 3 2 2 3 2 2 3" xfId="4101" xr:uid="{D9DA8753-6A1B-4EB4-B570-D8395BFC7F18}"/>
    <cellStyle name="Pourcentage 3 2 2 3 2 3" xfId="4102" xr:uid="{7C35E2A7-94F1-4C42-9A6C-B940B191357D}"/>
    <cellStyle name="Pourcentage 3 2 2 3 2 4" xfId="4103" xr:uid="{AF3E7E63-1E55-4ED8-935A-0C0A559394B1}"/>
    <cellStyle name="Pourcentage 3 2 2 3 3" xfId="4104" xr:uid="{03520F41-D99B-49E7-B1E6-B61D3573D540}"/>
    <cellStyle name="Pourcentage 3 2 2 3 3 2" xfId="4105" xr:uid="{E128C4AB-379E-401C-9E68-EA72E64D3337}"/>
    <cellStyle name="Pourcentage 3 2 2 3 3 3" xfId="4106" xr:uid="{1074E126-1A3A-411B-AA99-0BB90B2C24A9}"/>
    <cellStyle name="Pourcentage 3 2 2 3 4" xfId="4107" xr:uid="{72D1164E-73DE-44B1-BB8D-1A653B451BD8}"/>
    <cellStyle name="Pourcentage 3 2 2 3 5" xfId="4108" xr:uid="{2724DE15-75CE-44D8-AC43-87E9E01152DE}"/>
    <cellStyle name="Pourcentage 3 2 2 4" xfId="4109" xr:uid="{8BC0142B-12C0-4991-B3E6-7107098A7522}"/>
    <cellStyle name="Pourcentage 3 2 2 4 2" xfId="4110" xr:uid="{B99A5EFD-568D-4844-A32E-20B5EB258531}"/>
    <cellStyle name="Pourcentage 3 2 2 4 2 2" xfId="4111" xr:uid="{9A948BF5-AA29-4318-A2A4-2104728410FE}"/>
    <cellStyle name="Pourcentage 3 2 2 4 2 3" xfId="4112" xr:uid="{242B4CE7-E072-4827-9BBB-97D04723BCF0}"/>
    <cellStyle name="Pourcentage 3 2 2 4 3" xfId="4113" xr:uid="{3C7ADC6E-A5C7-4E1D-9651-CDED217405E6}"/>
    <cellStyle name="Pourcentage 3 2 2 4 4" xfId="4114" xr:uid="{9E398573-216C-447C-929B-6093B6975356}"/>
    <cellStyle name="Pourcentage 3 2 2 5" xfId="4115" xr:uid="{71F02DD7-BAE1-49F5-948A-1E87556D303E}"/>
    <cellStyle name="Pourcentage 3 2 2 5 2" xfId="4116" xr:uid="{2C942A5C-A5CE-4911-B6B5-34A0525B20A9}"/>
    <cellStyle name="Pourcentage 3 2 2 5 3" xfId="4117" xr:uid="{40301A61-3EBB-4A06-929B-7FAECB76D902}"/>
    <cellStyle name="Pourcentage 3 2 2 6" xfId="4118" xr:uid="{7F294854-CB52-4D7A-8787-0E05F23C8444}"/>
    <cellStyle name="Pourcentage 3 2 2 7" xfId="4119" xr:uid="{F999D474-81AA-43A7-832E-80BEC4358ABA}"/>
    <cellStyle name="Pourcentage 3 2 3" xfId="4120" xr:uid="{5D640FB1-889D-4F7E-9A63-9AE1F04F007E}"/>
    <cellStyle name="Pourcentage 3 2 3 2" xfId="4121" xr:uid="{67D40C83-D846-4970-A478-4E3B1E512F8E}"/>
    <cellStyle name="Pourcentage 3 2 3 2 2" xfId="4122" xr:uid="{1ACEA0E4-9C4D-43B6-B329-DD8C9D9B1628}"/>
    <cellStyle name="Pourcentage 3 2 3 2 2 2" xfId="4123" xr:uid="{B9726C1A-A94D-4BEA-89CF-368A4DA4EC15}"/>
    <cellStyle name="Pourcentage 3 2 3 2 2 2 2" xfId="4124" xr:uid="{3E358555-333F-4BF2-91C6-7B4147BA0FD6}"/>
    <cellStyle name="Pourcentage 3 2 3 2 2 2 3" xfId="4125" xr:uid="{3736BBDA-83FE-4E3B-8463-95938BA3C200}"/>
    <cellStyle name="Pourcentage 3 2 3 2 2 3" xfId="4126" xr:uid="{A5676FBD-B942-43C4-8E8E-4EC045219B7F}"/>
    <cellStyle name="Pourcentage 3 2 3 2 2 4" xfId="4127" xr:uid="{66683996-3DF0-41EE-A77C-1677BED1D0AD}"/>
    <cellStyle name="Pourcentage 3 2 3 2 3" xfId="4128" xr:uid="{3A82AD2E-C796-4017-968F-6967927C8A8B}"/>
    <cellStyle name="Pourcentage 3 2 3 2 3 2" xfId="4129" xr:uid="{3D54248A-A689-40CC-ACA6-0DFD05EBCC25}"/>
    <cellStyle name="Pourcentage 3 2 3 2 3 3" xfId="4130" xr:uid="{AAD0B332-2DED-4533-BBF7-7CF7859D2057}"/>
    <cellStyle name="Pourcentage 3 2 3 2 4" xfId="4131" xr:uid="{E50848D0-D752-4147-A4A3-F99859F43008}"/>
    <cellStyle name="Pourcentage 3 2 3 2 5" xfId="4132" xr:uid="{135E38B1-5FE3-4177-A0A9-17A4A1469039}"/>
    <cellStyle name="Pourcentage 3 2 3 3" xfId="4133" xr:uid="{C96E7DE5-98CA-491A-AA91-59E353B7A64A}"/>
    <cellStyle name="Pourcentage 3 2 3 3 2" xfId="4134" xr:uid="{E54CCE68-3DF5-491B-A291-DF62BA31890E}"/>
    <cellStyle name="Pourcentage 3 2 3 3 2 2" xfId="4135" xr:uid="{061E7E58-2713-4700-8E7C-8F7E482B4D65}"/>
    <cellStyle name="Pourcentage 3 2 3 3 2 3" xfId="4136" xr:uid="{5ACDEFF9-EC6A-45EE-9128-C9E7077B8158}"/>
    <cellStyle name="Pourcentage 3 2 3 3 3" xfId="4137" xr:uid="{5789771E-BC0B-4025-ADA6-04EAD2324161}"/>
    <cellStyle name="Pourcentage 3 2 3 3 4" xfId="4138" xr:uid="{292C6DB9-7C6F-4CE1-B28B-E3CA6A2777D3}"/>
    <cellStyle name="Pourcentage 3 2 3 4" xfId="4139" xr:uid="{346798E9-FA2F-4F4D-A4AE-1A4BDB979395}"/>
    <cellStyle name="Pourcentage 3 2 3 4 2" xfId="4140" xr:uid="{D5EA11BE-5ECA-4800-91AC-A8E31DF115C9}"/>
    <cellStyle name="Pourcentage 3 2 3 4 3" xfId="4141" xr:uid="{9E495B33-AC38-4B69-882D-9542CCE442CC}"/>
    <cellStyle name="Pourcentage 3 2 3 5" xfId="4142" xr:uid="{B0ED656D-F54D-4D1D-AE58-F8AE891F4C49}"/>
    <cellStyle name="Pourcentage 3 2 3 6" xfId="4143" xr:uid="{51510988-C840-440C-9044-E6313D2453EA}"/>
    <cellStyle name="Pourcentage 3 2 4" xfId="4144" xr:uid="{18787328-5998-4AA9-8261-4BA08A746361}"/>
    <cellStyle name="Pourcentage 3 2 4 2" xfId="4145" xr:uid="{AEA2A22B-6BB2-4D21-ADC6-00584F84AAEC}"/>
    <cellStyle name="Pourcentage 3 2 4 2 2" xfId="4146" xr:uid="{23AB6D16-82E2-4590-AA80-868895661B86}"/>
    <cellStyle name="Pourcentage 3 2 4 2 2 2" xfId="4147" xr:uid="{9B7A418A-E42E-492A-BE0B-88688EFF0D0A}"/>
    <cellStyle name="Pourcentage 3 2 4 2 2 3" xfId="4148" xr:uid="{EDA296D3-CFB1-4E5F-BE60-5F28309ECB37}"/>
    <cellStyle name="Pourcentage 3 2 4 2 3" xfId="4149" xr:uid="{942B4042-0127-4C30-B63A-D9B8C086B264}"/>
    <cellStyle name="Pourcentage 3 2 4 2 4" xfId="4150" xr:uid="{5564F90F-1D41-4A59-92B9-907CF989470A}"/>
    <cellStyle name="Pourcentage 3 2 4 3" xfId="4151" xr:uid="{899A2B5D-2692-47E5-A670-A7E15DDFA734}"/>
    <cellStyle name="Pourcentage 3 2 4 3 2" xfId="4152" xr:uid="{652EB90D-06AB-4CCD-B130-992D4CA2CD93}"/>
    <cellStyle name="Pourcentage 3 2 4 3 3" xfId="4153" xr:uid="{A9B25597-2AAC-4CD3-87B6-A55376CC7DB4}"/>
    <cellStyle name="Pourcentage 3 2 4 4" xfId="4154" xr:uid="{4E3D7716-DFED-427F-8509-A32B62224301}"/>
    <cellStyle name="Pourcentage 3 2 4 5" xfId="4155" xr:uid="{B79BA442-3427-45A1-A9AF-8CC4B95F4A16}"/>
    <cellStyle name="Pourcentage 3 2 5" xfId="4156" xr:uid="{5F2700BC-19E6-4F0C-9C2B-3B1B3A7149D7}"/>
    <cellStyle name="Pourcentage 3 2 5 2" xfId="4157" xr:uid="{509D0BB0-78B0-454D-AFA9-7CACCBF8888F}"/>
    <cellStyle name="Pourcentage 3 2 5 2 2" xfId="4158" xr:uid="{EB91330A-F3CB-4DBD-88D2-0B99CF73751F}"/>
    <cellStyle name="Pourcentage 3 2 5 2 3" xfId="4159" xr:uid="{B835CF09-C25B-44BE-ADF7-528165732083}"/>
    <cellStyle name="Pourcentage 3 2 5 3" xfId="4160" xr:uid="{B0189814-0B0B-4A0E-A54E-68756F02DEC2}"/>
    <cellStyle name="Pourcentage 3 2 5 4" xfId="4161" xr:uid="{937D0DD2-0DDB-4B35-B2A8-22CFDA0DAAF2}"/>
    <cellStyle name="Pourcentage 3 2 6" xfId="4162" xr:uid="{B6713DE9-DCFC-45C8-BFEA-F77158A79B39}"/>
    <cellStyle name="Pourcentage 3 2 6 2" xfId="4163" xr:uid="{5C0E1ACC-DCE0-4A1C-BA40-296EB7836327}"/>
    <cellStyle name="Pourcentage 3 2 6 3" xfId="4164" xr:uid="{D3E63E57-C8A5-4A82-9736-ECF33E7D60C7}"/>
    <cellStyle name="Pourcentage 3 2 7" xfId="4165" xr:uid="{AF1B047A-5B31-4FFD-8804-CFA3E1BB6264}"/>
    <cellStyle name="Pourcentage 3 2 8" xfId="4166" xr:uid="{A1407DA5-AAF3-4833-A768-014C94CAE167}"/>
    <cellStyle name="Pourcentage 3 3" xfId="4167" xr:uid="{6BFDC174-3A4A-4561-8492-74FE0BF6800F}"/>
    <cellStyle name="Pourcentage 3 3 2" xfId="4168" xr:uid="{6DA120E0-447F-4766-867B-947188C02237}"/>
    <cellStyle name="Pourcentage 3 4" xfId="4169" xr:uid="{B258ACE4-DCA6-46BE-B815-785905AC9143}"/>
    <cellStyle name="Pourcentage 3 5" xfId="4170" xr:uid="{0CB82E59-1CD0-4D96-BD4A-F1A1D23793C4}"/>
    <cellStyle name="Pourcentage 3 5 2" xfId="4171" xr:uid="{05829D7A-D293-4BC6-9D76-E236DCED3A27}"/>
    <cellStyle name="Pourcentage 3 5 2 2" xfId="4172" xr:uid="{5148C5BD-922E-4F47-943D-DEBB2A596FE2}"/>
    <cellStyle name="Pourcentage 3 5 2 2 2" xfId="4173" xr:uid="{AA017D3B-7F66-411C-B5D4-F97836350757}"/>
    <cellStyle name="Pourcentage 3 5 2 2 2 2" xfId="4174" xr:uid="{B216BC3F-CAEA-48B3-85E5-F7897C50EE6E}"/>
    <cellStyle name="Pourcentage 3 5 2 2 2 2 2" xfId="4175" xr:uid="{A8EAE5A6-3E60-4642-801E-F1E9CE2D8F55}"/>
    <cellStyle name="Pourcentage 3 5 2 2 2 2 3" xfId="4176" xr:uid="{32C74F2D-FFFE-44EE-948D-AEEE058A914A}"/>
    <cellStyle name="Pourcentage 3 5 2 2 2 3" xfId="4177" xr:uid="{D0F06BD8-CD09-4FE4-8BEE-742276743BAF}"/>
    <cellStyle name="Pourcentage 3 5 2 2 2 4" xfId="4178" xr:uid="{9390BA8E-0FE9-4060-B583-C027B29DE34C}"/>
    <cellStyle name="Pourcentage 3 5 2 2 3" xfId="4179" xr:uid="{22B80859-C2B8-41B1-A6A9-C24FA7E2658C}"/>
    <cellStyle name="Pourcentage 3 5 2 2 3 2" xfId="4180" xr:uid="{543D7670-61F4-46A7-B71C-1102A54599B3}"/>
    <cellStyle name="Pourcentage 3 5 2 2 3 3" xfId="4181" xr:uid="{C672BB07-D197-43B9-A1D8-C22955919C53}"/>
    <cellStyle name="Pourcentage 3 5 2 2 4" xfId="4182" xr:uid="{8F7690F0-D2B5-43B8-8814-4F9D1EAA73D3}"/>
    <cellStyle name="Pourcentage 3 5 2 2 5" xfId="4183" xr:uid="{BD0A3B72-BF0B-4A42-94A3-3C579B74A44D}"/>
    <cellStyle name="Pourcentage 3 5 2 3" xfId="4184" xr:uid="{DDD07314-B658-4390-AFC4-E86E5D1B8FA9}"/>
    <cellStyle name="Pourcentage 3 5 2 3 2" xfId="4185" xr:uid="{9637A964-7F6A-4259-93A7-641F17C484E9}"/>
    <cellStyle name="Pourcentage 3 5 2 3 2 2" xfId="4186" xr:uid="{ED911B2B-444F-4231-869F-98F33199240B}"/>
    <cellStyle name="Pourcentage 3 5 2 3 2 3" xfId="4187" xr:uid="{159D3BB5-0193-45AC-9D27-99870852CE4B}"/>
    <cellStyle name="Pourcentage 3 5 2 3 3" xfId="4188" xr:uid="{CF56DC3A-30BD-424E-99D3-6A98DDF4C762}"/>
    <cellStyle name="Pourcentage 3 5 2 3 4" xfId="4189" xr:uid="{87F82379-D7A7-43AB-8433-5C96DEEA64A7}"/>
    <cellStyle name="Pourcentage 3 5 2 4" xfId="4190" xr:uid="{261D75A5-FE72-46FE-93C5-F67AA7ED4465}"/>
    <cellStyle name="Pourcentage 3 5 2 4 2" xfId="4191" xr:uid="{15A51A29-B66B-47E2-8AC6-F9D4017F1D23}"/>
    <cellStyle name="Pourcentage 3 5 2 4 3" xfId="4192" xr:uid="{599C75E4-CC1D-4658-BE29-A9AEA868F32D}"/>
    <cellStyle name="Pourcentage 3 5 2 5" xfId="4193" xr:uid="{D95ACAD4-1890-4137-9436-91197C8313BE}"/>
    <cellStyle name="Pourcentage 3 5 2 6" xfId="4194" xr:uid="{FF77C15B-9301-48C0-B551-C6ECCFAF84A5}"/>
    <cellStyle name="Pourcentage 3 5 3" xfId="4195" xr:uid="{B4EEE290-57EE-4713-B071-1F90AC00C76F}"/>
    <cellStyle name="Pourcentage 3 5 3 2" xfId="4196" xr:uid="{9E4E7386-14EB-4A2E-B15B-61E332A3DB57}"/>
    <cellStyle name="Pourcentage 3 5 3 2 2" xfId="4197" xr:uid="{7379D906-C723-4B87-8F70-3C4790E90D1E}"/>
    <cellStyle name="Pourcentage 3 5 3 2 2 2" xfId="4198" xr:uid="{D5D43610-D28E-40A7-B8C8-0B1A349CCF6C}"/>
    <cellStyle name="Pourcentage 3 5 3 2 2 3" xfId="4199" xr:uid="{10AB3EA1-F5D8-4503-970B-B6DFF6CF85D8}"/>
    <cellStyle name="Pourcentage 3 5 3 2 3" xfId="4200" xr:uid="{083D9A03-08DF-4D84-B7F1-FE607F442830}"/>
    <cellStyle name="Pourcentage 3 5 3 2 4" xfId="4201" xr:uid="{73FB7C5E-1762-42FC-8D70-C6FC4988D88A}"/>
    <cellStyle name="Pourcentage 3 5 3 3" xfId="4202" xr:uid="{D75E92A4-5A96-4AD7-ADEA-E9F0A62E69FC}"/>
    <cellStyle name="Pourcentage 3 5 3 3 2" xfId="4203" xr:uid="{B75D933F-9B3D-4150-B596-88D0C712F5B1}"/>
    <cellStyle name="Pourcentage 3 5 3 3 3" xfId="4204" xr:uid="{7C93B394-7A12-4C77-AA42-2BFD6D678181}"/>
    <cellStyle name="Pourcentage 3 5 3 4" xfId="4205" xr:uid="{850E636D-86E9-47CE-A333-1EECA2E4D175}"/>
    <cellStyle name="Pourcentage 3 5 3 5" xfId="4206" xr:uid="{EB0FBBBD-F8CE-4DA1-87AE-D5ED9CB9C518}"/>
    <cellStyle name="Pourcentage 3 5 4" xfId="4207" xr:uid="{18FB456A-C0AF-4794-8ED2-12BED35B1BBB}"/>
    <cellStyle name="Pourcentage 3 5 4 2" xfId="4208" xr:uid="{626B598C-70EA-4B91-91CC-8EBBD557F62A}"/>
    <cellStyle name="Pourcentage 3 5 4 2 2" xfId="4209" xr:uid="{24A754A2-4CED-4513-93C4-C71FAE4B6268}"/>
    <cellStyle name="Pourcentage 3 5 4 2 3" xfId="4210" xr:uid="{2F0839ED-6356-4A19-A210-6E31EDC168AF}"/>
    <cellStyle name="Pourcentage 3 5 4 3" xfId="4211" xr:uid="{AB928BE4-47C7-4943-BB6E-24E02BC08F5A}"/>
    <cellStyle name="Pourcentage 3 5 4 4" xfId="4212" xr:uid="{09BC1906-8069-4437-B571-38865A8E777F}"/>
    <cellStyle name="Pourcentage 3 5 5" xfId="4213" xr:uid="{4DCA3C29-6B7B-4A57-BEC2-4C10356C6142}"/>
    <cellStyle name="Pourcentage 3 5 5 2" xfId="4214" xr:uid="{9AC24EE6-A227-4E3E-AA40-97E5AC27F98D}"/>
    <cellStyle name="Pourcentage 3 5 5 3" xfId="4215" xr:uid="{70D21C40-D4D1-4215-8537-7264133F1BBB}"/>
    <cellStyle name="Pourcentage 3 5 6" xfId="4216" xr:uid="{3C72DB60-9A9B-456C-90EE-D29832B015C1}"/>
    <cellStyle name="Pourcentage 3 5 7" xfId="4217" xr:uid="{91DF0E93-F011-4B45-9338-B76470F8E9B7}"/>
    <cellStyle name="Pourcentage 3 6" xfId="4218" xr:uid="{683B101F-5D91-481C-B4C4-270546A7FFDB}"/>
    <cellStyle name="Pourcentage 3 6 2" xfId="4219" xr:uid="{55C99A18-5379-433F-93F8-6A8CBF75B86C}"/>
    <cellStyle name="Pourcentage 3 6 2 2" xfId="4220" xr:uid="{284AC934-AA83-4A29-AE93-9D45BE5306A0}"/>
    <cellStyle name="Pourcentage 3 6 2 2 2" xfId="4221" xr:uid="{D4BC0C75-A04D-4669-BA7E-E034DBBF796A}"/>
    <cellStyle name="Pourcentage 3 6 2 2 2 2" xfId="4222" xr:uid="{FDC6F49D-BCDD-44D4-AE88-A9CA7CD7AFD3}"/>
    <cellStyle name="Pourcentage 3 6 2 2 2 3" xfId="4223" xr:uid="{7AA57ED2-F5EE-4C31-A117-91E2ED373D9E}"/>
    <cellStyle name="Pourcentage 3 6 2 2 3" xfId="4224" xr:uid="{A15F2892-EC44-45D8-9DD1-BE571EF4317A}"/>
    <cellStyle name="Pourcentage 3 6 2 2 4" xfId="4225" xr:uid="{85D00F03-45B0-4D74-88EA-19BEC935CA8F}"/>
    <cellStyle name="Pourcentage 3 6 2 3" xfId="4226" xr:uid="{2D0374CA-4B2E-43EA-8A6C-15A74CD37E84}"/>
    <cellStyle name="Pourcentage 3 6 2 3 2" xfId="4227" xr:uid="{D7661FFB-784C-4AB5-9713-4E8576FAA574}"/>
    <cellStyle name="Pourcentage 3 6 2 3 3" xfId="4228" xr:uid="{C94E37DF-16F9-4CAF-9931-C7CF8EA36050}"/>
    <cellStyle name="Pourcentage 3 6 2 4" xfId="4229" xr:uid="{907F422C-EA9B-49E4-9F9B-603BCBA5CC88}"/>
    <cellStyle name="Pourcentage 3 6 2 5" xfId="4230" xr:uid="{FF2FF3ED-ED55-40A0-8A0E-E1D9C943E34C}"/>
    <cellStyle name="Pourcentage 3 6 3" xfId="4231" xr:uid="{FF8C7C21-4DAD-4B5C-859F-3B57FA474679}"/>
    <cellStyle name="Pourcentage 3 6 3 2" xfId="4232" xr:uid="{5FFC34D9-AD06-4349-A5FA-8FBDCEADE28B}"/>
    <cellStyle name="Pourcentage 3 6 3 2 2" xfId="4233" xr:uid="{0CE44748-46AA-413B-B64D-FC4D54452403}"/>
    <cellStyle name="Pourcentage 3 6 3 2 3" xfId="4234" xr:uid="{40F7DFE7-6507-42C3-94CA-638E75D3154A}"/>
    <cellStyle name="Pourcentage 3 6 3 3" xfId="4235" xr:uid="{75ED9AD4-663D-47AF-8B24-E7C501D16AB6}"/>
    <cellStyle name="Pourcentage 3 6 3 4" xfId="4236" xr:uid="{DCDA3FCC-D6D0-4F69-A509-DA5524D7D774}"/>
    <cellStyle name="Pourcentage 3 6 4" xfId="4237" xr:uid="{0319DEB8-2354-4A58-B96A-63E6D9369603}"/>
    <cellStyle name="Pourcentage 3 6 4 2" xfId="4238" xr:uid="{1BAE0F93-045E-4D1C-8776-6290EE913534}"/>
    <cellStyle name="Pourcentage 3 6 4 3" xfId="4239" xr:uid="{5080340A-0858-4EF8-B238-B3D3AAA5E35F}"/>
    <cellStyle name="Pourcentage 3 6 5" xfId="4240" xr:uid="{76F61307-EDD1-4C4F-8BCB-723F1EBD926A}"/>
    <cellStyle name="Pourcentage 3 6 6" xfId="4241" xr:uid="{7350C07D-8993-42AF-B719-6932BF60C855}"/>
    <cellStyle name="Pourcentage 3 7" xfId="4242" xr:uid="{CCA7C56C-19C1-4BAC-9488-8C87A8B15EEB}"/>
    <cellStyle name="Pourcentage 3 7 2" xfId="4243" xr:uid="{E8BE2867-7880-43C9-BEBA-171EF3EE38AD}"/>
    <cellStyle name="Pourcentage 3 7 2 2" xfId="4244" xr:uid="{868C2D73-7937-40B8-AFF7-2685F3057380}"/>
    <cellStyle name="Pourcentage 3 7 2 2 2" xfId="4245" xr:uid="{2662EEDE-7C68-42F8-9731-BA4224905009}"/>
    <cellStyle name="Pourcentage 3 7 2 2 2 2" xfId="4246" xr:uid="{FF9731E9-3419-4AD2-B5DC-E3CF54C3E616}"/>
    <cellStyle name="Pourcentage 3 7 2 2 2 3" xfId="4247" xr:uid="{59349762-D8DE-4D64-AAD3-5DA65D856D1C}"/>
    <cellStyle name="Pourcentage 3 7 2 2 3" xfId="4248" xr:uid="{FB4C4A29-83B8-44DC-94F1-C172A675428C}"/>
    <cellStyle name="Pourcentage 3 7 2 2 4" xfId="4249" xr:uid="{729E8FB6-9C76-41BE-BFBD-A44931839957}"/>
    <cellStyle name="Pourcentage 3 7 2 3" xfId="4250" xr:uid="{DE93EACA-D38C-46CE-9C9B-7E58000FB16E}"/>
    <cellStyle name="Pourcentage 3 7 2 3 2" xfId="4251" xr:uid="{0CC6EF86-CB62-492D-8C2F-84F97AD98796}"/>
    <cellStyle name="Pourcentage 3 7 2 3 3" xfId="4252" xr:uid="{69A6EB2A-CBC3-4FD7-ABE7-3023BC71C35C}"/>
    <cellStyle name="Pourcentage 3 7 2 4" xfId="4253" xr:uid="{B75AFBDC-861E-477C-A9F8-2D81B1D849C0}"/>
    <cellStyle name="Pourcentage 3 7 2 5" xfId="4254" xr:uid="{B1597C0C-4798-4AB5-BE84-4BB60AEC18B8}"/>
    <cellStyle name="Pourcentage 3 7 3" xfId="4255" xr:uid="{96ABB80B-9D6E-4D60-B190-90D2AD2E90D0}"/>
    <cellStyle name="Pourcentage 3 7 3 2" xfId="4256" xr:uid="{475272F5-7C83-4D11-A6CE-80C1519F0064}"/>
    <cellStyle name="Pourcentage 3 7 3 2 2" xfId="4257" xr:uid="{0CC68622-F97F-42E8-B2C2-D04BDE6BFA17}"/>
    <cellStyle name="Pourcentage 3 7 3 2 3" xfId="4258" xr:uid="{F71A69B2-01F2-48AB-AC03-8308F2F52E6C}"/>
    <cellStyle name="Pourcentage 3 7 3 3" xfId="4259" xr:uid="{CDACFF15-09F8-48A0-A3B0-E303F43D797D}"/>
    <cellStyle name="Pourcentage 3 7 3 4" xfId="4260" xr:uid="{3E531621-3487-4CA9-9A33-1A0B35F5DDF8}"/>
    <cellStyle name="Pourcentage 3 7 4" xfId="4261" xr:uid="{C78B37BD-5B8E-4825-B62B-23595B3B3575}"/>
    <cellStyle name="Pourcentage 3 7 4 2" xfId="4262" xr:uid="{BBA711AC-E96C-40B3-A575-2F9A8CC9DFD3}"/>
    <cellStyle name="Pourcentage 3 7 4 3" xfId="4263" xr:uid="{31ADAA5F-6795-4AF4-A9C5-23426B44D62B}"/>
    <cellStyle name="Pourcentage 3 7 5" xfId="4264" xr:uid="{E6774E8C-4428-490E-834B-833C7827C418}"/>
    <cellStyle name="Pourcentage 3 7 6" xfId="4265" xr:uid="{1AA3AD77-54C7-47A3-BC40-EAD0F4EE87DF}"/>
    <cellStyle name="Pourcentage 3 8" xfId="4266" xr:uid="{8D2AC7B1-2E98-4642-8D6F-4905219BE4F9}"/>
    <cellStyle name="Pourcentage 3 8 2" xfId="4267" xr:uid="{15A6B251-504A-4376-853D-09A4368174E8}"/>
    <cellStyle name="Pourcentage 3 8 2 2" xfId="4268" xr:uid="{72CF17DD-ABC3-4A4A-B691-519FA287AE8A}"/>
    <cellStyle name="Pourcentage 3 8 2 2 2" xfId="4269" xr:uid="{48821DDB-6865-4C9E-8673-C750BCADD38E}"/>
    <cellStyle name="Pourcentage 3 8 2 2 3" xfId="4270" xr:uid="{CE5EA225-6E98-4EEC-8BBD-3D83F2C350B7}"/>
    <cellStyle name="Pourcentage 3 8 2 3" xfId="4271" xr:uid="{65FAC49C-D3CC-43EA-A6BF-E12BE04AC0BF}"/>
    <cellStyle name="Pourcentage 3 8 2 4" xfId="4272" xr:uid="{E9F19FD2-9D1C-48A3-AA27-A7A57AFC85B1}"/>
    <cellStyle name="Pourcentage 3 8 3" xfId="4273" xr:uid="{3E0FF9A6-615F-4BC3-9783-7C76A3E63FA7}"/>
    <cellStyle name="Pourcentage 3 8 3 2" xfId="4274" xr:uid="{2CC38105-CB04-409D-8E0D-3CF442C2990C}"/>
    <cellStyle name="Pourcentage 3 8 3 3" xfId="4275" xr:uid="{6E24A37D-A638-4DC4-87C9-A3DA90761AA6}"/>
    <cellStyle name="Pourcentage 3 8 4" xfId="4276" xr:uid="{52FD2733-9EFD-4B36-B634-C9C0F176EE47}"/>
    <cellStyle name="Pourcentage 3 8 5" xfId="4277" xr:uid="{B9DA0875-9A6E-47B4-85EB-2E7F57A58363}"/>
    <cellStyle name="Pourcentage 3 9" xfId="4278" xr:uid="{6AE8B7F2-8889-4B30-BFEC-29161CB9BF49}"/>
    <cellStyle name="Pourcentage 3 9 2" xfId="4279" xr:uid="{E77DA4A1-63BC-4FD6-9DA9-10D5F85A8EA6}"/>
    <cellStyle name="Pourcentage 3 9 2 2" xfId="4280" xr:uid="{88D1F67E-A9F3-4E4C-9013-B0699BC0DB97}"/>
    <cellStyle name="Pourcentage 3 9 2 3" xfId="4281" xr:uid="{F3C0501B-8E91-47C5-B2AE-262133A1FA29}"/>
    <cellStyle name="Pourcentage 3 9 3" xfId="4282" xr:uid="{B7660B51-1C2C-491D-A933-8AC4E36C55D5}"/>
    <cellStyle name="Pourcentage 3 9 4" xfId="4283" xr:uid="{DAAB1311-F7B7-42E5-AE99-5E7A8AC593E6}"/>
    <cellStyle name="Pourcentage 4" xfId="4284" xr:uid="{BF110243-1598-4A76-8699-48E307B10B52}"/>
    <cellStyle name="Pourcentage 4 2" xfId="4285" xr:uid="{65A9245F-F5CD-489D-B2AC-96670F8B1AE1}"/>
    <cellStyle name="Pourcentage 4 2 2" xfId="4286" xr:uid="{32F654C6-1FA3-410C-ADAB-F3EFBA1EABD6}"/>
    <cellStyle name="Pourcentage 4 2 2 2" xfId="4287" xr:uid="{8FF3C209-D7F9-4F23-B776-C3E3AB079C24}"/>
    <cellStyle name="Pourcentage 4 2 2 2 2" xfId="4288" xr:uid="{0538774A-5133-4FD2-AA0E-36161E2AA27B}"/>
    <cellStyle name="Pourcentage 4 2 2 2 2 2" xfId="4289" xr:uid="{EA8F7CF3-A780-4611-A514-87945272D0AB}"/>
    <cellStyle name="Pourcentage 4 2 2 2 2 2 2" xfId="4290" xr:uid="{B0F7240D-C5BF-46FE-BDB1-1D5EE9FC686A}"/>
    <cellStyle name="Pourcentage 4 2 2 2 2 2 3" xfId="4291" xr:uid="{7D17464D-CF99-41BA-A6DD-DC53041C201A}"/>
    <cellStyle name="Pourcentage 4 2 2 2 2 3" xfId="4292" xr:uid="{861D3CD5-7F02-42EB-A7B4-AA62D52B6B92}"/>
    <cellStyle name="Pourcentage 4 2 2 2 2 4" xfId="4293" xr:uid="{C4CB9A5E-9344-4A4C-89D8-33B9EE71B794}"/>
    <cellStyle name="Pourcentage 4 2 2 2 3" xfId="4294" xr:uid="{C98B8075-8898-41D5-9AEF-984C0642B740}"/>
    <cellStyle name="Pourcentage 4 2 2 2 3 2" xfId="4295" xr:uid="{E72065E3-DC2F-4F3F-828E-A6C8B6A7C938}"/>
    <cellStyle name="Pourcentage 4 2 2 2 3 3" xfId="4296" xr:uid="{C086E8E1-C3A3-431A-AEC6-DF431FADCA7D}"/>
    <cellStyle name="Pourcentage 4 2 2 2 4" xfId="4297" xr:uid="{45B13A0E-82F4-4C1F-AEEF-DA2BBD0143A7}"/>
    <cellStyle name="Pourcentage 4 2 2 2 5" xfId="4298" xr:uid="{BDBBF628-E796-46D1-BFA3-C35B20511E5A}"/>
    <cellStyle name="Pourcentage 4 2 2 3" xfId="4299" xr:uid="{2C600CDD-6830-4AF2-93AA-4ADE9BDE8977}"/>
    <cellStyle name="Pourcentage 4 2 2 3 2" xfId="4300" xr:uid="{F73637B6-714F-40EB-A212-242B53469371}"/>
    <cellStyle name="Pourcentage 4 2 2 3 2 2" xfId="4301" xr:uid="{FB18015E-344B-45C8-8CF5-B84E73328E78}"/>
    <cellStyle name="Pourcentage 4 2 2 3 2 3" xfId="4302" xr:uid="{1A38CE0B-F085-4B88-9ED0-DF3BB25A7360}"/>
    <cellStyle name="Pourcentage 4 2 2 3 3" xfId="4303" xr:uid="{2891F72A-C2B6-42CF-B770-6514D9B15A5B}"/>
    <cellStyle name="Pourcentage 4 2 2 3 4" xfId="4304" xr:uid="{47D68B67-1F60-47C0-8465-F5C8F39EFEB1}"/>
    <cellStyle name="Pourcentage 4 2 2 4" xfId="4305" xr:uid="{B5C12667-56C9-4DDB-BD89-3EC98546DAB3}"/>
    <cellStyle name="Pourcentage 4 2 2 4 2" xfId="4306" xr:uid="{B509488E-2885-4D9C-9D2F-718E8222F867}"/>
    <cellStyle name="Pourcentage 4 2 2 4 3" xfId="4307" xr:uid="{107C29B1-5B96-4F8B-B2A1-9AD3ECD244B6}"/>
    <cellStyle name="Pourcentage 4 2 2 5" xfId="4308" xr:uid="{5938DAE4-17AD-4AB3-A88D-EFC9D44D5983}"/>
    <cellStyle name="Pourcentage 4 2 2 6" xfId="4309" xr:uid="{55FD0DE6-860A-4FF2-8BF8-CBE85F965C52}"/>
    <cellStyle name="Pourcentage 4 2 3" xfId="4310" xr:uid="{021E7634-2E97-471C-8564-D5DCD2201468}"/>
    <cellStyle name="Pourcentage 4 2 3 2" xfId="4311" xr:uid="{3F621C01-926F-4460-B53E-1E433DB8D4A5}"/>
    <cellStyle name="Pourcentage 4 2 3 2 2" xfId="4312" xr:uid="{F78ED1F9-32DC-45B1-AC83-B2337A4F42C8}"/>
    <cellStyle name="Pourcentage 4 2 3 2 2 2" xfId="4313" xr:uid="{5FEA1E64-ABCF-4E69-B8C8-3D8B4BBFEDD1}"/>
    <cellStyle name="Pourcentage 4 2 3 2 2 3" xfId="4314" xr:uid="{04DADF52-035C-401B-9435-60544C358AE4}"/>
    <cellStyle name="Pourcentage 4 2 3 2 3" xfId="4315" xr:uid="{47A798A2-BCA3-4333-BA2C-75C1C9FD3790}"/>
    <cellStyle name="Pourcentage 4 2 3 2 4" xfId="4316" xr:uid="{04518D37-FFD0-42AE-9254-D531FB366476}"/>
    <cellStyle name="Pourcentage 4 2 3 3" xfId="4317" xr:uid="{1517CB01-E8C6-480D-9639-786C6AD1B086}"/>
    <cellStyle name="Pourcentage 4 2 3 3 2" xfId="4318" xr:uid="{4079A017-3AF5-4ACC-B14D-9BB94FBA83D2}"/>
    <cellStyle name="Pourcentage 4 2 3 3 3" xfId="4319" xr:uid="{8C481B18-7278-430A-B4B6-1DA10640A924}"/>
    <cellStyle name="Pourcentage 4 2 3 4" xfId="4320" xr:uid="{AE047BE4-80A4-4D73-9E30-04BAEDB8FBB5}"/>
    <cellStyle name="Pourcentage 4 2 3 5" xfId="4321" xr:uid="{2A86B015-E0BA-4793-A470-6E77C6852E81}"/>
    <cellStyle name="Pourcentage 4 2 4" xfId="4322" xr:uid="{94F58227-EA7A-4E39-A724-B21C2DB6D279}"/>
    <cellStyle name="Pourcentage 4 2 4 2" xfId="4323" xr:uid="{039EAA7F-0697-455D-9E51-2A7B98CF1216}"/>
    <cellStyle name="Pourcentage 4 2 4 2 2" xfId="4324" xr:uid="{C13ECDBA-1E4F-4C5C-8AE1-FAAB75B981E9}"/>
    <cellStyle name="Pourcentage 4 2 4 2 3" xfId="4325" xr:uid="{20068DB5-53DE-494C-9166-10D7D61BB5EE}"/>
    <cellStyle name="Pourcentage 4 2 4 3" xfId="4326" xr:uid="{B4EEFCD8-D371-49C4-AAC7-CF66338381EB}"/>
    <cellStyle name="Pourcentage 4 2 4 4" xfId="4327" xr:uid="{D82B8947-D359-41D1-835B-74535FF158E9}"/>
    <cellStyle name="Pourcentage 4 2 5" xfId="4328" xr:uid="{87BC8047-A220-4A4E-A9D6-A0ECC2EC3E6F}"/>
    <cellStyle name="Pourcentage 4 2 5 2" xfId="4329" xr:uid="{BFB788EB-B296-4A6B-ABF7-CA2D60F2B178}"/>
    <cellStyle name="Pourcentage 4 2 5 3" xfId="4330" xr:uid="{D90F31A8-ACEF-45C3-BC66-E7BCC2BA101C}"/>
    <cellStyle name="Pourcentage 4 2 6" xfId="4331" xr:uid="{6B7E56D7-1434-447F-ADEB-C4C6EC0BBD6D}"/>
    <cellStyle name="Pourcentage 4 2 7" xfId="4332" xr:uid="{7C38C07C-C4E2-4472-9F83-EFB9A100CFDC}"/>
    <cellStyle name="Pourcentage 4 3" xfId="4333" xr:uid="{1A39AE6D-6D93-4880-9261-1442698E12ED}"/>
    <cellStyle name="Pourcentage 4 3 2" xfId="4334" xr:uid="{F1EE17BF-5712-4554-B487-4BD9510F394E}"/>
    <cellStyle name="Pourcentage 4 3 2 2" xfId="4335" xr:uid="{2C0B86F7-23C8-4A77-AB24-B53F414EB798}"/>
    <cellStyle name="Pourcentage 4 3 2 2 2" xfId="4336" xr:uid="{C1FE655C-D213-4526-9B4E-FE9C5111F5E9}"/>
    <cellStyle name="Pourcentage 4 3 2 2 2 2" xfId="4337" xr:uid="{2044445C-8BBF-4AFA-9FBA-933D2330002B}"/>
    <cellStyle name="Pourcentage 4 3 2 2 2 3" xfId="4338" xr:uid="{179C2B1B-6A94-4E91-AFF9-A23CC36A93F5}"/>
    <cellStyle name="Pourcentage 4 3 2 2 3" xfId="4339" xr:uid="{80A39AA4-7B20-492C-9C1A-BFC0F886CD4D}"/>
    <cellStyle name="Pourcentage 4 3 2 2 4" xfId="4340" xr:uid="{17D8F1A8-47BF-4A7F-891E-21BFF3FA3A14}"/>
    <cellStyle name="Pourcentage 4 3 2 3" xfId="4341" xr:uid="{C53441E1-8DDB-49F3-BA80-C940DCD3B335}"/>
    <cellStyle name="Pourcentage 4 3 2 3 2" xfId="4342" xr:uid="{11482521-C651-40A5-B145-07DADE4FF668}"/>
    <cellStyle name="Pourcentage 4 3 2 3 3" xfId="4343" xr:uid="{424712EA-FC7F-4DCB-8D0A-4ABC893717D3}"/>
    <cellStyle name="Pourcentage 4 3 2 4" xfId="4344" xr:uid="{9B0D0E5A-A876-42BB-95DA-171B4C73ED53}"/>
    <cellStyle name="Pourcentage 4 3 2 5" xfId="4345" xr:uid="{50C441CA-BF33-48B2-9F60-A49206693505}"/>
    <cellStyle name="Pourcentage 4 3 3" xfId="4346" xr:uid="{9D90F86F-6D54-426B-992C-20D8622D557E}"/>
    <cellStyle name="Pourcentage 4 3 3 2" xfId="4347" xr:uid="{5D0E26F9-9A05-41B3-90E7-95863A21439D}"/>
    <cellStyle name="Pourcentage 4 3 3 2 2" xfId="4348" xr:uid="{35DEDCCF-DC6C-421D-8A46-EF6950E2DE78}"/>
    <cellStyle name="Pourcentage 4 3 3 2 3" xfId="4349" xr:uid="{FB25EDD3-BFBB-4CAE-AFA2-2A1E6C6D5FDB}"/>
    <cellStyle name="Pourcentage 4 3 3 3" xfId="4350" xr:uid="{B8E89F1E-E695-4162-BF2A-F09CCD1F9EAC}"/>
    <cellStyle name="Pourcentage 4 3 3 4" xfId="4351" xr:uid="{725C87D6-3E4A-4B89-970D-0C3D12809C6C}"/>
    <cellStyle name="Pourcentage 4 3 4" xfId="4352" xr:uid="{9655AC81-6221-490F-9BBC-4C82197C00EF}"/>
    <cellStyle name="Pourcentage 4 3 4 2" xfId="4353" xr:uid="{5B658749-7300-4977-B5D1-F4E81BF373A3}"/>
    <cellStyle name="Pourcentage 4 3 4 3" xfId="4354" xr:uid="{3DF40C0C-215E-4634-BB55-02A86DD52158}"/>
    <cellStyle name="Pourcentage 4 3 5" xfId="4355" xr:uid="{D8526468-30E9-4EE7-A04A-65CF182F94C2}"/>
    <cellStyle name="Pourcentage 4 3 6" xfId="4356" xr:uid="{ABB30B7D-3258-4CF1-993F-4A893AF14CA0}"/>
    <cellStyle name="Pourcentage 4 4" xfId="4357" xr:uid="{EBED140F-4172-4745-975A-C85D7C4DC583}"/>
    <cellStyle name="Pourcentage 4 4 2" xfId="4358" xr:uid="{79603A35-AB4A-480E-B01D-03CF2C3AEA48}"/>
    <cellStyle name="Pourcentage 4 4 2 2" xfId="4359" xr:uid="{0D877E8F-0B46-460D-BAB2-AF8410825ADC}"/>
    <cellStyle name="Pourcentage 4 4 2 2 2" xfId="4360" xr:uid="{E0D17B1A-94C0-45FA-B582-49EB10E71BE7}"/>
    <cellStyle name="Pourcentage 4 4 2 2 3" xfId="4361" xr:uid="{4D9BBBB0-8845-4593-AEA2-C5A555C45AC6}"/>
    <cellStyle name="Pourcentage 4 4 2 3" xfId="4362" xr:uid="{93B58A2B-3CFF-4022-8906-C9CBE120BAC5}"/>
    <cellStyle name="Pourcentage 4 4 2 4" xfId="4363" xr:uid="{89B00A44-3F42-4952-B4D7-B3A7788DFC40}"/>
    <cellStyle name="Pourcentage 4 4 3" xfId="4364" xr:uid="{7A926D11-D268-475E-8231-1951A5FA5C50}"/>
    <cellStyle name="Pourcentage 4 4 3 2" xfId="4365" xr:uid="{21F360FB-A5FE-4EDB-8C26-E8FA744560EF}"/>
    <cellStyle name="Pourcentage 4 4 3 3" xfId="4366" xr:uid="{3CC54EF6-AA3B-4E54-A245-E5324EFA53CE}"/>
    <cellStyle name="Pourcentage 4 4 4" xfId="4367" xr:uid="{5E0B12D4-884E-41AB-8632-0533653BD40B}"/>
    <cellStyle name="Pourcentage 4 4 5" xfId="4368" xr:uid="{98D227B7-F40F-45E5-9D45-34FA0919D498}"/>
    <cellStyle name="Pourcentage 4 5" xfId="4369" xr:uid="{37C038CA-AEF8-4669-BF54-9ED7E3DE2EE8}"/>
    <cellStyle name="Pourcentage 4 5 2" xfId="4370" xr:uid="{963D789B-4939-4756-A1A6-AC3DB4F944CC}"/>
    <cellStyle name="Pourcentage 4 5 2 2" xfId="4371" xr:uid="{0313EB3D-ADA9-4810-948C-8C10494CF91E}"/>
    <cellStyle name="Pourcentage 4 5 2 3" xfId="4372" xr:uid="{E60A9ACD-6DE5-4840-9BC4-8E5520C027D7}"/>
    <cellStyle name="Pourcentage 4 5 3" xfId="4373" xr:uid="{65653658-4E62-4B70-836A-5B1BDAB3D301}"/>
    <cellStyle name="Pourcentage 4 5 4" xfId="4374" xr:uid="{F79EFB1B-CE6F-4CF4-93AB-9BB6EC558E4B}"/>
    <cellStyle name="Pourcentage 4 6" xfId="4375" xr:uid="{87E385A3-578B-4460-8CBA-D122D6AED19D}"/>
    <cellStyle name="Pourcentage 4 6 2" xfId="4376" xr:uid="{95E3A516-DC8B-4D55-A325-CF83D4217471}"/>
    <cellStyle name="Pourcentage 4 6 3" xfId="4377" xr:uid="{8BCB60F3-8841-45AC-98BE-53FBCD3E13F8}"/>
    <cellStyle name="Pourcentage 4 7" xfId="4378" xr:uid="{A87701B6-C16E-4E5F-970A-BAEB3BC019FF}"/>
    <cellStyle name="Pourcentage 4 8" xfId="4379" xr:uid="{190F728D-8709-4451-8E28-48ACBA32D9AC}"/>
    <cellStyle name="Pourcentage 5" xfId="4380" xr:uid="{1FA0EB64-E1D3-4916-B539-C4161F4EE136}"/>
    <cellStyle name="Pourcentage 5 2" xfId="4381" xr:uid="{D01903DA-730E-4385-BCFD-5BF145FFFA8B}"/>
    <cellStyle name="Pourcentage 5 2 2" xfId="4382" xr:uid="{87E77C66-29FF-424C-ABE3-A5704E886C77}"/>
    <cellStyle name="Pourcentage 5 2 2 2" xfId="4383" xr:uid="{10517F2B-BA75-4AD9-8853-0C50FC094AF2}"/>
    <cellStyle name="Pourcentage 5 2 2 2 2" xfId="4384" xr:uid="{345C933C-106F-49D7-9A26-CD5E65D178A3}"/>
    <cellStyle name="Pourcentage 5 2 2 2 2 2" xfId="4385" xr:uid="{0FA0DF38-F89B-4835-AA42-00026AA21C0A}"/>
    <cellStyle name="Pourcentage 5 2 2 2 2 2 2" xfId="4386" xr:uid="{97A26808-C2AD-4283-926B-3DA829CBC16B}"/>
    <cellStyle name="Pourcentage 5 2 2 2 2 2 3" xfId="4387" xr:uid="{5B6AAAAC-16BE-4DF1-B6ED-AB5D070C3A92}"/>
    <cellStyle name="Pourcentage 5 2 2 2 2 3" xfId="4388" xr:uid="{057107AD-129E-48F3-83C2-E11BAA565665}"/>
    <cellStyle name="Pourcentage 5 2 2 2 2 4" xfId="4389" xr:uid="{2E9EF957-0C60-4C92-886B-F9BBA9C119A8}"/>
    <cellStyle name="Pourcentage 5 2 2 2 3" xfId="4390" xr:uid="{5B90E6B5-0D03-4749-A18C-1D691DB67E3B}"/>
    <cellStyle name="Pourcentage 5 2 2 2 3 2" xfId="4391" xr:uid="{B618B588-8D87-422B-9C19-2533F431928F}"/>
    <cellStyle name="Pourcentage 5 2 2 2 3 3" xfId="4392" xr:uid="{482BCD91-1AB9-4587-A842-384849067AAC}"/>
    <cellStyle name="Pourcentage 5 2 2 2 4" xfId="4393" xr:uid="{42B330DC-2F2A-4018-AC3C-A9C29E14124C}"/>
    <cellStyle name="Pourcentage 5 2 2 2 5" xfId="4394" xr:uid="{2D1E071F-E637-4996-8FB8-58388B76A623}"/>
    <cellStyle name="Pourcentage 5 2 2 3" xfId="4395" xr:uid="{E5F1930C-295C-42E3-83B9-DD7E19DE28E8}"/>
    <cellStyle name="Pourcentage 5 2 2 3 2" xfId="4396" xr:uid="{3DB56600-C424-47F7-BE86-7D0F5749FED9}"/>
    <cellStyle name="Pourcentage 5 2 2 3 2 2" xfId="4397" xr:uid="{4A19DAE6-C84C-48AF-9926-A0D873B11432}"/>
    <cellStyle name="Pourcentage 5 2 2 3 2 3" xfId="4398" xr:uid="{621B2A6B-2361-4F08-93E9-3522F7700E4C}"/>
    <cellStyle name="Pourcentage 5 2 2 3 3" xfId="4399" xr:uid="{D8E59E06-DBAB-4336-8C2B-411864AE0AAC}"/>
    <cellStyle name="Pourcentage 5 2 2 3 4" xfId="4400" xr:uid="{F6A03FCB-91B0-4372-8266-A2B803FA1106}"/>
    <cellStyle name="Pourcentage 5 2 2 4" xfId="4401" xr:uid="{8FBB7EFB-843A-45FF-BD6F-2023A77A6BEF}"/>
    <cellStyle name="Pourcentage 5 2 2 4 2" xfId="4402" xr:uid="{F9404450-48A3-477D-A780-600B793AB844}"/>
    <cellStyle name="Pourcentage 5 2 2 4 3" xfId="4403" xr:uid="{7A938F0D-86C1-4323-BC15-87CEDECEA1D1}"/>
    <cellStyle name="Pourcentage 5 2 2 5" xfId="4404" xr:uid="{6039D5F7-ADE2-42CD-93B3-4C27046252F6}"/>
    <cellStyle name="Pourcentage 5 2 2 6" xfId="4405" xr:uid="{C2D5558F-C48D-4E9D-BC9C-17C9660EA9DA}"/>
    <cellStyle name="Pourcentage 5 2 3" xfId="4406" xr:uid="{56AAD728-7C8C-47E6-833A-953135963126}"/>
    <cellStyle name="Pourcentage 5 2 3 2" xfId="4407" xr:uid="{A058199B-37CE-457D-B489-795F4D5305C0}"/>
    <cellStyle name="Pourcentage 5 2 3 2 2" xfId="4408" xr:uid="{2C2C656B-A3DC-4C9D-AE56-EC4A53A86E81}"/>
    <cellStyle name="Pourcentage 5 2 3 2 2 2" xfId="4409" xr:uid="{7A061DEE-84F0-4F60-9CBB-B0C418406D28}"/>
    <cellStyle name="Pourcentage 5 2 3 2 2 3" xfId="4410" xr:uid="{207AB974-7561-400A-92DD-3DFF0FF316D9}"/>
    <cellStyle name="Pourcentage 5 2 3 2 3" xfId="4411" xr:uid="{049BAB53-02BE-43F4-A0ED-08F4A48A9BB9}"/>
    <cellStyle name="Pourcentage 5 2 3 2 4" xfId="4412" xr:uid="{75D0EDAC-3C82-4975-8E68-9B998A911B59}"/>
    <cellStyle name="Pourcentage 5 2 3 3" xfId="4413" xr:uid="{975CB0E6-B7D7-4C63-AFD4-162B5D6FDBF9}"/>
    <cellStyle name="Pourcentage 5 2 3 3 2" xfId="4414" xr:uid="{E713F0D6-4BF2-4B90-841A-5DDDA582DB73}"/>
    <cellStyle name="Pourcentage 5 2 3 3 3" xfId="4415" xr:uid="{BFE02F69-573A-45CD-86FD-72582D880854}"/>
    <cellStyle name="Pourcentage 5 2 3 4" xfId="4416" xr:uid="{DA3968D8-FE8D-4999-8D60-52374E0158EA}"/>
    <cellStyle name="Pourcentage 5 2 3 5" xfId="4417" xr:uid="{9C96688A-9980-4368-9106-8E8C6A9DC321}"/>
    <cellStyle name="Pourcentage 5 2 4" xfId="4418" xr:uid="{C5B4B846-AAED-4C45-920C-DA0AC96D9C51}"/>
    <cellStyle name="Pourcentage 5 2 4 2" xfId="4419" xr:uid="{6C28F2F6-A905-447F-AB84-B453F176A3A7}"/>
    <cellStyle name="Pourcentage 5 2 4 2 2" xfId="4420" xr:uid="{5111DB41-06F3-403D-9FED-B7AA3C2832E6}"/>
    <cellStyle name="Pourcentage 5 2 4 2 3" xfId="4421" xr:uid="{5B95AD31-8E70-4DD1-A8C6-C1AE6FB16BB3}"/>
    <cellStyle name="Pourcentage 5 2 4 3" xfId="4422" xr:uid="{23D49DA6-B58F-4D10-B03D-0E7F181730C0}"/>
    <cellStyle name="Pourcentage 5 2 4 4" xfId="4423" xr:uid="{2329D499-8A94-4AE7-BD30-FEC214DC6189}"/>
    <cellStyle name="Pourcentage 5 2 5" xfId="4424" xr:uid="{6D6FF1CE-2CEB-4492-A101-0DB7EDEFFD04}"/>
    <cellStyle name="Pourcentage 5 2 5 2" xfId="4425" xr:uid="{99C002BE-2F36-4488-8DC6-92BC4FC9D549}"/>
    <cellStyle name="Pourcentage 5 2 5 3" xfId="4426" xr:uid="{53BC4D53-2314-46BE-AFD3-AF551D6A27A4}"/>
    <cellStyle name="Pourcentage 5 2 6" xfId="4427" xr:uid="{CA24684B-6926-4974-872F-E7EECADC9E9D}"/>
    <cellStyle name="Pourcentage 5 2 7" xfId="4428" xr:uid="{04A47A19-5983-42B1-9F97-5D94F04D0A9A}"/>
    <cellStyle name="Pourcentage 5 3" xfId="4429" xr:uid="{B43A09A0-B299-4D05-92DA-39749CB96D1B}"/>
    <cellStyle name="Pourcentage 5 3 2" xfId="4430" xr:uid="{92FF7B73-BE6E-4B7A-91CF-7F584E9B0EDF}"/>
    <cellStyle name="Pourcentage 5 3 2 2" xfId="4431" xr:uid="{3175CD1F-0483-4610-BBBE-281517E2E5C1}"/>
    <cellStyle name="Pourcentage 5 3 2 2 2" xfId="4432" xr:uid="{F6CFCF58-228D-42D6-8799-4572E01D49F7}"/>
    <cellStyle name="Pourcentage 5 3 2 2 2 2" xfId="4433" xr:uid="{F2E8863A-1413-4974-B152-7E30F9B17928}"/>
    <cellStyle name="Pourcentage 5 3 2 2 2 3" xfId="4434" xr:uid="{600C78AA-1D01-4F1B-8223-108F4F28D1D1}"/>
    <cellStyle name="Pourcentage 5 3 2 2 3" xfId="4435" xr:uid="{AD98ADD1-5E21-4EBA-B11F-6D59CA77BCC8}"/>
    <cellStyle name="Pourcentage 5 3 2 2 4" xfId="4436" xr:uid="{6B137797-C427-4888-96F9-A0BB4F1E1412}"/>
    <cellStyle name="Pourcentage 5 3 2 3" xfId="4437" xr:uid="{A1444E7D-5ADB-4B6C-97D5-31D77DC9DC61}"/>
    <cellStyle name="Pourcentage 5 3 2 3 2" xfId="4438" xr:uid="{81B04855-7491-4C7B-82BB-903C0460B284}"/>
    <cellStyle name="Pourcentage 5 3 2 3 3" xfId="4439" xr:uid="{D1764E5D-1F71-4CD8-A619-E4DF467C3D2E}"/>
    <cellStyle name="Pourcentage 5 3 2 4" xfId="4440" xr:uid="{15D5326D-789C-4C3A-86F3-CC030CEAA61D}"/>
    <cellStyle name="Pourcentage 5 3 2 5" xfId="4441" xr:uid="{451D7BCA-E180-4F8D-B447-D798C07893FA}"/>
    <cellStyle name="Pourcentage 5 3 3" xfId="4442" xr:uid="{1B089487-8775-4677-BF09-46D843655069}"/>
    <cellStyle name="Pourcentage 5 3 3 2" xfId="4443" xr:uid="{8788FE51-A275-49B5-B0AA-CFB8ADDD4EEF}"/>
    <cellStyle name="Pourcentage 5 3 3 2 2" xfId="4444" xr:uid="{95DDB41B-46AF-47CD-B6D6-DD8C89E94C32}"/>
    <cellStyle name="Pourcentage 5 3 3 2 3" xfId="4445" xr:uid="{D43BB1BC-A591-481B-A8D6-8AD4D2E1DAA6}"/>
    <cellStyle name="Pourcentage 5 3 3 3" xfId="4446" xr:uid="{D10257B9-C5E3-46AE-8D72-3A0EA130D0EE}"/>
    <cellStyle name="Pourcentage 5 3 3 4" xfId="4447" xr:uid="{28384563-0563-44B2-9EF0-51FA069A493A}"/>
    <cellStyle name="Pourcentage 5 3 4" xfId="4448" xr:uid="{B826F6C5-F3CD-4DC9-8626-A364339B4A99}"/>
    <cellStyle name="Pourcentage 5 3 4 2" xfId="4449" xr:uid="{9BBEE5E8-59C6-4844-8034-13D38621CADB}"/>
    <cellStyle name="Pourcentage 5 3 4 3" xfId="4450" xr:uid="{01669A8E-F96E-406D-847D-C2C9EBDD0115}"/>
    <cellStyle name="Pourcentage 5 3 5" xfId="4451" xr:uid="{F2762737-06C1-48A7-AEDD-1256A87B2E54}"/>
    <cellStyle name="Pourcentage 5 3 6" xfId="4452" xr:uid="{3EB58663-2835-44D5-8FF4-8222B0C0E3CE}"/>
    <cellStyle name="Pourcentage 5 4" xfId="4453" xr:uid="{326FECFF-230C-430A-891C-63A575435A4D}"/>
    <cellStyle name="Pourcentage 5 4 2" xfId="4454" xr:uid="{3CD31FFE-8340-4347-955A-DAE34D792BED}"/>
    <cellStyle name="Pourcentage 5 4 2 2" xfId="4455" xr:uid="{A3C98C4C-5239-44F3-AC94-6F68190B8234}"/>
    <cellStyle name="Pourcentage 5 4 2 2 2" xfId="4456" xr:uid="{F1AE7EB3-539D-453A-9BBB-75FDE934DFA5}"/>
    <cellStyle name="Pourcentage 5 4 2 2 3" xfId="4457" xr:uid="{1FCD18EB-9754-41D2-82A7-E92F0D2E2C5A}"/>
    <cellStyle name="Pourcentage 5 4 2 3" xfId="4458" xr:uid="{A0320DCC-0C66-4B19-85CD-EB74EAC39765}"/>
    <cellStyle name="Pourcentage 5 4 2 4" xfId="4459" xr:uid="{A2F652BE-4FFA-4838-A927-22650C97586C}"/>
    <cellStyle name="Pourcentage 5 4 3" xfId="4460" xr:uid="{72779E35-9742-439D-BAF1-297919CF0FF7}"/>
    <cellStyle name="Pourcentage 5 4 3 2" xfId="4461" xr:uid="{EE9328E4-5329-4D3A-A71F-C3F09A75BD77}"/>
    <cellStyle name="Pourcentage 5 4 3 3" xfId="4462" xr:uid="{27E80461-103B-41C0-9464-E6AED5C4E3FB}"/>
    <cellStyle name="Pourcentage 5 4 4" xfId="4463" xr:uid="{BBE6E7B0-1B17-46E6-8348-A79D7B9E33D7}"/>
    <cellStyle name="Pourcentage 5 4 5" xfId="4464" xr:uid="{EE16F5B8-71F2-4741-8040-33617C5F7B73}"/>
    <cellStyle name="Pourcentage 5 5" xfId="4465" xr:uid="{B82DE3F9-4163-41CE-99D8-8C5B1C48C6C3}"/>
    <cellStyle name="Pourcentage 5 5 2" xfId="4466" xr:uid="{6CD210E0-1111-4F21-ABDB-0CEA7F942119}"/>
    <cellStyle name="Pourcentage 5 5 2 2" xfId="4467" xr:uid="{5D056087-D9FE-4339-9A0B-272CF17C7772}"/>
    <cellStyle name="Pourcentage 5 5 2 3" xfId="4468" xr:uid="{01E0C437-0198-478D-A318-39F936377B74}"/>
    <cellStyle name="Pourcentage 5 5 3" xfId="4469" xr:uid="{C10BB006-718D-4B19-8847-BB2293220ECF}"/>
    <cellStyle name="Pourcentage 5 5 4" xfId="4470" xr:uid="{23A8FF04-F46B-4BC7-92D5-1B6A71F4D6EE}"/>
    <cellStyle name="Pourcentage 5 6" xfId="4471" xr:uid="{7D2A454D-792D-410C-9D8D-AADAFF3D96CD}"/>
    <cellStyle name="Pourcentage 5 6 2" xfId="4472" xr:uid="{77E03507-A39B-4B8C-8A49-7FDA2A724333}"/>
    <cellStyle name="Pourcentage 5 6 3" xfId="4473" xr:uid="{DD0F07C3-833C-452A-8045-700AAC01653D}"/>
    <cellStyle name="Pourcentage 5 7" xfId="4474" xr:uid="{5B70E359-A33B-44DC-A130-53486808E461}"/>
    <cellStyle name="Pourcentage 5 8" xfId="4475" xr:uid="{18AC943A-2019-43A0-84EF-587AA290936E}"/>
    <cellStyle name="Pourcentage 6" xfId="4476" xr:uid="{BB360550-5D04-41D0-87C7-098FD05AD77C}"/>
    <cellStyle name="PrePop Currency (0)" xfId="4477" xr:uid="{AAAC1B36-2CF1-42ED-8049-E58DBD14F41F}"/>
    <cellStyle name="PrePop Currency (2)" xfId="4478" xr:uid="{F5DECA45-70A5-4625-AD5C-371B8D1DAE76}"/>
    <cellStyle name="PrePop Units (0)" xfId="4479" xr:uid="{C5D765CB-2807-4254-BF84-D837BB55CC7E}"/>
    <cellStyle name="PrePop Units (1)" xfId="4480" xr:uid="{90164C38-551B-41A5-8246-3F9A770F88B1}"/>
    <cellStyle name="PrePop Units (2)" xfId="4481" xr:uid="{FAD55A9C-8AA5-4A04-92BB-BCDF147B7C40}"/>
    <cellStyle name="Product Header" xfId="4482" xr:uid="{9DC3F8F1-3A30-4B18-B750-40AB795725F0}"/>
    <cellStyle name="Prozent 2" xfId="4483" xr:uid="{A36A8988-E538-4D03-BAFC-3CE4D4B8DA6D}"/>
    <cellStyle name="Prozent 2 2" xfId="4484" xr:uid="{3772471A-7321-4500-BD1C-EC1EECFFC4DD}"/>
    <cellStyle name="Prozent 2 3" xfId="4485" xr:uid="{9004938F-3800-47D9-8F0C-65A92DD15B6B}"/>
    <cellStyle name="Prozent 3" xfId="4599" xr:uid="{AC620C7A-4CBF-47F8-8D87-A346FEABC8A0}"/>
    <cellStyle name="PSChar" xfId="4486" xr:uid="{A50B3FB4-A3A2-4411-AD20-B45EFEAF2F6D}"/>
    <cellStyle name="PSHeading" xfId="4487" xr:uid="{A2C9F22A-CAAC-4265-8D46-0C9E1C9F592C}"/>
    <cellStyle name="PSSpacer" xfId="4488" xr:uid="{D6B16F9A-4055-446A-93B9-1A8A58E2E06F}"/>
    <cellStyle name="results" xfId="4489" xr:uid="{C89C4345-70CC-4510-85DE-7DBFDF6E43C7}"/>
    <cellStyle name="ri" xfId="4490" xr:uid="{A15096F3-C4CA-4B97-96BF-AA3DED7B98D0}"/>
    <cellStyle name="RISKbigPercent" xfId="4491" xr:uid="{C985A6E9-75A0-4315-B950-800A7AA61D75}"/>
    <cellStyle name="RISKblandrEdge" xfId="4492" xr:uid="{056D21EF-DF65-4868-B2EC-7408293DE238}"/>
    <cellStyle name="RISKblCorner" xfId="4493" xr:uid="{3DC16A22-F008-4CFE-B1D3-FE3A0329B23E}"/>
    <cellStyle name="RISKbottomEdge" xfId="4494" xr:uid="{57B6B5EA-207E-498B-8F9B-2C3F7C1F86B0}"/>
    <cellStyle name="RISKbrCorner" xfId="4495" xr:uid="{55704C05-1CC9-4530-975D-0493D8D77E4F}"/>
    <cellStyle name="RISKdarkBoxed" xfId="4496" xr:uid="{4302BDA3-6D15-4B58-9C10-0BFD3D14A1B9}"/>
    <cellStyle name="RISKdarkShade" xfId="4497" xr:uid="{511C0EAF-E8BB-4FBE-A05B-C72C171864DE}"/>
    <cellStyle name="RISKdbottomEdge" xfId="4498" xr:uid="{63B8448A-6155-41D1-B1BE-664EDB54E351}"/>
    <cellStyle name="RISKdrightEdge" xfId="4499" xr:uid="{85340456-0EEC-43CE-8EF6-59600798F33C}"/>
    <cellStyle name="RISKdurationTime" xfId="4500" xr:uid="{C115FACC-2FA9-49AF-A815-009BC1E9F394}"/>
    <cellStyle name="RISKinNumber" xfId="4501" xr:uid="{D909873D-0146-41AE-A25E-91592B966A05}"/>
    <cellStyle name="RISKlandrEdge" xfId="4502" xr:uid="{A80BB5E7-29A7-4FD7-A71E-153648971238}"/>
    <cellStyle name="RISKleftEdge" xfId="4503" xr:uid="{3481C0B1-B221-42BC-851D-E0F4378D5513}"/>
    <cellStyle name="RISKlightBoxed" xfId="4504" xr:uid="{D358D101-5D5A-4265-BC9F-9DA96C6605FF}"/>
    <cellStyle name="RISKlightBoxed 2" xfId="4505" xr:uid="{16DC2F00-2E22-47B0-82AC-2B537A16CBB8}"/>
    <cellStyle name="RISKltandbEdge" xfId="4506" xr:uid="{FA073306-0EEE-4E73-9F15-A9B629F1932D}"/>
    <cellStyle name="RISKnormBoxed" xfId="4507" xr:uid="{228776C5-E4CB-4DE2-8F53-8D7CE2FF585B}"/>
    <cellStyle name="RISKnormBoxed 2" xfId="4508" xr:uid="{2B8F3957-36BC-4333-BADD-D3CDA73ADFC7}"/>
    <cellStyle name="RISKnormCenter" xfId="4509" xr:uid="{71D85F51-5BD2-44D3-8A64-4B177A4E1185}"/>
    <cellStyle name="RISKnormHeading" xfId="4510" xr:uid="{65D978CD-1085-4036-AE9A-95513FE05F3B}"/>
    <cellStyle name="RISKnormItal" xfId="4511" xr:uid="{E7455CC5-D158-41B2-A3CD-9BCC6C2F2E8E}"/>
    <cellStyle name="RISKnormLabel" xfId="4512" xr:uid="{F7DF5C02-B8AA-40B1-9A16-3AC93D49BE82}"/>
    <cellStyle name="RISKnormShade" xfId="4513" xr:uid="{0811A179-7C0E-4BF5-B633-15BE188D60C0}"/>
    <cellStyle name="RISKnormTitle" xfId="4514" xr:uid="{4DA3FAC8-4921-480C-A879-CE7F358C16E8}"/>
    <cellStyle name="RISKoutNumber" xfId="4515" xr:uid="{0F0EC706-5228-4924-8DA7-56DAFB94DFEF}"/>
    <cellStyle name="RISKrightEdge" xfId="4516" xr:uid="{4487076D-71A0-42DB-ACAD-0AA5EC2285D8}"/>
    <cellStyle name="RISKrtandbEdge" xfId="4517" xr:uid="{17527AAB-9B4C-45A7-9210-74BF6A249D6F}"/>
    <cellStyle name="RISKssTime" xfId="4518" xr:uid="{63339CE7-A0F7-4CF2-99DF-6F9CF4FE5A8E}"/>
    <cellStyle name="RISKtandbEdge" xfId="4519" xr:uid="{F2916FAB-1056-4E17-8AFC-F586EF221E97}"/>
    <cellStyle name="RISKtlandrEdge" xfId="4520" xr:uid="{C8BF1A75-CEA8-48C7-9BA9-05D33C84AC08}"/>
    <cellStyle name="RISKtlCorner" xfId="4521" xr:uid="{820458EA-77AA-4663-A07A-17D690B53E70}"/>
    <cellStyle name="RISKtopEdge" xfId="4522" xr:uid="{9BDE437A-11C3-4BF3-ABFC-79E44D9FA3CF}"/>
    <cellStyle name="RISKtrCorner" xfId="4523" xr:uid="{C2A95776-FB0F-4C94-8642-BE91E12B6E2F}"/>
    <cellStyle name="Satisfaisant" xfId="4524" xr:uid="{76F97F8A-6028-4E0F-B2B3-FC77B1426528}"/>
    <cellStyle name="Satisfaisant 2" xfId="4525" xr:uid="{53A380CF-4BF1-4485-A79E-4EF63A407B36}"/>
    <cellStyle name="Schlecht 2" xfId="4526" xr:uid="{199F200D-EDB1-4685-A192-D7C49573507B}"/>
    <cellStyle name="Short $" xfId="4527" xr:uid="{3CCEFED5-FBC8-4BEC-95EC-691769085117}"/>
    <cellStyle name="Sortie" xfId="4528" xr:uid="{9A445AAD-888E-4EAA-9DFC-6C92DBFA7D35}"/>
    <cellStyle name="Sortie 2" xfId="4529" xr:uid="{E38B8D72-7850-4F9E-A387-94FF6118D42F}"/>
    <cellStyle name="Sortie 2 2" xfId="4530" xr:uid="{C7E962F3-719D-4346-9B68-DF0572F8784D}"/>
    <cellStyle name="Sortie 2 3" xfId="4531" xr:uid="{A1958404-A57B-463E-A744-AD024EB07274}"/>
    <cellStyle name="Standaard 2" xfId="2" xr:uid="{EC9F14A5-3D91-4C57-8D70-6FD2DB2CB3C6}"/>
    <cellStyle name="Standaard 3" xfId="3" xr:uid="{3541BF79-49D1-4A1E-9E6B-0B09BDE892E1}"/>
    <cellStyle name="Standard" xfId="0" builtinId="0"/>
    <cellStyle name="Standard 2" xfId="7" xr:uid="{0E091535-2D11-47F4-98C5-235A65A0E15E}"/>
    <cellStyle name="Standard 2 2" xfId="4533" xr:uid="{7EB0DFDB-E51D-42BC-9257-BE5E1CBD40BD}"/>
    <cellStyle name="Standard 2 2 2" xfId="4534" xr:uid="{B5045AC4-BFE8-4A46-8269-5B1ACDCAD041}"/>
    <cellStyle name="Standard 2 3" xfId="4535" xr:uid="{A54F9FF5-8405-4EF3-A276-AA7EA9B2AD5D}"/>
    <cellStyle name="Standard 2 4" xfId="4532" xr:uid="{79BFA375-FF78-4ABF-BC7F-2FEA33614971}"/>
    <cellStyle name="Standard 3" xfId="4536" xr:uid="{C26B06FE-E23C-4CA4-A234-AA0DC6835354}"/>
    <cellStyle name="Standard 4" xfId="4537" xr:uid="{A5254ECF-A632-4DC9-AF5A-6E248EBB5E78}"/>
    <cellStyle name="Standard 4 2" xfId="4538" xr:uid="{86F60C98-6F48-42D1-BE81-EA3A47C77332}"/>
    <cellStyle name="Standard 5" xfId="4539" xr:uid="{06E4D370-AD5F-42D9-8D13-54DE8733FB4C}"/>
    <cellStyle name="Style 1" xfId="4540" xr:uid="{1041063B-7335-4292-BED3-13E659CCE4F8}"/>
    <cellStyle name="Style 21" xfId="4541" xr:uid="{E1E66EB5-45EE-4730-89C5-4D3A593EF483}"/>
    <cellStyle name="Style 22" xfId="4542" xr:uid="{92C6E528-CDB3-46EF-8ECB-ED41E755370C}"/>
    <cellStyle name="Style 23" xfId="4543" xr:uid="{D01F1657-3F28-44F4-9255-8DFD2A7E7F34}"/>
    <cellStyle name="Style 24" xfId="4544" xr:uid="{A545F2C9-0C29-439B-8A39-E7145AE54C78}"/>
    <cellStyle name="Style 25" xfId="4545" xr:uid="{CC7174B8-FE5D-42EC-B437-17AC6B6487C9}"/>
    <cellStyle name="Style 26" xfId="4546" xr:uid="{BDBC443F-3C38-4AE5-8DBE-193056CFEEA0}"/>
    <cellStyle name="Style 27" xfId="4547" xr:uid="{4ED6D9DE-37AF-4A40-BEBD-C76583F02D9E}"/>
    <cellStyle name="Style 28" xfId="4548" xr:uid="{F10FDEAF-B58F-46AD-8E24-A58D2AEDE82D}"/>
    <cellStyle name="Style 29" xfId="4549" xr:uid="{C76E1815-039B-4812-9F34-039B66B5A735}"/>
    <cellStyle name="Style 30" xfId="4550" xr:uid="{8DA50517-90D9-4E98-BFDB-994D00E76423}"/>
    <cellStyle name="Style 31" xfId="4551" xr:uid="{97580CF6-6E60-4554-A1CF-E51651E69E04}"/>
    <cellStyle name="Style 32" xfId="4552" xr:uid="{5BA788EC-A40F-4F12-9F85-11129F50A162}"/>
    <cellStyle name="Style 33" xfId="4553" xr:uid="{D851FB24-E9B8-44CB-8905-457A2CBBFAA1}"/>
    <cellStyle name="Style 34" xfId="4554" xr:uid="{56206DBF-5D1D-447C-BCAC-487FFFC6A4B0}"/>
    <cellStyle name="Style 35" xfId="4555" xr:uid="{811553AD-C4B6-4ECB-BA4E-55B20E4BCA55}"/>
    <cellStyle name="Style 36" xfId="4556" xr:uid="{6D2F8A35-A719-4129-82E1-60B374A18B99}"/>
    <cellStyle name="Table 3" xfId="4557" xr:uid="{9D241C88-6C9D-47F7-A504-46A2F12FCB1E}"/>
    <cellStyle name="Text Indent A" xfId="4558" xr:uid="{6408C013-D450-4437-ADCC-2241DF202D67}"/>
    <cellStyle name="Text Indent B" xfId="4559" xr:uid="{22072AB7-A13D-4CCD-AB4D-7A97733BBADF}"/>
    <cellStyle name="Text Indent C" xfId="4560" xr:uid="{4A0212F7-5B75-4EA4-8308-4F9975274A82}"/>
    <cellStyle name="Texte explicatif" xfId="4561" xr:uid="{6F3906C4-CD46-4E7A-825D-65EE6435AB73}"/>
    <cellStyle name="Texte explicatif 2" xfId="4562" xr:uid="{8C50800E-E7A0-4E4B-9744-5B361EBCF9DC}"/>
    <cellStyle name="TextEntry" xfId="4563" xr:uid="{DADF39E0-C221-487A-A7E3-B6D927AF61C2}"/>
    <cellStyle name="TextEntry 2" xfId="4564" xr:uid="{3E8B46D7-909C-4BEF-AFBD-99A82CB136CB}"/>
    <cellStyle name="Title 2" xfId="4565" xr:uid="{0EB49A2E-0FD3-4AF1-B95D-901EDAD50952}"/>
    <cellStyle name="titles" xfId="4566" xr:uid="{E60D593A-5528-4812-B9D1-71A11EFEEBE9}"/>
    <cellStyle name="Titre" xfId="4567" xr:uid="{2E9F65A3-9CD4-49E1-9772-3A720EE30823}"/>
    <cellStyle name="Titre 2" xfId="4568" xr:uid="{FCEBAC59-4729-4040-8AF3-CF16139658F9}"/>
    <cellStyle name="Titre 1" xfId="4569" xr:uid="{0899342C-5E3E-4EC1-A3E3-5B623FB74AC6}"/>
    <cellStyle name="Titre 1 2" xfId="4570" xr:uid="{540989D0-9AF3-427C-9F25-F9D8454B9012}"/>
    <cellStyle name="Titre 2" xfId="4571" xr:uid="{E68E69DC-B5EF-4308-A79D-B6C1DD566C7B}"/>
    <cellStyle name="Titre 2 2" xfId="4572" xr:uid="{732662FC-0703-4ABE-AF9A-6DC6DE0415AE}"/>
    <cellStyle name="Titre 3" xfId="4573" xr:uid="{5A8B3518-1A9F-46A0-AC3F-B14C932036E8}"/>
    <cellStyle name="Titre 3 2" xfId="4574" xr:uid="{89D8C2C0-4765-40A7-A5BA-504F89565F12}"/>
    <cellStyle name="Titre 4" xfId="4575" xr:uid="{EA601A57-854D-40A9-83C1-FB18B0F9E792}"/>
    <cellStyle name="Titre 4 2" xfId="4576" xr:uid="{594BC34A-6B5A-4E24-9C99-4ED56B1E1300}"/>
    <cellStyle name="Total 2" xfId="4577" xr:uid="{437E9ADF-296A-4ECA-AEA3-4A52D3BCB965}"/>
    <cellStyle name="totals_c" xfId="4578" xr:uid="{F1740673-D7A8-4D71-8408-CC0DF06789FA}"/>
    <cellStyle name="Vérification" xfId="4579" xr:uid="{14F1CC9D-9D43-468C-9048-494CD257E63D}"/>
    <cellStyle name="Vérification 2" xfId="4580" xr:uid="{C3349157-C38D-40E8-8EE7-91FD851657A3}"/>
    <cellStyle name="Vérification 2 2" xfId="4581" xr:uid="{05925781-D839-4F6E-8BFD-776BBF606281}"/>
    <cellStyle name="Vérification 2 3" xfId="4582" xr:uid="{30FF70AF-6304-4949-A177-EA7C3BF32F2B}"/>
    <cellStyle name="Vérification 3" xfId="4583" xr:uid="{FDEA9024-B33E-42B9-8A74-FD62C7DC8B6E}"/>
    <cellStyle name="Vérification 4" xfId="4584" xr:uid="{D4FE0C60-C7FB-4256-8750-0115A2A0427F}"/>
    <cellStyle name="Virgule fixe" xfId="4585" xr:uid="{BC58F30B-2050-4356-9D00-BE64054D37BF}"/>
    <cellStyle name="Währung 2" xfId="4587" xr:uid="{2D5BB247-F432-4BC1-BAA5-28E8DB926033}"/>
    <cellStyle name="Währung 2 2" xfId="4588" xr:uid="{1E7FB021-F54C-490A-864C-E5252CD9727D}"/>
    <cellStyle name="Währung 2 2 2" xfId="4589" xr:uid="{16C97F1F-507F-471C-B407-12317915D0C1}"/>
    <cellStyle name="Währung 2 3" xfId="4590" xr:uid="{FC388007-6664-4B4A-B5E0-21F874F26282}"/>
    <cellStyle name="Währung 3" xfId="4591" xr:uid="{EFC3AA19-59E9-4492-8889-9EB9489284E6}"/>
    <cellStyle name="Währung 3 2" xfId="4592" xr:uid="{22BDCA7E-50C0-4F0A-B6DB-72D350DB6983}"/>
    <cellStyle name="Währung 4" xfId="4593" xr:uid="{65FFEC35-BFAE-4E78-AEDF-B1186CC2FD72}"/>
    <cellStyle name="Währung 5" xfId="4594" xr:uid="{5F0E429B-B5C6-462F-B394-9E301AEE17F6}"/>
    <cellStyle name="Währung 6" xfId="4586" xr:uid="{45035C8F-10BA-431A-887D-5676AACC46F2}"/>
    <cellStyle name="Warning Text 2" xfId="4595" xr:uid="{514226EA-D29F-484A-B8F4-2276A531EB48}"/>
    <cellStyle name="Y2K Compliant Date Fmt" xfId="4596" xr:uid="{BBDE4377-2B1D-4461-9422-3B8C4A231302}"/>
    <cellStyle name="標準_PricingX" xfId="4597" xr:uid="{972D5862-EEC8-42DF-8DB9-A78057F0AE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12</xdr:col>
      <xdr:colOff>26117</xdr:colOff>
      <xdr:row>25</xdr:row>
      <xdr:rowOff>133350</xdr:rowOff>
    </xdr:from>
    <xdr:to>
      <xdr:col>30</xdr:col>
      <xdr:colOff>657225</xdr:colOff>
      <xdr:row>28</xdr:row>
      <xdr:rowOff>9525</xdr:rowOff>
    </xdr:to>
    <xdr:pic>
      <xdr:nvPicPr>
        <xdr:cNvPr id="2" name="Picture 3">
          <a:extLst>
            <a:ext uri="{FF2B5EF4-FFF2-40B4-BE49-F238E27FC236}">
              <a16:creationId xmlns:a16="http://schemas.microsoft.com/office/drawing/2014/main" id="{1A5C19F5-EB30-A975-DAFA-22C1001171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36642" y="3724275"/>
          <a:ext cx="14099458"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155575</xdr:rowOff>
    </xdr:from>
    <xdr:to>
      <xdr:col>27</xdr:col>
      <xdr:colOff>121458</xdr:colOff>
      <xdr:row>53</xdr:row>
      <xdr:rowOff>181341</xdr:rowOff>
    </xdr:to>
    <xdr:pic>
      <xdr:nvPicPr>
        <xdr:cNvPr id="2" name="Afbeelding 1">
          <a:extLst>
            <a:ext uri="{FF2B5EF4-FFF2-40B4-BE49-F238E27FC236}">
              <a16:creationId xmlns:a16="http://schemas.microsoft.com/office/drawing/2014/main" id="{6231C06A-14B1-4EC0-91A6-54A802713795}"/>
            </a:ext>
          </a:extLst>
        </xdr:cNvPr>
        <xdr:cNvPicPr>
          <a:picLocks noChangeAspect="1"/>
        </xdr:cNvPicPr>
      </xdr:nvPicPr>
      <xdr:blipFill>
        <a:blip xmlns:r="http://schemas.openxmlformats.org/officeDocument/2006/relationships" r:embed="rId1"/>
        <a:stretch>
          <a:fillRect/>
        </a:stretch>
      </xdr:blipFill>
      <xdr:spPr>
        <a:xfrm>
          <a:off x="47625" y="523875"/>
          <a:ext cx="17390283" cy="9601566"/>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rive.google.com/file/d/1q2hZVC9r_erLflJQ_ixjh9Ht0WXBVCa_/view?usp=sharing" TargetMode="External"/><Relationship Id="rId1" Type="http://schemas.openxmlformats.org/officeDocument/2006/relationships/hyperlink" Target="https://drive.google.com/uc?export=download&amp;id=1GXd9-b0XVCeg8Kw8Oto6XuCPDuGKR7Q7"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esma.europa.eu/document/consultation-paper-esma%E2%80%99s-guidelines-aifmd-reporting-obligations-under-articles-3-and-2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O333"/>
  <sheetViews>
    <sheetView tabSelected="1" zoomScaleNormal="100" workbookViewId="0">
      <selection activeCell="E27" sqref="E27"/>
    </sheetView>
  </sheetViews>
  <sheetFormatPr baseColWidth="10" defaultColWidth="0" defaultRowHeight="10.5" zeroHeight="1"/>
  <cols>
    <col min="1" max="1" width="15.54296875" style="178" customWidth="1"/>
    <col min="2" max="2" width="22" style="178" bestFit="1" customWidth="1"/>
    <col min="3" max="3" width="12.1796875" style="178" customWidth="1"/>
    <col min="4" max="4" width="11.1796875" style="178" customWidth="1"/>
    <col min="5" max="5" width="21" style="178" customWidth="1"/>
    <col min="6" max="6" width="5.26953125" style="178" customWidth="1"/>
    <col min="7" max="7" width="8.26953125" style="178" customWidth="1"/>
    <col min="8" max="8" width="8" style="178" customWidth="1"/>
    <col min="9" max="9" width="6.54296875" style="178" customWidth="1"/>
    <col min="10" max="10" width="3.1796875" style="178" customWidth="1"/>
    <col min="11" max="11" width="13.26953125" style="178" customWidth="1"/>
    <col min="12" max="12" width="3.7265625" style="178" customWidth="1"/>
    <col min="13" max="13" width="30.81640625" style="178" customWidth="1"/>
    <col min="14" max="14" width="22" style="178" customWidth="1"/>
    <col min="15" max="15" width="14.7265625" style="178" customWidth="1"/>
    <col min="16" max="16" width="12.26953125" style="178" customWidth="1"/>
    <col min="17" max="17" width="9.7265625" style="178" customWidth="1"/>
    <col min="18" max="18" width="14.54296875" style="178" customWidth="1"/>
    <col min="19" max="19" width="9.26953125" style="178" customWidth="1"/>
    <col min="20" max="20" width="2.81640625" style="178" customWidth="1"/>
    <col min="21" max="21" width="2.54296875" style="178" customWidth="1"/>
    <col min="22" max="22" width="5" style="178" customWidth="1"/>
    <col min="23" max="23" width="14.453125" style="178" bestFit="1" customWidth="1"/>
    <col min="24" max="25" width="3.453125" style="178" customWidth="1"/>
    <col min="26" max="26" width="3.54296875" style="178" customWidth="1"/>
    <col min="27" max="27" width="5.1796875" style="178" customWidth="1"/>
    <col min="28" max="28" width="14.453125" style="178" customWidth="1"/>
    <col min="29" max="29" width="14.1796875" style="178" customWidth="1"/>
    <col min="30" max="30" width="19.54296875" style="178" bestFit="1" customWidth="1"/>
    <col min="31" max="31" width="21.81640625" style="178" bestFit="1" customWidth="1"/>
    <col min="32" max="32" width="20.1796875" style="178" bestFit="1" customWidth="1"/>
    <col min="33" max="33" width="23.81640625" style="178" bestFit="1" customWidth="1"/>
    <col min="34" max="34" width="39.453125" style="178" bestFit="1" customWidth="1"/>
    <col min="35" max="35" width="20.453125" style="178" customWidth="1"/>
    <col min="36" max="36" width="40" style="178" bestFit="1" customWidth="1"/>
    <col min="37" max="37" width="24.81640625" style="178" bestFit="1" customWidth="1"/>
    <col min="38" max="39" width="29.54296875" style="178" bestFit="1" customWidth="1"/>
    <col min="40" max="40" width="12.453125" style="178" bestFit="1" customWidth="1"/>
    <col min="41" max="41" width="8.81640625" style="178" customWidth="1"/>
    <col min="42" max="16384" width="8.81640625" style="178" hidden="1"/>
  </cols>
  <sheetData>
    <row r="1" spans="1:21" s="143" customFormat="1">
      <c r="A1" s="66" t="s">
        <v>1676</v>
      </c>
      <c r="D1" s="173"/>
      <c r="E1" s="173"/>
    </row>
    <row r="2" spans="1:21" s="174" customFormat="1">
      <c r="A2" s="174" t="s">
        <v>665</v>
      </c>
      <c r="B2" s="174" t="s">
        <v>666</v>
      </c>
      <c r="C2" s="174" t="s">
        <v>667</v>
      </c>
      <c r="D2" s="66"/>
      <c r="E2" s="66"/>
    </row>
    <row r="3" spans="1:21" s="174" customFormat="1">
      <c r="A3" s="66"/>
      <c r="B3" s="175"/>
      <c r="C3" s="176"/>
      <c r="D3" s="66"/>
      <c r="E3" s="176"/>
    </row>
    <row r="4" spans="1:21" s="174" customFormat="1">
      <c r="A4" s="66"/>
      <c r="B4" s="175"/>
      <c r="C4" s="176"/>
      <c r="D4" s="66"/>
      <c r="E4" s="176"/>
    </row>
    <row r="5" spans="1:21" s="177" customFormat="1">
      <c r="A5" s="177" t="s">
        <v>1461</v>
      </c>
      <c r="E5" s="177" t="s">
        <v>1461</v>
      </c>
      <c r="J5" s="177" t="s">
        <v>1461</v>
      </c>
      <c r="P5" s="177" t="s">
        <v>1461</v>
      </c>
      <c r="U5" s="177" t="s">
        <v>1461</v>
      </c>
    </row>
    <row r="6" spans="1:21"/>
    <row r="7" spans="1:21" s="181" customFormat="1">
      <c r="A7" s="179" t="s">
        <v>675</v>
      </c>
      <c r="B7" s="179" t="s">
        <v>676</v>
      </c>
      <c r="C7" s="179" t="s">
        <v>677</v>
      </c>
      <c r="D7" s="180" t="s">
        <v>1532</v>
      </c>
      <c r="E7" s="179" t="s">
        <v>679</v>
      </c>
      <c r="F7" s="179" t="s">
        <v>680</v>
      </c>
      <c r="G7" s="179" t="s">
        <v>681</v>
      </c>
      <c r="H7" s="179" t="s">
        <v>682</v>
      </c>
      <c r="I7" s="179" t="s">
        <v>683</v>
      </c>
      <c r="J7" s="179" t="s">
        <v>684</v>
      </c>
      <c r="K7" s="179" t="s">
        <v>685</v>
      </c>
      <c r="L7" s="179" t="s">
        <v>686</v>
      </c>
      <c r="M7" s="179" t="s">
        <v>687</v>
      </c>
      <c r="N7" s="179" t="s">
        <v>688</v>
      </c>
      <c r="O7" s="180" t="s">
        <v>1533</v>
      </c>
      <c r="P7" s="179" t="s">
        <v>1723</v>
      </c>
      <c r="Q7" s="179" t="s">
        <v>691</v>
      </c>
      <c r="R7" s="179" t="s">
        <v>692</v>
      </c>
    </row>
    <row r="8" spans="1:21" s="184" customFormat="1">
      <c r="A8" s="182" t="s">
        <v>1682</v>
      </c>
      <c r="B8" s="182">
        <v>4</v>
      </c>
      <c r="C8" s="182">
        <v>5</v>
      </c>
      <c r="D8" s="182">
        <v>6</v>
      </c>
      <c r="E8" s="182">
        <v>7</v>
      </c>
      <c r="F8" s="183" t="s">
        <v>1660</v>
      </c>
      <c r="G8" s="183" t="s">
        <v>1661</v>
      </c>
      <c r="H8" s="182">
        <v>10</v>
      </c>
      <c r="I8" s="182">
        <v>11</v>
      </c>
      <c r="J8" s="182">
        <v>12</v>
      </c>
      <c r="K8" s="182">
        <v>13</v>
      </c>
      <c r="L8" s="182">
        <v>16</v>
      </c>
      <c r="M8" s="183" t="s">
        <v>1663</v>
      </c>
      <c r="N8" s="182">
        <v>19</v>
      </c>
      <c r="O8" s="182">
        <v>20</v>
      </c>
      <c r="P8" s="182">
        <v>21</v>
      </c>
      <c r="Q8" s="182">
        <v>22</v>
      </c>
      <c r="R8" s="182">
        <v>23</v>
      </c>
    </row>
    <row r="9" spans="1:21" s="185" customFormat="1">
      <c r="A9" s="178" t="s">
        <v>0</v>
      </c>
      <c r="C9" s="235">
        <v>3</v>
      </c>
      <c r="D9" s="186"/>
      <c r="E9" s="186"/>
      <c r="F9" s="185" t="s">
        <v>34</v>
      </c>
      <c r="G9" s="185">
        <v>2024</v>
      </c>
      <c r="L9" s="235">
        <v>8</v>
      </c>
      <c r="M9" s="185" t="s">
        <v>80</v>
      </c>
      <c r="N9" s="185" t="s">
        <v>1724</v>
      </c>
    </row>
    <row r="10" spans="1:21">
      <c r="E10" s="186"/>
    </row>
    <row r="11" spans="1:21">
      <c r="A11" s="179" t="s">
        <v>668</v>
      </c>
      <c r="B11" s="179" t="s">
        <v>1418</v>
      </c>
      <c r="C11" s="179" t="s">
        <v>669</v>
      </c>
      <c r="D11" s="179" t="s">
        <v>1419</v>
      </c>
      <c r="E11" s="179" t="s">
        <v>670</v>
      </c>
      <c r="F11" s="179" t="s">
        <v>671</v>
      </c>
    </row>
    <row r="12" spans="1:21" s="184" customFormat="1">
      <c r="A12" s="182" t="s">
        <v>1682</v>
      </c>
      <c r="B12" s="182">
        <v>1</v>
      </c>
      <c r="C12" s="182">
        <v>18</v>
      </c>
      <c r="D12" s="182">
        <v>24</v>
      </c>
      <c r="E12" s="182">
        <v>25</v>
      </c>
      <c r="F12" s="187" t="s">
        <v>1414</v>
      </c>
    </row>
    <row r="13" spans="1:21" s="185" customFormat="1" ht="12.75" customHeight="1">
      <c r="A13" s="185" t="s">
        <v>672</v>
      </c>
      <c r="B13" s="185" t="s">
        <v>2</v>
      </c>
      <c r="C13" s="240" t="s">
        <v>1743</v>
      </c>
    </row>
    <row r="14" spans="1:21" s="185" customFormat="1">
      <c r="A14" s="185" t="s">
        <v>672</v>
      </c>
      <c r="B14" s="185" t="s">
        <v>6</v>
      </c>
      <c r="C14" s="185">
        <v>40031432</v>
      </c>
    </row>
    <row r="15" spans="1:21">
      <c r="A15" s="179" t="s">
        <v>870</v>
      </c>
      <c r="B15" s="179" t="s">
        <v>871</v>
      </c>
      <c r="C15" s="179" t="s">
        <v>872</v>
      </c>
    </row>
    <row r="16" spans="1:21">
      <c r="A16" s="182" t="s">
        <v>1682</v>
      </c>
      <c r="B16" s="182">
        <v>14</v>
      </c>
      <c r="C16" s="182">
        <v>15</v>
      </c>
    </row>
    <row r="17" spans="1:39" s="185" customFormat="1"/>
    <row r="18" spans="1:39" s="177" customFormat="1">
      <c r="A18" s="177" t="s">
        <v>1638</v>
      </c>
      <c r="E18" s="177" t="s">
        <v>1462</v>
      </c>
      <c r="J18" s="177" t="s">
        <v>1462</v>
      </c>
      <c r="P18" s="177" t="s">
        <v>1462</v>
      </c>
      <c r="U18" s="177" t="s">
        <v>1462</v>
      </c>
    </row>
    <row r="19" spans="1:39"/>
    <row r="20" spans="1:39" s="181" customFormat="1">
      <c r="A20" s="179" t="s">
        <v>693</v>
      </c>
      <c r="B20" s="179" t="s">
        <v>1458</v>
      </c>
      <c r="C20" s="179" t="s">
        <v>676</v>
      </c>
      <c r="D20" s="179" t="s">
        <v>694</v>
      </c>
      <c r="E20" s="180" t="s">
        <v>1532</v>
      </c>
      <c r="F20" s="180" t="s">
        <v>1568</v>
      </c>
      <c r="G20" s="179" t="s">
        <v>680</v>
      </c>
      <c r="H20" s="180" t="s">
        <v>1613</v>
      </c>
      <c r="I20" s="179" t="s">
        <v>695</v>
      </c>
      <c r="J20" s="179" t="s">
        <v>696</v>
      </c>
      <c r="K20" s="179" t="s">
        <v>697</v>
      </c>
      <c r="L20" s="179" t="s">
        <v>685</v>
      </c>
      <c r="M20" s="179" t="s">
        <v>699</v>
      </c>
      <c r="N20" s="180" t="s">
        <v>1534</v>
      </c>
      <c r="O20" s="179" t="s">
        <v>1722</v>
      </c>
      <c r="P20" s="179" t="s">
        <v>1704</v>
      </c>
      <c r="Q20" s="179" t="s">
        <v>1705</v>
      </c>
      <c r="R20" s="179" t="s">
        <v>1504</v>
      </c>
      <c r="S20" s="179" t="s">
        <v>1706</v>
      </c>
      <c r="T20" s="179" t="s">
        <v>1707</v>
      </c>
      <c r="U20" s="179" t="s">
        <v>1708</v>
      </c>
      <c r="V20" s="179" t="s">
        <v>1709</v>
      </c>
      <c r="W20" s="179" t="s">
        <v>1710</v>
      </c>
      <c r="X20" s="179" t="s">
        <v>1711</v>
      </c>
      <c r="Y20" s="179" t="s">
        <v>1712</v>
      </c>
      <c r="Z20" s="180" t="s">
        <v>1640</v>
      </c>
      <c r="AA20" s="179" t="s">
        <v>1713</v>
      </c>
      <c r="AB20" s="179" t="s">
        <v>714</v>
      </c>
      <c r="AC20" s="179" t="s">
        <v>715</v>
      </c>
      <c r="AD20" s="179" t="s">
        <v>716</v>
      </c>
      <c r="AE20" s="179" t="s">
        <v>717</v>
      </c>
      <c r="AF20" s="179" t="s">
        <v>718</v>
      </c>
      <c r="AG20" s="179" t="s">
        <v>719</v>
      </c>
      <c r="AH20" s="179" t="s">
        <v>720</v>
      </c>
      <c r="AI20" s="179" t="s">
        <v>721</v>
      </c>
      <c r="AJ20" s="179" t="s">
        <v>722</v>
      </c>
      <c r="AK20" s="179" t="s">
        <v>1593</v>
      </c>
      <c r="AL20" s="179" t="s">
        <v>1681</v>
      </c>
      <c r="AM20" s="179" t="s">
        <v>904</v>
      </c>
    </row>
    <row r="21" spans="1:39" s="184" customFormat="1">
      <c r="A21" s="182" t="s">
        <v>1683</v>
      </c>
      <c r="B21" s="188" t="s">
        <v>762</v>
      </c>
      <c r="C21" s="182">
        <v>4</v>
      </c>
      <c r="D21" s="182">
        <v>5</v>
      </c>
      <c r="E21" s="182">
        <v>6</v>
      </c>
      <c r="F21" s="182">
        <v>7</v>
      </c>
      <c r="G21" s="183" t="s">
        <v>1660</v>
      </c>
      <c r="H21" s="182">
        <v>9</v>
      </c>
      <c r="I21" s="182">
        <v>10</v>
      </c>
      <c r="J21" s="182">
        <v>11</v>
      </c>
      <c r="K21" s="182">
        <v>12</v>
      </c>
      <c r="L21" s="182">
        <v>13</v>
      </c>
      <c r="M21" s="182">
        <v>18</v>
      </c>
      <c r="N21" s="182">
        <v>19</v>
      </c>
      <c r="O21" s="182">
        <v>20</v>
      </c>
      <c r="P21" s="183" t="s">
        <v>1662</v>
      </c>
      <c r="Q21" s="182">
        <v>22</v>
      </c>
      <c r="R21" s="182">
        <v>23</v>
      </c>
      <c r="S21" s="182">
        <v>24</v>
      </c>
      <c r="T21" s="182">
        <v>25</v>
      </c>
      <c r="U21" s="182">
        <v>26</v>
      </c>
      <c r="V21" s="182">
        <v>27</v>
      </c>
      <c r="W21" s="182">
        <v>28</v>
      </c>
      <c r="X21" s="182">
        <v>29</v>
      </c>
      <c r="Y21" s="182">
        <v>30</v>
      </c>
      <c r="Z21" s="182">
        <v>41</v>
      </c>
      <c r="AA21" s="182">
        <v>49</v>
      </c>
      <c r="AB21" s="182">
        <v>48</v>
      </c>
      <c r="AC21" s="182">
        <v>53</v>
      </c>
      <c r="AD21" s="182">
        <v>54</v>
      </c>
      <c r="AE21" s="182">
        <v>55</v>
      </c>
      <c r="AF21" s="182">
        <v>56</v>
      </c>
      <c r="AG21" s="182">
        <v>62</v>
      </c>
      <c r="AH21" s="182">
        <v>63</v>
      </c>
      <c r="AI21" s="182">
        <v>113</v>
      </c>
      <c r="AJ21" s="182">
        <v>118</v>
      </c>
      <c r="AK21" s="182">
        <v>137</v>
      </c>
      <c r="AL21" s="183" t="s">
        <v>1650</v>
      </c>
      <c r="AM21" s="182">
        <v>218</v>
      </c>
    </row>
    <row r="22" spans="1:39" s="185" customFormat="1">
      <c r="A22" s="185" t="s">
        <v>267</v>
      </c>
      <c r="B22" s="185" t="s">
        <v>1725</v>
      </c>
      <c r="D22" s="235">
        <v>2</v>
      </c>
      <c r="E22" s="186"/>
      <c r="F22" s="186"/>
      <c r="H22" s="186"/>
      <c r="M22" s="185" t="s">
        <v>1736</v>
      </c>
      <c r="N22" s="235" t="s">
        <v>191</v>
      </c>
      <c r="O22" s="235">
        <v>39</v>
      </c>
      <c r="P22" s="185" t="s">
        <v>80</v>
      </c>
      <c r="Q22" s="232">
        <v>42529</v>
      </c>
      <c r="Z22" s="186"/>
      <c r="AA22" s="185" t="s">
        <v>299</v>
      </c>
      <c r="AB22" s="236">
        <v>105127097.38000001</v>
      </c>
      <c r="AC22" s="190">
        <v>105029684.96000001</v>
      </c>
      <c r="AD22" s="236"/>
      <c r="AG22" s="191"/>
      <c r="AH22" s="192"/>
      <c r="AJ22" s="237">
        <v>77.09</v>
      </c>
      <c r="AK22" s="193"/>
      <c r="AL22" s="190">
        <v>0</v>
      </c>
      <c r="AM22" s="194"/>
    </row>
    <row r="23" spans="1:39" s="185" customFormat="1">
      <c r="E23" s="186"/>
      <c r="F23" s="186"/>
      <c r="H23" s="186"/>
      <c r="Q23" s="232"/>
      <c r="Z23" s="186"/>
      <c r="AB23" s="190"/>
      <c r="AC23" s="190"/>
      <c r="AG23" s="191"/>
      <c r="AH23" s="192"/>
      <c r="AJ23" s="190"/>
      <c r="AK23" s="193"/>
      <c r="AL23" s="190"/>
      <c r="AM23" s="194"/>
    </row>
    <row r="24" spans="1:39">
      <c r="A24" s="179" t="s">
        <v>673</v>
      </c>
      <c r="B24" s="179" t="s">
        <v>1458</v>
      </c>
      <c r="C24" s="179" t="s">
        <v>1417</v>
      </c>
      <c r="D24" s="179" t="s">
        <v>1233</v>
      </c>
      <c r="E24" s="179" t="s">
        <v>1416</v>
      </c>
      <c r="F24" s="179" t="s">
        <v>1234</v>
      </c>
      <c r="AB24" s="236">
        <f>AB22-O53</f>
        <v>0</v>
      </c>
      <c r="AC24" s="236">
        <f>AC22-P53</f>
        <v>0</v>
      </c>
    </row>
    <row r="25" spans="1:39" s="184" customFormat="1">
      <c r="A25" s="182" t="s">
        <v>1683</v>
      </c>
      <c r="B25" s="188" t="s">
        <v>762</v>
      </c>
      <c r="C25" s="183" t="s">
        <v>1665</v>
      </c>
      <c r="D25" s="183" t="s">
        <v>1666</v>
      </c>
      <c r="E25" s="182">
        <v>31</v>
      </c>
      <c r="F25" s="182">
        <v>32</v>
      </c>
    </row>
    <row r="26" spans="1:39" s="185" customFormat="1">
      <c r="A26" s="185" t="s">
        <v>674</v>
      </c>
      <c r="B26" s="185" t="s">
        <v>1725</v>
      </c>
      <c r="C26" s="185" t="s">
        <v>2</v>
      </c>
      <c r="D26" s="186" t="s">
        <v>1725</v>
      </c>
    </row>
    <row r="27" spans="1:39" s="185" customFormat="1" ht="16.5">
      <c r="A27" s="185" t="s">
        <v>674</v>
      </c>
      <c r="B27" s="185" t="s">
        <v>1725</v>
      </c>
      <c r="C27" s="185" t="s">
        <v>6</v>
      </c>
      <c r="D27" s="185">
        <v>70148498</v>
      </c>
      <c r="E27" s="265"/>
    </row>
    <row r="28" spans="1:39">
      <c r="A28" s="179" t="s">
        <v>873</v>
      </c>
      <c r="B28" s="179" t="s">
        <v>1458</v>
      </c>
      <c r="C28" s="179" t="s">
        <v>871</v>
      </c>
      <c r="D28" s="179" t="s">
        <v>872</v>
      </c>
    </row>
    <row r="29" spans="1:39">
      <c r="A29" s="182" t="s">
        <v>1683</v>
      </c>
      <c r="B29" s="188" t="s">
        <v>762</v>
      </c>
      <c r="C29" s="182">
        <v>14</v>
      </c>
      <c r="D29" s="182">
        <v>15</v>
      </c>
    </row>
    <row r="30" spans="1:39" s="185" customFormat="1"/>
    <row r="31" spans="1:39" s="185" customFormat="1">
      <c r="A31" s="241" t="s">
        <v>1737</v>
      </c>
      <c r="B31" s="241" t="s">
        <v>1738</v>
      </c>
      <c r="C31" s="241" t="s">
        <v>1739</v>
      </c>
      <c r="D31" s="241" t="s">
        <v>1740</v>
      </c>
      <c r="E31" s="241" t="s">
        <v>1741</v>
      </c>
    </row>
    <row r="32" spans="1:39" s="185" customFormat="1">
      <c r="A32" s="242" t="s">
        <v>1742</v>
      </c>
      <c r="B32" s="243" t="s">
        <v>762</v>
      </c>
      <c r="C32" s="242">
        <v>42</v>
      </c>
      <c r="D32" s="242">
        <v>43</v>
      </c>
      <c r="E32" s="242">
        <v>44</v>
      </c>
    </row>
    <row r="33" spans="1:24" s="185" customFormat="1">
      <c r="A33" s="238"/>
      <c r="B33" s="238"/>
      <c r="C33" s="238"/>
      <c r="D33" s="139"/>
      <c r="E33" s="238"/>
    </row>
    <row r="34" spans="1:24" s="185" customFormat="1"/>
    <row r="35" spans="1:24">
      <c r="A35" s="179" t="s">
        <v>763</v>
      </c>
      <c r="B35" s="179" t="s">
        <v>1458</v>
      </c>
      <c r="C35" s="179" t="s">
        <v>1714</v>
      </c>
      <c r="D35" s="179" t="s">
        <v>1715</v>
      </c>
      <c r="E35" s="179" t="s">
        <v>1716</v>
      </c>
      <c r="F35" s="179" t="s">
        <v>1717</v>
      </c>
      <c r="G35" s="179" t="s">
        <v>1718</v>
      </c>
      <c r="H35" s="179" t="s">
        <v>1719</v>
      </c>
      <c r="I35" s="179" t="s">
        <v>1720</v>
      </c>
      <c r="J35" s="181"/>
      <c r="K35" s="181"/>
      <c r="L35" s="181"/>
      <c r="M35" s="181"/>
    </row>
    <row r="36" spans="1:24">
      <c r="A36" s="182" t="s">
        <v>1683</v>
      </c>
      <c r="B36" s="188" t="s">
        <v>762</v>
      </c>
      <c r="C36" s="182">
        <v>34</v>
      </c>
      <c r="D36" s="182">
        <v>35</v>
      </c>
      <c r="E36" s="182">
        <v>36</v>
      </c>
      <c r="F36" s="182">
        <v>37</v>
      </c>
      <c r="G36" s="182">
        <v>38</v>
      </c>
      <c r="H36" s="182">
        <v>39</v>
      </c>
      <c r="I36" s="182">
        <v>40</v>
      </c>
    </row>
    <row r="37" spans="1:24" s="185" customFormat="1">
      <c r="C37" s="186"/>
      <c r="D37" s="186"/>
      <c r="E37" s="186"/>
      <c r="F37" s="186"/>
      <c r="G37" s="186"/>
      <c r="H37" s="186"/>
    </row>
    <row r="38" spans="1:24">
      <c r="A38" s="179" t="s">
        <v>874</v>
      </c>
      <c r="B38" s="179" t="s">
        <v>1458</v>
      </c>
      <c r="C38" s="179" t="s">
        <v>875</v>
      </c>
      <c r="D38" s="179" t="s">
        <v>876</v>
      </c>
      <c r="E38" s="179" t="s">
        <v>877</v>
      </c>
    </row>
    <row r="39" spans="1:24">
      <c r="A39" s="182" t="s">
        <v>1683</v>
      </c>
      <c r="B39" s="188" t="s">
        <v>762</v>
      </c>
      <c r="C39" s="182">
        <v>45</v>
      </c>
      <c r="D39" s="182">
        <v>46</v>
      </c>
      <c r="E39" s="182">
        <v>47</v>
      </c>
    </row>
    <row r="40" spans="1:24" s="185" customFormat="1">
      <c r="C40" s="195"/>
    </row>
    <row r="41" spans="1:24">
      <c r="A41" s="179" t="s">
        <v>1679</v>
      </c>
      <c r="B41" s="179" t="s">
        <v>1458</v>
      </c>
      <c r="C41" s="179" t="s">
        <v>744</v>
      </c>
      <c r="D41" s="179" t="s">
        <v>746</v>
      </c>
      <c r="E41" s="179" t="s">
        <v>747</v>
      </c>
      <c r="F41" s="181"/>
      <c r="G41" s="181"/>
      <c r="H41" s="181"/>
      <c r="I41" s="181"/>
      <c r="J41" s="181"/>
      <c r="K41" s="181"/>
      <c r="L41" s="181"/>
    </row>
    <row r="42" spans="1:24">
      <c r="A42" s="182" t="s">
        <v>1683</v>
      </c>
      <c r="B42" s="188" t="s">
        <v>762</v>
      </c>
      <c r="C42" s="183" t="s">
        <v>1641</v>
      </c>
      <c r="D42" s="182">
        <v>60</v>
      </c>
      <c r="E42" s="182">
        <v>61</v>
      </c>
    </row>
    <row r="43" spans="1:24" s="185" customFormat="1">
      <c r="A43" s="185" t="s">
        <v>1680</v>
      </c>
      <c r="B43" s="185" t="s">
        <v>1725</v>
      </c>
      <c r="C43" s="146" t="s">
        <v>511</v>
      </c>
      <c r="D43" s="190">
        <v>100</v>
      </c>
      <c r="E43" s="139" t="s">
        <v>1726</v>
      </c>
    </row>
    <row r="44" spans="1:24" s="185" customFormat="1">
      <c r="D44" s="190"/>
      <c r="E44" s="139"/>
    </row>
    <row r="45" spans="1:24" s="181" customFormat="1">
      <c r="A45" s="179" t="s">
        <v>724</v>
      </c>
      <c r="B45" s="179" t="s">
        <v>1458</v>
      </c>
      <c r="C45" s="179" t="s">
        <v>1687</v>
      </c>
      <c r="D45" s="180" t="s">
        <v>1535</v>
      </c>
      <c r="E45" s="179" t="s">
        <v>727</v>
      </c>
      <c r="F45" s="179" t="s">
        <v>728</v>
      </c>
      <c r="G45" s="179" t="s">
        <v>1584</v>
      </c>
      <c r="H45" s="179" t="s">
        <v>1576</v>
      </c>
      <c r="I45" s="179" t="s">
        <v>731</v>
      </c>
      <c r="J45" s="179" t="s">
        <v>732</v>
      </c>
      <c r="K45" s="179" t="s">
        <v>733</v>
      </c>
      <c r="L45" s="179" t="s">
        <v>1574</v>
      </c>
      <c r="M45" s="179" t="s">
        <v>734</v>
      </c>
      <c r="N45" s="179" t="s">
        <v>735</v>
      </c>
      <c r="O45" s="179" t="s">
        <v>1400</v>
      </c>
      <c r="P45" s="179" t="s">
        <v>1399</v>
      </c>
      <c r="Q45" s="179" t="s">
        <v>736</v>
      </c>
      <c r="R45" s="179" t="s">
        <v>1422</v>
      </c>
      <c r="S45" s="179" t="s">
        <v>737</v>
      </c>
      <c r="T45" s="179" t="s">
        <v>738</v>
      </c>
      <c r="U45" s="179" t="s">
        <v>739</v>
      </c>
      <c r="V45" s="179" t="s">
        <v>740</v>
      </c>
      <c r="W45" s="179" t="s">
        <v>741</v>
      </c>
      <c r="X45" s="179" t="s">
        <v>896</v>
      </c>
    </row>
    <row r="46" spans="1:24" s="198" customFormat="1">
      <c r="A46" s="188" t="s">
        <v>1683</v>
      </c>
      <c r="B46" s="188" t="s">
        <v>762</v>
      </c>
      <c r="C46" s="197" t="s">
        <v>1667</v>
      </c>
      <c r="D46" s="188">
        <v>66</v>
      </c>
      <c r="E46" s="197" t="s">
        <v>1664</v>
      </c>
      <c r="F46" s="188">
        <v>68</v>
      </c>
      <c r="G46" s="197" t="s">
        <v>1272</v>
      </c>
      <c r="H46" s="197" t="s">
        <v>1273</v>
      </c>
      <c r="I46" s="188">
        <v>70</v>
      </c>
      <c r="J46" s="188">
        <v>71</v>
      </c>
      <c r="K46" s="188">
        <v>72</v>
      </c>
      <c r="L46" s="188">
        <v>73</v>
      </c>
      <c r="M46" s="188">
        <v>74</v>
      </c>
      <c r="N46" s="197" t="s">
        <v>1642</v>
      </c>
      <c r="O46" s="197" t="s">
        <v>1643</v>
      </c>
      <c r="P46" s="197" t="s">
        <v>1644</v>
      </c>
      <c r="Q46" s="188">
        <v>77</v>
      </c>
      <c r="R46" s="197">
        <v>172</v>
      </c>
      <c r="S46" s="197" t="s">
        <v>1645</v>
      </c>
      <c r="T46" s="197" t="s">
        <v>1646</v>
      </c>
      <c r="U46" s="197" t="s">
        <v>1647</v>
      </c>
      <c r="V46" s="188">
        <v>128</v>
      </c>
      <c r="W46" s="188" t="s">
        <v>742</v>
      </c>
      <c r="X46" s="188">
        <v>122</v>
      </c>
    </row>
    <row r="47" spans="1:24" s="185" customFormat="1">
      <c r="A47" s="185" t="s">
        <v>271</v>
      </c>
      <c r="B47" s="185" t="s">
        <v>1725</v>
      </c>
      <c r="C47" s="195" t="s">
        <v>520</v>
      </c>
      <c r="E47" s="185" t="s">
        <v>1727</v>
      </c>
      <c r="H47" s="186"/>
      <c r="L47" s="233"/>
      <c r="M47" s="196"/>
      <c r="N47" s="185" t="s">
        <v>590</v>
      </c>
      <c r="O47" s="199">
        <v>0</v>
      </c>
      <c r="P47" s="199">
        <v>0</v>
      </c>
      <c r="Q47" s="190"/>
      <c r="V47" s="185" t="s">
        <v>299</v>
      </c>
      <c r="W47" s="185" t="s">
        <v>857</v>
      </c>
      <c r="X47" s="196"/>
    </row>
    <row r="48" spans="1:24" s="185" customFormat="1">
      <c r="A48" s="185" t="s">
        <v>271</v>
      </c>
      <c r="B48" s="185" t="s">
        <v>1725</v>
      </c>
      <c r="C48" s="195" t="s">
        <v>520</v>
      </c>
      <c r="E48" s="185" t="s">
        <v>1728</v>
      </c>
      <c r="H48" s="186"/>
      <c r="L48" s="233"/>
      <c r="M48" s="196"/>
      <c r="N48" s="185" t="s">
        <v>590</v>
      </c>
      <c r="O48" s="199">
        <v>105029919.02000001</v>
      </c>
      <c r="P48" s="199">
        <v>105029919.02000001</v>
      </c>
      <c r="Q48" s="190"/>
      <c r="V48" s="185" t="s">
        <v>299</v>
      </c>
      <c r="W48" s="185" t="s">
        <v>858</v>
      </c>
      <c r="X48" s="196"/>
    </row>
    <row r="49" spans="1:24" s="185" customFormat="1">
      <c r="A49" s="185" t="s">
        <v>293</v>
      </c>
      <c r="B49" s="185" t="s">
        <v>1725</v>
      </c>
      <c r="C49" s="195"/>
      <c r="H49" s="186"/>
      <c r="L49" s="233"/>
      <c r="M49" s="200"/>
      <c r="N49" s="185" t="s">
        <v>590</v>
      </c>
      <c r="O49" s="201"/>
      <c r="P49" s="201"/>
      <c r="Q49" s="190"/>
      <c r="V49" s="185" t="s">
        <v>299</v>
      </c>
      <c r="W49" s="185" t="s">
        <v>857</v>
      </c>
      <c r="X49" s="200"/>
    </row>
    <row r="50" spans="1:24" s="185" customFormat="1">
      <c r="A50" s="185" t="s">
        <v>271</v>
      </c>
      <c r="B50" s="185" t="s">
        <v>1725</v>
      </c>
      <c r="C50" s="195" t="s">
        <v>517</v>
      </c>
      <c r="E50" s="238" t="s">
        <v>1733</v>
      </c>
      <c r="H50" s="186"/>
      <c r="L50" s="233"/>
      <c r="M50" s="196"/>
      <c r="N50" s="185" t="s">
        <v>590</v>
      </c>
      <c r="O50" s="199">
        <v>96312.34</v>
      </c>
      <c r="P50" s="199">
        <v>96312.34</v>
      </c>
      <c r="Q50" s="190"/>
      <c r="V50" s="185" t="s">
        <v>299</v>
      </c>
      <c r="W50" s="185" t="s">
        <v>857</v>
      </c>
      <c r="X50" s="196"/>
    </row>
    <row r="51" spans="1:24" s="185" customFormat="1">
      <c r="A51" s="185" t="s">
        <v>271</v>
      </c>
      <c r="B51" s="185" t="s">
        <v>1725</v>
      </c>
      <c r="C51" s="239" t="s">
        <v>585</v>
      </c>
      <c r="D51" s="238"/>
      <c r="E51" s="238" t="s">
        <v>1735</v>
      </c>
      <c r="H51" s="186"/>
      <c r="L51" s="233"/>
      <c r="M51" s="196"/>
      <c r="N51" s="185" t="s">
        <v>590</v>
      </c>
      <c r="O51" s="199">
        <v>866.02</v>
      </c>
      <c r="P51" s="199">
        <v>866.02</v>
      </c>
      <c r="Q51" s="190"/>
      <c r="V51" s="185" t="s">
        <v>299</v>
      </c>
      <c r="W51" s="185" t="s">
        <v>857</v>
      </c>
      <c r="X51" s="196"/>
    </row>
    <row r="52" spans="1:24" s="185" customFormat="1">
      <c r="A52" s="185" t="s">
        <v>271</v>
      </c>
      <c r="B52" s="185" t="s">
        <v>1725</v>
      </c>
      <c r="C52" s="239" t="s">
        <v>585</v>
      </c>
      <c r="D52" s="238"/>
      <c r="E52" s="238" t="s">
        <v>1734</v>
      </c>
      <c r="H52" s="186"/>
      <c r="L52" s="233"/>
      <c r="M52" s="196"/>
      <c r="N52" s="185" t="s">
        <v>591</v>
      </c>
      <c r="O52" s="199">
        <v>0</v>
      </c>
      <c r="P52" s="199">
        <v>-97412.42</v>
      </c>
      <c r="Q52" s="190"/>
      <c r="V52" s="185" t="s">
        <v>299</v>
      </c>
      <c r="W52" s="185" t="s">
        <v>857</v>
      </c>
      <c r="X52" s="196"/>
    </row>
    <row r="53" spans="1:24" s="185" customFormat="1">
      <c r="A53" s="185" t="s">
        <v>293</v>
      </c>
      <c r="C53" s="195"/>
      <c r="H53" s="186"/>
      <c r="L53" s="233"/>
      <c r="M53" s="196"/>
      <c r="O53" s="199">
        <f>SUM(O47:O52)</f>
        <v>105127097.38000001</v>
      </c>
      <c r="P53" s="199">
        <f>SUM(P47:P52)</f>
        <v>105029684.96000001</v>
      </c>
      <c r="Q53" s="190"/>
      <c r="X53" s="196"/>
    </row>
    <row r="54" spans="1:24" s="203" customFormat="1">
      <c r="A54" s="202" t="s">
        <v>1455</v>
      </c>
      <c r="B54" s="202"/>
      <c r="C54" s="202"/>
      <c r="D54" s="202"/>
      <c r="E54" s="202" t="s">
        <v>1455</v>
      </c>
      <c r="F54" s="202"/>
      <c r="G54" s="202"/>
      <c r="H54" s="202"/>
      <c r="I54" s="202"/>
      <c r="J54" s="202" t="s">
        <v>1455</v>
      </c>
      <c r="K54" s="202"/>
      <c r="L54" s="202"/>
      <c r="M54" s="202"/>
      <c r="N54" s="202"/>
      <c r="P54" s="202" t="s">
        <v>1455</v>
      </c>
      <c r="U54" s="202" t="s">
        <v>1455</v>
      </c>
    </row>
    <row r="55" spans="1:24"/>
    <row r="56" spans="1:24" ht="21">
      <c r="A56" s="179" t="s">
        <v>771</v>
      </c>
      <c r="B56" s="179" t="s">
        <v>1458</v>
      </c>
      <c r="C56" s="204" t="s">
        <v>1684</v>
      </c>
      <c r="D56" s="179" t="s">
        <v>1685</v>
      </c>
      <c r="E56" s="179" t="s">
        <v>1686</v>
      </c>
      <c r="F56" s="181"/>
      <c r="G56" s="181"/>
      <c r="H56" s="181"/>
      <c r="I56" s="181"/>
      <c r="J56" s="181"/>
      <c r="K56" s="181"/>
      <c r="L56" s="181"/>
      <c r="M56" s="181"/>
    </row>
    <row r="57" spans="1:24">
      <c r="A57" s="182" t="s">
        <v>1683</v>
      </c>
      <c r="B57" s="188" t="s">
        <v>762</v>
      </c>
      <c r="C57" s="182">
        <v>125</v>
      </c>
      <c r="D57" s="182">
        <v>126</v>
      </c>
      <c r="E57" s="182">
        <v>127</v>
      </c>
    </row>
    <row r="58" spans="1:24">
      <c r="A58" s="195" t="s">
        <v>273</v>
      </c>
      <c r="B58" s="185" t="s">
        <v>1725</v>
      </c>
      <c r="C58" s="195" t="s">
        <v>520</v>
      </c>
      <c r="D58" s="190">
        <v>67106399.979999997</v>
      </c>
      <c r="E58" s="190"/>
    </row>
    <row r="59" spans="1:24" s="185" customFormat="1">
      <c r="A59" s="185" t="s">
        <v>273</v>
      </c>
      <c r="B59" s="185" t="s">
        <v>1725</v>
      </c>
      <c r="C59" s="195" t="s">
        <v>517</v>
      </c>
      <c r="D59" s="190">
        <v>27476.979999999996</v>
      </c>
      <c r="E59" s="190"/>
    </row>
    <row r="60" spans="1:24" s="185" customFormat="1">
      <c r="C60" s="195"/>
      <c r="D60" s="190"/>
      <c r="E60" s="190"/>
    </row>
    <row r="61" spans="1:24">
      <c r="A61" s="179" t="s">
        <v>775</v>
      </c>
      <c r="B61" s="179" t="s">
        <v>1458</v>
      </c>
      <c r="C61" s="179" t="s">
        <v>776</v>
      </c>
      <c r="D61" s="179" t="s">
        <v>777</v>
      </c>
      <c r="E61" s="179" t="s">
        <v>778</v>
      </c>
      <c r="F61" s="179" t="s">
        <v>779</v>
      </c>
      <c r="G61" s="179" t="s">
        <v>780</v>
      </c>
      <c r="H61" s="179" t="s">
        <v>781</v>
      </c>
      <c r="I61" s="181"/>
      <c r="J61" s="181"/>
      <c r="K61" s="181"/>
      <c r="L61" s="181"/>
      <c r="M61" s="181"/>
    </row>
    <row r="62" spans="1:24">
      <c r="A62" s="182" t="s">
        <v>1683</v>
      </c>
      <c r="B62" s="188" t="s">
        <v>762</v>
      </c>
      <c r="C62" s="182">
        <v>131</v>
      </c>
      <c r="D62" s="182">
        <v>132</v>
      </c>
      <c r="E62" s="182">
        <v>133</v>
      </c>
      <c r="F62" s="182">
        <v>134</v>
      </c>
      <c r="G62" s="182">
        <v>135</v>
      </c>
      <c r="H62" s="182">
        <v>136</v>
      </c>
    </row>
    <row r="63" spans="1:24" s="185" customFormat="1">
      <c r="D63" s="186"/>
      <c r="E63" s="186"/>
      <c r="G63" s="139"/>
      <c r="H63" s="196"/>
    </row>
    <row r="64" spans="1:24">
      <c r="A64" s="179" t="s">
        <v>782</v>
      </c>
      <c r="B64" s="179" t="s">
        <v>1458</v>
      </c>
      <c r="C64" s="179" t="s">
        <v>783</v>
      </c>
      <c r="D64" s="179" t="s">
        <v>1594</v>
      </c>
      <c r="E64" s="179" t="s">
        <v>1608</v>
      </c>
      <c r="F64" s="179" t="s">
        <v>1609</v>
      </c>
      <c r="G64" s="179" t="s">
        <v>1610</v>
      </c>
      <c r="H64" s="179" t="s">
        <v>1595</v>
      </c>
      <c r="I64" s="179" t="s">
        <v>1596</v>
      </c>
      <c r="J64" s="179" t="s">
        <v>1597</v>
      </c>
      <c r="K64" s="179" t="s">
        <v>1598</v>
      </c>
      <c r="L64" s="179" t="s">
        <v>792</v>
      </c>
      <c r="M64" s="179" t="s">
        <v>793</v>
      </c>
    </row>
    <row r="65" spans="1:14">
      <c r="A65" s="205" t="s">
        <v>1683</v>
      </c>
      <c r="B65" s="188" t="s">
        <v>762</v>
      </c>
      <c r="C65" s="205">
        <v>138</v>
      </c>
      <c r="D65" s="205">
        <v>139</v>
      </c>
      <c r="E65" s="205">
        <v>140</v>
      </c>
      <c r="F65" s="205">
        <v>141</v>
      </c>
      <c r="G65" s="205">
        <v>142</v>
      </c>
      <c r="H65" s="205">
        <v>143</v>
      </c>
      <c r="I65" s="205">
        <v>144</v>
      </c>
      <c r="J65" s="205">
        <v>145</v>
      </c>
      <c r="K65" s="205">
        <v>302</v>
      </c>
      <c r="L65" s="205">
        <v>146</v>
      </c>
      <c r="M65" s="205">
        <v>147</v>
      </c>
    </row>
    <row r="66" spans="1:14" s="206" customFormat="1">
      <c r="B66" s="185"/>
      <c r="D66" s="207"/>
      <c r="E66" s="208"/>
      <c r="F66" s="208"/>
      <c r="G66" s="208"/>
      <c r="H66" s="208"/>
      <c r="I66" s="208"/>
      <c r="J66" s="208"/>
      <c r="K66" s="208"/>
      <c r="M66" s="234"/>
    </row>
    <row r="67" spans="1:14" s="206" customFormat="1">
      <c r="D67" s="207"/>
      <c r="E67" s="208"/>
      <c r="F67" s="208"/>
      <c r="G67" s="208"/>
      <c r="H67" s="208"/>
      <c r="I67" s="208"/>
      <c r="J67" s="208"/>
      <c r="K67" s="208"/>
      <c r="M67" s="234"/>
    </row>
    <row r="68" spans="1:14" ht="10.5" customHeight="1">
      <c r="A68" s="179" t="s">
        <v>794</v>
      </c>
      <c r="B68" s="179" t="s">
        <v>1458</v>
      </c>
      <c r="C68" s="179" t="s">
        <v>1509</v>
      </c>
      <c r="D68" s="180" t="s">
        <v>1537</v>
      </c>
      <c r="E68" s="179" t="s">
        <v>1510</v>
      </c>
      <c r="F68" s="180" t="s">
        <v>1536</v>
      </c>
      <c r="G68" s="179" t="s">
        <v>795</v>
      </c>
      <c r="H68" s="180" t="s">
        <v>1538</v>
      </c>
      <c r="I68" s="179" t="s">
        <v>797</v>
      </c>
      <c r="J68" s="179" t="s">
        <v>798</v>
      </c>
      <c r="K68" s="179" t="s">
        <v>799</v>
      </c>
      <c r="L68" s="179" t="s">
        <v>800</v>
      </c>
      <c r="M68" s="179" t="s">
        <v>801</v>
      </c>
      <c r="N68" s="179" t="s">
        <v>1326</v>
      </c>
    </row>
    <row r="69" spans="1:14">
      <c r="A69" s="182" t="s">
        <v>1683</v>
      </c>
      <c r="B69" s="188" t="s">
        <v>762</v>
      </c>
      <c r="C69" s="183" t="s">
        <v>1649</v>
      </c>
      <c r="D69" s="182">
        <v>149</v>
      </c>
      <c r="E69" s="183" t="s">
        <v>1651</v>
      </c>
      <c r="F69" s="182">
        <v>151</v>
      </c>
      <c r="G69" s="183" t="s">
        <v>1652</v>
      </c>
      <c r="H69" s="182">
        <v>153</v>
      </c>
      <c r="I69" s="182">
        <v>154</v>
      </c>
      <c r="J69" s="182">
        <v>155</v>
      </c>
      <c r="K69" s="182">
        <v>156</v>
      </c>
      <c r="L69" s="182">
        <v>157</v>
      </c>
      <c r="M69" s="182">
        <v>158</v>
      </c>
      <c r="N69" s="182">
        <v>159</v>
      </c>
    </row>
    <row r="70" spans="1:14" s="185" customFormat="1">
      <c r="C70" s="192"/>
      <c r="D70" s="190"/>
      <c r="E70" s="190"/>
      <c r="F70" s="190"/>
      <c r="G70" s="190"/>
      <c r="H70" s="190"/>
      <c r="I70" s="190"/>
      <c r="J70" s="190"/>
      <c r="K70" s="190"/>
      <c r="L70" s="190"/>
      <c r="M70" s="190"/>
      <c r="N70" s="190"/>
    </row>
    <row r="71" spans="1:14">
      <c r="A71" s="179" t="s">
        <v>802</v>
      </c>
      <c r="B71" s="179" t="s">
        <v>1458</v>
      </c>
      <c r="C71" s="179" t="s">
        <v>803</v>
      </c>
      <c r="D71" s="179" t="s">
        <v>804</v>
      </c>
      <c r="E71" s="179" t="s">
        <v>805</v>
      </c>
      <c r="F71" s="179" t="s">
        <v>806</v>
      </c>
      <c r="G71" s="179" t="s">
        <v>807</v>
      </c>
      <c r="H71" s="179" t="s">
        <v>808</v>
      </c>
      <c r="I71" s="179" t="s">
        <v>809</v>
      </c>
      <c r="J71" s="179" t="s">
        <v>810</v>
      </c>
      <c r="K71" s="209"/>
      <c r="L71" s="209"/>
      <c r="M71" s="209"/>
    </row>
    <row r="72" spans="1:14">
      <c r="A72" s="182" t="s">
        <v>1683</v>
      </c>
      <c r="B72" s="188" t="s">
        <v>762</v>
      </c>
      <c r="C72" s="182">
        <v>178</v>
      </c>
      <c r="D72" s="182">
        <v>179</v>
      </c>
      <c r="E72" s="182">
        <v>180</v>
      </c>
      <c r="F72" s="182">
        <v>181</v>
      </c>
      <c r="G72" s="182">
        <v>182</v>
      </c>
      <c r="H72" s="182">
        <v>183</v>
      </c>
      <c r="I72" s="182">
        <v>184</v>
      </c>
      <c r="J72" s="182">
        <v>185</v>
      </c>
    </row>
    <row r="73" spans="1:14" s="185" customFormat="1">
      <c r="C73" s="190"/>
      <c r="D73" s="190"/>
      <c r="E73" s="190"/>
      <c r="F73" s="190"/>
      <c r="G73" s="190"/>
      <c r="H73" s="190"/>
      <c r="I73" s="190"/>
      <c r="J73" s="190"/>
    </row>
    <row r="74" spans="1:14">
      <c r="A74" s="210" t="s">
        <v>811</v>
      </c>
      <c r="B74" s="179" t="s">
        <v>1458</v>
      </c>
      <c r="C74" s="211" t="s">
        <v>812</v>
      </c>
      <c r="D74" s="211" t="s">
        <v>813</v>
      </c>
      <c r="E74" s="211" t="s">
        <v>814</v>
      </c>
      <c r="F74" s="211" t="s">
        <v>815</v>
      </c>
      <c r="G74" s="211" t="s">
        <v>816</v>
      </c>
      <c r="H74" s="211" t="s">
        <v>817</v>
      </c>
      <c r="I74" s="211" t="s">
        <v>818</v>
      </c>
    </row>
    <row r="75" spans="1:14">
      <c r="A75" s="212" t="s">
        <v>1683</v>
      </c>
      <c r="B75" s="188" t="s">
        <v>762</v>
      </c>
      <c r="C75" s="213">
        <v>186</v>
      </c>
      <c r="D75" s="213">
        <v>187</v>
      </c>
      <c r="E75" s="213">
        <v>188</v>
      </c>
      <c r="F75" s="213">
        <v>189</v>
      </c>
      <c r="G75" s="213">
        <v>190</v>
      </c>
      <c r="H75" s="213">
        <v>191</v>
      </c>
      <c r="I75" s="213">
        <v>192</v>
      </c>
    </row>
    <row r="76" spans="1:14" s="185" customFormat="1">
      <c r="A76" s="185" t="s">
        <v>282</v>
      </c>
      <c r="B76" s="185" t="s">
        <v>1725</v>
      </c>
      <c r="C76" s="190"/>
      <c r="D76" s="190"/>
      <c r="E76" s="190"/>
      <c r="F76" s="190"/>
      <c r="G76" s="190"/>
      <c r="H76" s="190"/>
      <c r="I76" s="190">
        <v>100</v>
      </c>
    </row>
    <row r="77" spans="1:14" s="185" customFormat="1">
      <c r="C77" s="190"/>
      <c r="D77" s="190"/>
      <c r="E77" s="190"/>
      <c r="F77" s="190"/>
      <c r="G77" s="190"/>
      <c r="H77" s="190"/>
      <c r="I77" s="190"/>
    </row>
    <row r="78" spans="1:14">
      <c r="A78" s="210" t="s">
        <v>819</v>
      </c>
      <c r="B78" s="179" t="s">
        <v>1458</v>
      </c>
      <c r="C78" s="214" t="s">
        <v>1551</v>
      </c>
      <c r="D78" s="211" t="s">
        <v>821</v>
      </c>
      <c r="E78" s="211" t="s">
        <v>1556</v>
      </c>
      <c r="F78" s="211" t="s">
        <v>1557</v>
      </c>
    </row>
    <row r="79" spans="1:14">
      <c r="A79" s="212" t="s">
        <v>1683</v>
      </c>
      <c r="B79" s="188" t="s">
        <v>762</v>
      </c>
      <c r="C79" s="213">
        <v>193</v>
      </c>
      <c r="D79" s="215" t="s">
        <v>1653</v>
      </c>
      <c r="E79" s="215" t="s">
        <v>1654</v>
      </c>
      <c r="F79" s="215" t="s">
        <v>1655</v>
      </c>
    </row>
    <row r="80" spans="1:14" s="185" customFormat="1">
      <c r="A80" s="185" t="s">
        <v>283</v>
      </c>
      <c r="B80" s="185" t="s">
        <v>1725</v>
      </c>
      <c r="E80" s="191"/>
      <c r="F80" s="191"/>
    </row>
    <row r="81" spans="1:13" s="185" customFormat="1">
      <c r="E81" s="191"/>
      <c r="F81" s="191"/>
    </row>
    <row r="82" spans="1:13">
      <c r="A82" s="210" t="s">
        <v>824</v>
      </c>
      <c r="B82" s="179" t="s">
        <v>1458</v>
      </c>
      <c r="C82" s="211" t="s">
        <v>825</v>
      </c>
      <c r="D82" s="211" t="s">
        <v>826</v>
      </c>
      <c r="E82" s="211" t="s">
        <v>827</v>
      </c>
      <c r="F82" s="211" t="s">
        <v>828</v>
      </c>
      <c r="G82" s="211" t="s">
        <v>829</v>
      </c>
      <c r="H82" s="211" t="s">
        <v>830</v>
      </c>
      <c r="I82" s="214" t="s">
        <v>1552</v>
      </c>
      <c r="J82" s="211" t="s">
        <v>832</v>
      </c>
      <c r="K82" s="211" t="s">
        <v>833</v>
      </c>
      <c r="L82" s="211" t="s">
        <v>834</v>
      </c>
      <c r="M82" s="211" t="s">
        <v>835</v>
      </c>
    </row>
    <row r="83" spans="1:13">
      <c r="A83" s="212" t="s">
        <v>1683</v>
      </c>
      <c r="B83" s="188" t="s">
        <v>762</v>
      </c>
      <c r="C83" s="213">
        <v>197</v>
      </c>
      <c r="D83" s="213">
        <v>198</v>
      </c>
      <c r="E83" s="213">
        <v>199</v>
      </c>
      <c r="F83" s="213">
        <v>200</v>
      </c>
      <c r="G83" s="213">
        <v>201</v>
      </c>
      <c r="H83" s="213">
        <v>202</v>
      </c>
      <c r="I83" s="213">
        <v>203</v>
      </c>
      <c r="J83" s="215" t="s">
        <v>1656</v>
      </c>
      <c r="K83" s="215" t="s">
        <v>1657</v>
      </c>
      <c r="L83" s="215" t="s">
        <v>1658</v>
      </c>
      <c r="M83" s="215" t="s">
        <v>1659</v>
      </c>
    </row>
    <row r="84" spans="1:13" s="185" customFormat="1">
      <c r="A84" s="185" t="s">
        <v>284</v>
      </c>
      <c r="B84" s="185" t="s">
        <v>1725</v>
      </c>
      <c r="C84" s="192"/>
      <c r="D84" s="192"/>
      <c r="E84" s="192"/>
      <c r="F84" s="216"/>
      <c r="G84" s="192"/>
      <c r="H84" s="192"/>
      <c r="I84" s="185" t="s">
        <v>1729</v>
      </c>
      <c r="J84" s="185" t="s">
        <v>1729</v>
      </c>
      <c r="K84" s="185" t="s">
        <v>914</v>
      </c>
      <c r="L84" s="185" t="s">
        <v>919</v>
      </c>
      <c r="M84" s="185" t="s">
        <v>919</v>
      </c>
    </row>
    <row r="85" spans="1:13" s="185" customFormat="1">
      <c r="C85" s="192"/>
      <c r="D85" s="192"/>
      <c r="E85" s="192"/>
      <c r="F85" s="216"/>
      <c r="G85" s="192"/>
      <c r="H85" s="192"/>
    </row>
    <row r="86" spans="1:13" s="181" customFormat="1">
      <c r="A86" s="210" t="s">
        <v>748</v>
      </c>
      <c r="B86" s="179" t="s">
        <v>1458</v>
      </c>
      <c r="C86" s="211" t="s">
        <v>749</v>
      </c>
      <c r="D86" s="211" t="s">
        <v>750</v>
      </c>
      <c r="E86" s="178"/>
      <c r="F86" s="178"/>
      <c r="G86" s="178"/>
      <c r="H86" s="178"/>
      <c r="I86" s="178"/>
      <c r="J86" s="178"/>
      <c r="K86" s="178"/>
      <c r="L86" s="178"/>
      <c r="M86" s="178"/>
    </row>
    <row r="87" spans="1:13">
      <c r="A87" s="212" t="s">
        <v>1683</v>
      </c>
      <c r="B87" s="188" t="s">
        <v>762</v>
      </c>
      <c r="C87" s="213">
        <v>208</v>
      </c>
      <c r="D87" s="213">
        <v>209</v>
      </c>
    </row>
    <row r="88" spans="1:13" s="185" customFormat="1">
      <c r="A88" s="185" t="s">
        <v>285</v>
      </c>
      <c r="B88" s="185" t="s">
        <v>1725</v>
      </c>
      <c r="C88" s="185" t="s">
        <v>655</v>
      </c>
      <c r="D88" s="190">
        <v>17.09</v>
      </c>
    </row>
    <row r="89" spans="1:13" s="185" customFormat="1">
      <c r="A89" s="185" t="s">
        <v>285</v>
      </c>
      <c r="B89" s="185" t="s">
        <v>1725</v>
      </c>
      <c r="C89" s="185" t="s">
        <v>657</v>
      </c>
      <c r="D89" s="190">
        <v>82.91</v>
      </c>
    </row>
    <row r="90" spans="1:13" s="185" customFormat="1">
      <c r="D90" s="190"/>
    </row>
    <row r="91" spans="1:13" s="181" customFormat="1">
      <c r="A91" s="210" t="s">
        <v>836</v>
      </c>
      <c r="B91" s="179" t="s">
        <v>1458</v>
      </c>
      <c r="C91" s="211" t="s">
        <v>837</v>
      </c>
      <c r="D91" s="211" t="s">
        <v>838</v>
      </c>
      <c r="E91" s="211" t="s">
        <v>839</v>
      </c>
      <c r="F91" s="211" t="s">
        <v>840</v>
      </c>
      <c r="G91" s="211" t="s">
        <v>841</v>
      </c>
      <c r="H91" s="211" t="s">
        <v>842</v>
      </c>
      <c r="I91" s="211" t="s">
        <v>843</v>
      </c>
      <c r="J91" s="211" t="s">
        <v>844</v>
      </c>
      <c r="K91" s="178"/>
      <c r="L91" s="178"/>
      <c r="M91" s="178"/>
    </row>
    <row r="92" spans="1:13">
      <c r="A92" s="212" t="s">
        <v>1683</v>
      </c>
      <c r="B92" s="188" t="s">
        <v>762</v>
      </c>
      <c r="C92" s="213">
        <v>210</v>
      </c>
      <c r="D92" s="213">
        <v>211</v>
      </c>
      <c r="E92" s="213">
        <v>212</v>
      </c>
      <c r="F92" s="213">
        <v>213</v>
      </c>
      <c r="G92" s="213">
        <v>214</v>
      </c>
      <c r="H92" s="213">
        <v>215</v>
      </c>
      <c r="I92" s="213">
        <v>216</v>
      </c>
      <c r="J92" s="213">
        <v>217</v>
      </c>
    </row>
    <row r="93" spans="1:13" s="185" customFormat="1">
      <c r="C93" s="190"/>
      <c r="D93" s="190"/>
      <c r="E93" s="190"/>
      <c r="F93" s="190"/>
      <c r="G93" s="190"/>
      <c r="H93" s="190"/>
      <c r="I93" s="190"/>
      <c r="J93" s="190"/>
    </row>
    <row r="94" spans="1:13" s="181" customFormat="1">
      <c r="A94" s="210" t="s">
        <v>845</v>
      </c>
      <c r="B94" s="179" t="s">
        <v>1458</v>
      </c>
      <c r="C94" s="211" t="s">
        <v>846</v>
      </c>
      <c r="D94" s="211" t="s">
        <v>847</v>
      </c>
      <c r="E94" s="211" t="s">
        <v>848</v>
      </c>
      <c r="F94" s="211" t="s">
        <v>849</v>
      </c>
      <c r="G94" s="211" t="s">
        <v>893</v>
      </c>
      <c r="H94" s="211" t="s">
        <v>894</v>
      </c>
      <c r="I94" s="178"/>
      <c r="J94" s="178"/>
      <c r="K94" s="178"/>
      <c r="L94" s="178"/>
      <c r="M94" s="178"/>
    </row>
    <row r="95" spans="1:13">
      <c r="A95" s="212" t="s">
        <v>1683</v>
      </c>
      <c r="B95" s="188" t="s">
        <v>762</v>
      </c>
      <c r="C95" s="215" t="s">
        <v>1648</v>
      </c>
      <c r="D95" s="215" t="s">
        <v>878</v>
      </c>
      <c r="E95" s="215" t="s">
        <v>879</v>
      </c>
      <c r="F95" s="215" t="s">
        <v>880</v>
      </c>
      <c r="G95" s="215" t="s">
        <v>881</v>
      </c>
      <c r="H95" s="215" t="s">
        <v>882</v>
      </c>
      <c r="K95" s="178" t="s">
        <v>1745</v>
      </c>
    </row>
    <row r="96" spans="1:13" s="185" customFormat="1">
      <c r="A96" s="185" t="s">
        <v>287</v>
      </c>
      <c r="B96" s="185" t="s">
        <v>1725</v>
      </c>
      <c r="C96" s="217">
        <v>7</v>
      </c>
      <c r="D96" s="190">
        <v>0</v>
      </c>
      <c r="E96" s="190">
        <v>0</v>
      </c>
      <c r="F96" s="190">
        <v>-0.24</v>
      </c>
      <c r="G96" s="190">
        <v>0</v>
      </c>
      <c r="H96" s="185">
        <v>33435763</v>
      </c>
    </row>
    <row r="97" spans="1:13" s="185" customFormat="1">
      <c r="A97" s="185" t="s">
        <v>287</v>
      </c>
      <c r="B97" s="185" t="s">
        <v>1725</v>
      </c>
      <c r="C97" s="217">
        <v>8</v>
      </c>
      <c r="D97" s="190">
        <v>0</v>
      </c>
      <c r="E97" s="190">
        <v>0</v>
      </c>
      <c r="F97" s="190">
        <v>0</v>
      </c>
      <c r="G97" s="190">
        <v>0</v>
      </c>
      <c r="H97" s="185">
        <v>0</v>
      </c>
      <c r="K97" s="185" t="s">
        <v>1744</v>
      </c>
    </row>
    <row r="98" spans="1:13" s="185" customFormat="1">
      <c r="A98" s="185" t="s">
        <v>287</v>
      </c>
      <c r="B98" s="185" t="s">
        <v>1725</v>
      </c>
      <c r="C98" s="217">
        <v>9</v>
      </c>
      <c r="D98" s="190">
        <v>9.99</v>
      </c>
      <c r="E98" s="190">
        <v>7.16</v>
      </c>
      <c r="F98" s="190">
        <v>-0.28999999999999998</v>
      </c>
      <c r="G98" s="190">
        <v>19341</v>
      </c>
      <c r="H98" s="185">
        <v>27892724</v>
      </c>
    </row>
    <row r="99" spans="1:13" s="185" customFormat="1">
      <c r="A99" s="185" t="s">
        <v>287</v>
      </c>
      <c r="B99" s="185" t="s">
        <v>1725</v>
      </c>
      <c r="C99" s="217">
        <v>10</v>
      </c>
      <c r="D99" s="190">
        <v>0</v>
      </c>
      <c r="E99" s="190">
        <v>0</v>
      </c>
      <c r="F99" s="190">
        <v>0</v>
      </c>
      <c r="G99" s="190">
        <v>0</v>
      </c>
      <c r="H99" s="185">
        <v>0</v>
      </c>
    </row>
    <row r="100" spans="1:13" s="185" customFormat="1">
      <c r="A100" s="185" t="s">
        <v>287</v>
      </c>
      <c r="B100" s="185" t="s">
        <v>1725</v>
      </c>
      <c r="C100" s="217">
        <v>11</v>
      </c>
      <c r="D100" s="190">
        <v>0</v>
      </c>
      <c r="E100" s="190">
        <v>0</v>
      </c>
      <c r="F100" s="190">
        <v>0</v>
      </c>
      <c r="G100" s="190">
        <v>0</v>
      </c>
      <c r="H100" s="185">
        <v>0</v>
      </c>
    </row>
    <row r="101" spans="1:13" s="185" customFormat="1">
      <c r="A101" s="185" t="s">
        <v>287</v>
      </c>
      <c r="B101" s="185" t="s">
        <v>1725</v>
      </c>
      <c r="C101" s="217">
        <v>12</v>
      </c>
      <c r="D101" s="190">
        <v>10.87</v>
      </c>
      <c r="E101" s="190">
        <v>8.08</v>
      </c>
      <c r="F101" s="190">
        <v>-0.02</v>
      </c>
      <c r="G101" s="190">
        <v>60312</v>
      </c>
      <c r="H101" s="244">
        <v>3201409</v>
      </c>
    </row>
    <row r="102" spans="1:13" s="185" customFormat="1">
      <c r="C102" s="217"/>
      <c r="D102" s="190"/>
      <c r="E102" s="190"/>
      <c r="F102" s="190"/>
      <c r="G102" s="190"/>
    </row>
    <row r="103" spans="1:13" s="185" customFormat="1">
      <c r="C103" s="217"/>
      <c r="D103" s="190"/>
      <c r="E103" s="190"/>
      <c r="F103" s="190"/>
      <c r="G103" s="190"/>
      <c r="H103" s="190"/>
    </row>
    <row r="104" spans="1:13" s="185" customFormat="1">
      <c r="C104" s="217"/>
      <c r="D104" s="190"/>
      <c r="E104" s="190"/>
      <c r="F104" s="190"/>
      <c r="G104" s="190"/>
      <c r="H104" s="190"/>
    </row>
    <row r="105" spans="1:13" s="181" customFormat="1">
      <c r="A105" s="179" t="s">
        <v>850</v>
      </c>
      <c r="B105" s="179" t="s">
        <v>1458</v>
      </c>
      <c r="C105" s="179" t="s">
        <v>851</v>
      </c>
      <c r="D105" s="179" t="s">
        <v>852</v>
      </c>
    </row>
    <row r="106" spans="1:13">
      <c r="A106" s="182" t="s">
        <v>1683</v>
      </c>
      <c r="B106" s="188" t="s">
        <v>762</v>
      </c>
      <c r="C106" s="182">
        <v>279</v>
      </c>
      <c r="D106" s="182">
        <v>280</v>
      </c>
      <c r="F106" s="178" t="s">
        <v>1731</v>
      </c>
    </row>
    <row r="107" spans="1:13" s="185" customFormat="1">
      <c r="A107" s="206" t="s">
        <v>288</v>
      </c>
      <c r="B107" s="185" t="s">
        <v>1725</v>
      </c>
      <c r="C107" s="138" t="s">
        <v>965</v>
      </c>
      <c r="D107" s="138" t="s">
        <v>965</v>
      </c>
      <c r="F107" s="185" t="s">
        <v>1730</v>
      </c>
    </row>
    <row r="108" spans="1:13" s="185" customFormat="1">
      <c r="C108" s="139"/>
      <c r="D108" s="139"/>
      <c r="F108" s="185" t="s">
        <v>1732</v>
      </c>
    </row>
    <row r="109" spans="1:13" s="29" customFormat="1">
      <c r="A109" s="179" t="s">
        <v>751</v>
      </c>
      <c r="B109" s="179" t="s">
        <v>1458</v>
      </c>
      <c r="C109" s="179" t="s">
        <v>752</v>
      </c>
      <c r="D109" s="179" t="s">
        <v>753</v>
      </c>
      <c r="E109" s="179" t="s">
        <v>1695</v>
      </c>
      <c r="F109" s="179" t="s">
        <v>1696</v>
      </c>
      <c r="G109" s="179" t="s">
        <v>1697</v>
      </c>
      <c r="H109" s="179" t="s">
        <v>1698</v>
      </c>
      <c r="I109" s="179" t="s">
        <v>757</v>
      </c>
      <c r="J109" s="179" t="s">
        <v>758</v>
      </c>
      <c r="K109" s="179" t="s">
        <v>759</v>
      </c>
      <c r="L109" s="179" t="s">
        <v>760</v>
      </c>
      <c r="M109" s="179" t="s">
        <v>761</v>
      </c>
    </row>
    <row r="110" spans="1:13" s="218" customFormat="1">
      <c r="A110" s="182" t="s">
        <v>1683</v>
      </c>
      <c r="B110" s="188" t="s">
        <v>762</v>
      </c>
      <c r="C110" s="182">
        <v>281</v>
      </c>
      <c r="D110" s="182">
        <v>282</v>
      </c>
      <c r="E110" s="182">
        <v>283</v>
      </c>
      <c r="F110" s="182">
        <v>284</v>
      </c>
      <c r="G110" s="182">
        <v>285</v>
      </c>
      <c r="H110" s="182">
        <v>286</v>
      </c>
      <c r="I110" s="182">
        <v>287</v>
      </c>
      <c r="J110" s="182">
        <v>288</v>
      </c>
      <c r="K110" s="182">
        <v>289</v>
      </c>
      <c r="L110" s="182">
        <v>294</v>
      </c>
      <c r="M110" s="182">
        <v>295</v>
      </c>
    </row>
    <row r="111" spans="1:13" s="185" customFormat="1">
      <c r="A111" s="185" t="s">
        <v>289</v>
      </c>
      <c r="B111" s="185" t="s">
        <v>1725</v>
      </c>
      <c r="C111" s="185" t="s">
        <v>914</v>
      </c>
      <c r="D111" s="190"/>
      <c r="E111" s="190"/>
      <c r="F111" s="190"/>
      <c r="G111" s="190"/>
      <c r="H111" s="190"/>
      <c r="I111" s="190"/>
      <c r="J111" s="190"/>
      <c r="K111" s="190"/>
      <c r="L111" s="190"/>
      <c r="M111" s="190"/>
    </row>
    <row r="112" spans="1:13" s="185" customFormat="1">
      <c r="D112" s="190"/>
      <c r="E112" s="190"/>
      <c r="F112" s="190"/>
      <c r="G112" s="190"/>
      <c r="H112" s="190"/>
      <c r="I112" s="190"/>
      <c r="J112" s="190"/>
      <c r="K112" s="190"/>
      <c r="L112" s="190"/>
      <c r="M112" s="190"/>
    </row>
    <row r="113" spans="1:16">
      <c r="A113" s="179" t="s">
        <v>888</v>
      </c>
      <c r="B113" s="179" t="s">
        <v>1458</v>
      </c>
      <c r="C113" s="179" t="s">
        <v>889</v>
      </c>
      <c r="D113" s="179" t="s">
        <v>890</v>
      </c>
      <c r="E113" s="179" t="s">
        <v>891</v>
      </c>
      <c r="F113" s="179" t="s">
        <v>892</v>
      </c>
    </row>
    <row r="114" spans="1:16">
      <c r="A114" s="182" t="s">
        <v>1683</v>
      </c>
      <c r="B114" s="188" t="s">
        <v>762</v>
      </c>
      <c r="C114" s="182">
        <v>290</v>
      </c>
      <c r="D114" s="182">
        <v>291</v>
      </c>
      <c r="E114" s="182">
        <v>292</v>
      </c>
      <c r="F114" s="182">
        <v>293</v>
      </c>
    </row>
    <row r="115" spans="1:16" s="185" customFormat="1">
      <c r="F115" s="192"/>
    </row>
    <row r="116" spans="1:16">
      <c r="A116" s="179" t="s">
        <v>883</v>
      </c>
      <c r="B116" s="179" t="s">
        <v>1458</v>
      </c>
      <c r="C116" s="179" t="s">
        <v>884</v>
      </c>
      <c r="D116" s="179" t="s">
        <v>885</v>
      </c>
      <c r="E116" s="179" t="s">
        <v>886</v>
      </c>
      <c r="F116" s="179" t="s">
        <v>887</v>
      </c>
    </row>
    <row r="117" spans="1:16">
      <c r="A117" s="182" t="s">
        <v>1683</v>
      </c>
      <c r="B117" s="188" t="s">
        <v>762</v>
      </c>
      <c r="C117" s="182">
        <v>298</v>
      </c>
      <c r="D117" s="182">
        <v>299</v>
      </c>
      <c r="E117" s="182">
        <v>300</v>
      </c>
      <c r="F117" s="182">
        <v>301</v>
      </c>
    </row>
    <row r="118" spans="1:16" s="185" customFormat="1">
      <c r="B118" s="206"/>
      <c r="F118" s="192"/>
    </row>
    <row r="119" spans="1:16" s="220" customFormat="1">
      <c r="A119" s="219" t="s">
        <v>897</v>
      </c>
      <c r="B119" s="219"/>
      <c r="C119" s="219"/>
      <c r="D119" s="219"/>
      <c r="E119" s="219" t="s">
        <v>897</v>
      </c>
      <c r="F119" s="219"/>
      <c r="G119" s="219"/>
      <c r="H119" s="219"/>
      <c r="I119" s="219"/>
      <c r="J119" s="219" t="s">
        <v>897</v>
      </c>
      <c r="K119" s="219"/>
      <c r="L119" s="219"/>
      <c r="M119" s="219"/>
      <c r="N119" s="219"/>
      <c r="P119" s="219" t="s">
        <v>897</v>
      </c>
    </row>
    <row r="120" spans="1:16"/>
    <row r="121" spans="1:16">
      <c r="A121" s="179" t="s">
        <v>861</v>
      </c>
      <c r="B121" s="179" t="s">
        <v>862</v>
      </c>
      <c r="C121" s="179" t="s">
        <v>863</v>
      </c>
      <c r="D121" s="179" t="s">
        <v>864</v>
      </c>
      <c r="E121" s="179" t="s">
        <v>865</v>
      </c>
      <c r="F121" s="179" t="s">
        <v>853</v>
      </c>
    </row>
    <row r="122" spans="1:16">
      <c r="A122" s="182" t="s">
        <v>1683</v>
      </c>
      <c r="B122" s="182" t="s">
        <v>1575</v>
      </c>
      <c r="C122" s="182">
        <v>49</v>
      </c>
      <c r="D122" s="182">
        <v>50</v>
      </c>
      <c r="E122" s="182">
        <v>51</v>
      </c>
      <c r="F122" s="182">
        <v>52</v>
      </c>
    </row>
    <row r="123" spans="1:16" s="185" customFormat="1">
      <c r="B123" s="232"/>
      <c r="D123" s="221"/>
      <c r="F123" s="139"/>
    </row>
    <row r="124" spans="1:16" s="185" customFormat="1">
      <c r="B124" s="232"/>
      <c r="D124" s="221"/>
      <c r="F124" s="139"/>
    </row>
    <row r="125" spans="1:16" s="185" customFormat="1">
      <c r="B125" s="232"/>
      <c r="D125" s="221"/>
      <c r="F125" s="139"/>
    </row>
    <row r="126" spans="1:16" s="185" customFormat="1">
      <c r="B126" s="232"/>
      <c r="D126" s="221"/>
      <c r="F126" s="139"/>
    </row>
    <row r="127" spans="1:16" s="185" customFormat="1">
      <c r="B127" s="232"/>
      <c r="D127" s="221"/>
      <c r="F127" s="139"/>
    </row>
    <row r="128" spans="1:16">
      <c r="A128" s="179" t="s">
        <v>1420</v>
      </c>
      <c r="B128" s="179" t="s">
        <v>1458</v>
      </c>
      <c r="C128" s="180" t="s">
        <v>1502</v>
      </c>
      <c r="D128" s="180" t="s">
        <v>1503</v>
      </c>
      <c r="E128" s="180" t="s">
        <v>1615</v>
      </c>
      <c r="F128" s="180" t="s">
        <v>1613</v>
      </c>
      <c r="G128" s="179" t="s">
        <v>713</v>
      </c>
      <c r="H128" s="179" t="s">
        <v>714</v>
      </c>
    </row>
    <row r="129" spans="1:16">
      <c r="A129" s="182" t="s">
        <v>1683</v>
      </c>
      <c r="B129" s="188" t="s">
        <v>762</v>
      </c>
      <c r="C129" s="182">
        <v>6</v>
      </c>
      <c r="D129" s="182">
        <v>7</v>
      </c>
      <c r="E129" s="182">
        <v>8</v>
      </c>
      <c r="F129" s="182">
        <v>9</v>
      </c>
      <c r="G129" s="182">
        <v>49</v>
      </c>
      <c r="H129" s="182">
        <v>48</v>
      </c>
    </row>
    <row r="130" spans="1:16" s="185" customFormat="1">
      <c r="B130" s="189"/>
      <c r="F130" s="186"/>
      <c r="H130" s="192"/>
    </row>
    <row r="131" spans="1:16" s="185" customFormat="1">
      <c r="B131" s="189"/>
      <c r="F131" s="186"/>
      <c r="H131" s="192"/>
    </row>
    <row r="132" spans="1:16" s="185" customFormat="1">
      <c r="B132" s="189"/>
      <c r="F132" s="186"/>
      <c r="H132" s="192"/>
    </row>
    <row r="133" spans="1:16" s="185" customFormat="1">
      <c r="B133" s="189"/>
      <c r="F133" s="186"/>
      <c r="H133" s="192"/>
    </row>
    <row r="134" spans="1:16">
      <c r="A134" s="179" t="s">
        <v>898</v>
      </c>
      <c r="B134" s="179" t="s">
        <v>1458</v>
      </c>
      <c r="C134" s="179" t="s">
        <v>725</v>
      </c>
      <c r="D134" s="179" t="s">
        <v>1584</v>
      </c>
      <c r="E134" s="179" t="s">
        <v>1576</v>
      </c>
      <c r="F134" s="179" t="s">
        <v>1400</v>
      </c>
    </row>
    <row r="135" spans="1:16">
      <c r="A135" s="182" t="s">
        <v>1683</v>
      </c>
      <c r="B135" s="188" t="s">
        <v>762</v>
      </c>
      <c r="C135" s="182">
        <v>65</v>
      </c>
      <c r="D135" s="197" t="s">
        <v>1272</v>
      </c>
      <c r="E135" s="197" t="s">
        <v>1273</v>
      </c>
      <c r="F135" s="197" t="s">
        <v>1643</v>
      </c>
    </row>
    <row r="136" spans="1:16" s="185" customFormat="1">
      <c r="B136" s="206"/>
      <c r="C136" s="195"/>
      <c r="E136" s="186"/>
      <c r="F136" s="199"/>
    </row>
    <row r="137" spans="1:16" s="185" customFormat="1">
      <c r="B137" s="206"/>
      <c r="C137" s="195"/>
      <c r="E137" s="186"/>
      <c r="F137" s="199"/>
    </row>
    <row r="138" spans="1:16" s="185" customFormat="1">
      <c r="B138" s="206"/>
      <c r="C138" s="195"/>
      <c r="E138" s="186"/>
      <c r="F138" s="199"/>
    </row>
    <row r="139" spans="1:16" s="185" customFormat="1">
      <c r="B139" s="206"/>
      <c r="C139" s="195"/>
      <c r="E139" s="186"/>
      <c r="F139" s="199"/>
    </row>
    <row r="140" spans="1:16" s="185" customFormat="1">
      <c r="B140" s="206"/>
      <c r="C140" s="195"/>
      <c r="E140" s="186"/>
      <c r="F140" s="199"/>
    </row>
    <row r="141" spans="1:16" s="185" customFormat="1">
      <c r="B141" s="206"/>
      <c r="C141" s="195"/>
      <c r="E141" s="186"/>
      <c r="F141" s="199"/>
    </row>
    <row r="142" spans="1:16" s="185" customFormat="1">
      <c r="B142" s="206"/>
      <c r="C142" s="195"/>
      <c r="E142" s="186"/>
      <c r="F142" s="199"/>
    </row>
    <row r="143" spans="1:16" s="185" customFormat="1">
      <c r="B143" s="206"/>
      <c r="C143" s="195"/>
      <c r="E143" s="186"/>
      <c r="F143" s="199"/>
    </row>
    <row r="144" spans="1:16" s="223" customFormat="1">
      <c r="A144" s="222" t="s">
        <v>899</v>
      </c>
      <c r="B144" s="222"/>
      <c r="C144" s="222"/>
      <c r="D144" s="222"/>
      <c r="E144" s="222" t="s">
        <v>899</v>
      </c>
      <c r="F144" s="222"/>
      <c r="G144" s="222"/>
      <c r="H144" s="222"/>
      <c r="I144" s="222"/>
      <c r="J144" s="222" t="s">
        <v>899</v>
      </c>
      <c r="K144" s="222"/>
      <c r="L144" s="222"/>
      <c r="M144" s="222"/>
      <c r="N144" s="222"/>
      <c r="P144" s="222" t="s">
        <v>899</v>
      </c>
    </row>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sheetData>
  <sheetProtection insertRows="0" deleteRows="0"/>
  <dataConsolidate/>
  <pageMargins left="0.70866141732283472" right="0.70866141732283472" top="0.74803149606299213" bottom="0.74803149606299213" header="0.31496062992125984" footer="0.31496062992125984"/>
  <pageSetup paperSize="8"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644E-ACBD-40A2-B6BA-C0201BB45319}">
  <sheetPr>
    <tabColor theme="4" tint="-0.499984740745262"/>
    <pageSetUpPr fitToPage="1"/>
  </sheetPr>
  <dimension ref="A1:F319"/>
  <sheetViews>
    <sheetView topLeftCell="B176" workbookViewId="0">
      <selection activeCell="D180" sqref="D180"/>
    </sheetView>
  </sheetViews>
  <sheetFormatPr baseColWidth="10" defaultColWidth="8.81640625" defaultRowHeight="10.5"/>
  <cols>
    <col min="1" max="1" width="40.81640625" style="82" customWidth="1"/>
    <col min="2" max="2" width="19.1796875" style="109" customWidth="1"/>
    <col min="3" max="3" width="43.81640625" style="92" customWidth="1"/>
    <col min="4" max="4" width="38" style="90" customWidth="1"/>
    <col min="5" max="5" width="99.81640625" style="91" customWidth="1"/>
    <col min="6" max="6" width="56.453125" style="91" customWidth="1"/>
    <col min="7" max="16384" width="8.81640625" style="92"/>
  </cols>
  <sheetData>
    <row r="1" spans="1:6" s="17" customFormat="1" ht="12">
      <c r="A1" s="18" t="s">
        <v>1721</v>
      </c>
      <c r="B1" s="135"/>
      <c r="C1" s="132" t="s">
        <v>1505</v>
      </c>
      <c r="D1" s="130" t="s">
        <v>1561</v>
      </c>
      <c r="E1" s="131"/>
    </row>
    <row r="2" spans="1:6" s="17" customFormat="1" ht="12">
      <c r="A2" s="18" t="s">
        <v>293</v>
      </c>
      <c r="B2" s="135"/>
      <c r="C2" s="133" t="s">
        <v>902</v>
      </c>
    </row>
    <row r="4" spans="1:6" ht="15.5">
      <c r="A4" s="80" t="s">
        <v>1218</v>
      </c>
      <c r="B4" s="110"/>
      <c r="C4" s="111"/>
      <c r="D4" s="81"/>
      <c r="E4" s="80"/>
      <c r="F4" s="80"/>
    </row>
    <row r="5" spans="1:6" ht="15.5">
      <c r="A5" s="115" t="s">
        <v>1401</v>
      </c>
      <c r="B5" s="112"/>
      <c r="C5" s="113"/>
      <c r="D5" s="116"/>
      <c r="E5" s="114"/>
      <c r="F5" s="114"/>
    </row>
    <row r="6" spans="1:6" ht="15.5">
      <c r="A6" s="115" t="s">
        <v>1402</v>
      </c>
      <c r="B6" s="112"/>
      <c r="C6" s="113"/>
      <c r="D6" s="116"/>
      <c r="E6" s="114"/>
      <c r="F6" s="114"/>
    </row>
    <row r="7" spans="1:6" ht="15.5">
      <c r="A7" s="115" t="s">
        <v>1403</v>
      </c>
      <c r="B7" s="112"/>
      <c r="C7" s="113"/>
      <c r="D7" s="116"/>
      <c r="E7" s="114"/>
      <c r="F7" s="114"/>
    </row>
    <row r="8" spans="1:6" ht="15.5">
      <c r="A8" s="115" t="s">
        <v>1555</v>
      </c>
      <c r="B8" s="112"/>
      <c r="C8" s="113"/>
      <c r="D8" s="116"/>
      <c r="E8" s="114"/>
      <c r="F8" s="114"/>
    </row>
    <row r="9" spans="1:6">
      <c r="A9" s="87"/>
      <c r="B9" s="88"/>
      <c r="C9" s="89"/>
    </row>
    <row r="10" spans="1:6">
      <c r="A10" s="83" t="s">
        <v>1219</v>
      </c>
      <c r="B10" s="84" t="s">
        <v>1410</v>
      </c>
      <c r="C10" s="83" t="s">
        <v>1220</v>
      </c>
      <c r="D10" s="85" t="s">
        <v>1491</v>
      </c>
      <c r="E10" s="86" t="s">
        <v>853</v>
      </c>
      <c r="F10" s="86" t="s">
        <v>1221</v>
      </c>
    </row>
    <row r="11" spans="1:6">
      <c r="A11" s="87"/>
      <c r="B11" s="88"/>
      <c r="C11" s="89"/>
    </row>
    <row r="12" spans="1:6">
      <c r="A12" s="83" t="s">
        <v>1222</v>
      </c>
      <c r="B12" s="93"/>
      <c r="C12" s="94"/>
      <c r="D12" s="95" t="s">
        <v>1585</v>
      </c>
      <c r="E12" s="96" t="s">
        <v>1223</v>
      </c>
      <c r="F12" s="97"/>
    </row>
    <row r="13" spans="1:6">
      <c r="A13" s="87" t="s">
        <v>665</v>
      </c>
      <c r="B13" s="98" t="s">
        <v>1411</v>
      </c>
      <c r="C13" s="89" t="s">
        <v>1224</v>
      </c>
      <c r="D13" s="90" t="s">
        <v>1585</v>
      </c>
      <c r="E13" s="91" t="s">
        <v>1225</v>
      </c>
    </row>
    <row r="14" spans="1:6">
      <c r="A14" s="87" t="s">
        <v>665</v>
      </c>
      <c r="B14" s="98" t="s">
        <v>1412</v>
      </c>
      <c r="C14" s="89" t="s">
        <v>1226</v>
      </c>
      <c r="D14" s="90" t="s">
        <v>1585</v>
      </c>
      <c r="E14" s="91" t="s">
        <v>1227</v>
      </c>
    </row>
    <row r="15" spans="1:6" ht="31.5">
      <c r="A15" s="87" t="s">
        <v>665</v>
      </c>
      <c r="B15" s="98" t="s">
        <v>1413</v>
      </c>
      <c r="C15" s="89" t="s">
        <v>1228</v>
      </c>
      <c r="D15" s="90" t="s">
        <v>1498</v>
      </c>
      <c r="E15" s="91" t="s">
        <v>1229</v>
      </c>
    </row>
    <row r="16" spans="1:6">
      <c r="A16" s="87"/>
      <c r="B16" s="88"/>
      <c r="C16" s="89"/>
    </row>
    <row r="17" spans="1:6">
      <c r="A17" s="83" t="s">
        <v>1230</v>
      </c>
      <c r="B17" s="93"/>
      <c r="C17" s="94"/>
      <c r="D17" s="95" t="s">
        <v>649</v>
      </c>
      <c r="E17" s="96" t="s">
        <v>1223</v>
      </c>
      <c r="F17" s="97"/>
    </row>
    <row r="18" spans="1:6">
      <c r="A18" s="87" t="s">
        <v>672</v>
      </c>
      <c r="B18" s="88">
        <v>1</v>
      </c>
      <c r="C18" s="89" t="s">
        <v>1418</v>
      </c>
      <c r="D18" s="90" t="s">
        <v>1585</v>
      </c>
      <c r="E18" s="91" t="s">
        <v>1445</v>
      </c>
    </row>
    <row r="19" spans="1:6" ht="21">
      <c r="A19" s="87" t="s">
        <v>672</v>
      </c>
      <c r="B19" s="88">
        <v>18</v>
      </c>
      <c r="C19" s="89" t="s">
        <v>669</v>
      </c>
      <c r="D19" s="90" t="s">
        <v>1585</v>
      </c>
      <c r="E19" s="91" t="s">
        <v>1231</v>
      </c>
    </row>
    <row r="20" spans="1:6" ht="21">
      <c r="A20" s="87" t="s">
        <v>672</v>
      </c>
      <c r="B20" s="88">
        <v>24</v>
      </c>
      <c r="C20" s="89" t="s">
        <v>1419</v>
      </c>
      <c r="D20" s="90" t="s">
        <v>1424</v>
      </c>
      <c r="E20" s="91" t="s">
        <v>1447</v>
      </c>
    </row>
    <row r="21" spans="1:6" ht="21">
      <c r="A21" s="87" t="s">
        <v>672</v>
      </c>
      <c r="B21" s="88">
        <v>25</v>
      </c>
      <c r="C21" s="89" t="s">
        <v>670</v>
      </c>
      <c r="D21" s="90" t="s">
        <v>1423</v>
      </c>
      <c r="E21" s="91" t="s">
        <v>1428</v>
      </c>
    </row>
    <row r="22" spans="1:6" ht="21">
      <c r="A22" s="87" t="s">
        <v>672</v>
      </c>
      <c r="B22" s="88" t="s">
        <v>1414</v>
      </c>
      <c r="C22" s="89" t="s">
        <v>671</v>
      </c>
      <c r="D22" s="90" t="s">
        <v>1589</v>
      </c>
      <c r="E22" s="91" t="s">
        <v>1611</v>
      </c>
    </row>
    <row r="23" spans="1:6">
      <c r="A23" s="87"/>
      <c r="B23" s="88"/>
      <c r="C23" s="89"/>
    </row>
    <row r="24" spans="1:6">
      <c r="A24" s="83" t="s">
        <v>1232</v>
      </c>
      <c r="B24" s="93"/>
      <c r="C24" s="94"/>
      <c r="D24" s="95" t="s">
        <v>649</v>
      </c>
      <c r="E24" s="96" t="s">
        <v>1223</v>
      </c>
      <c r="F24" s="97"/>
    </row>
    <row r="25" spans="1:6">
      <c r="A25" s="87" t="s">
        <v>674</v>
      </c>
      <c r="B25" s="88" t="s">
        <v>762</v>
      </c>
      <c r="C25" s="89" t="s">
        <v>1458</v>
      </c>
      <c r="D25" s="90" t="s">
        <v>1585</v>
      </c>
      <c r="E25" s="89" t="s">
        <v>1459</v>
      </c>
    </row>
    <row r="26" spans="1:6">
      <c r="A26" s="87" t="s">
        <v>674</v>
      </c>
      <c r="B26" s="88">
        <v>1</v>
      </c>
      <c r="C26" s="89" t="s">
        <v>1417</v>
      </c>
      <c r="D26" s="90" t="s">
        <v>1585</v>
      </c>
      <c r="E26" s="91" t="s">
        <v>1445</v>
      </c>
    </row>
    <row r="27" spans="1:6" ht="21">
      <c r="A27" s="87" t="s">
        <v>674</v>
      </c>
      <c r="B27" s="88">
        <v>17</v>
      </c>
      <c r="C27" s="89" t="s">
        <v>1233</v>
      </c>
      <c r="D27" s="90" t="s">
        <v>1585</v>
      </c>
      <c r="E27" s="91" t="s">
        <v>1427</v>
      </c>
    </row>
    <row r="28" spans="1:6" ht="21">
      <c r="A28" s="87" t="s">
        <v>674</v>
      </c>
      <c r="B28" s="88">
        <v>31</v>
      </c>
      <c r="C28" s="89" t="s">
        <v>1416</v>
      </c>
      <c r="D28" s="90" t="s">
        <v>1425</v>
      </c>
      <c r="E28" s="91" t="s">
        <v>1446</v>
      </c>
    </row>
    <row r="29" spans="1:6" ht="21">
      <c r="A29" s="87" t="s">
        <v>674</v>
      </c>
      <c r="B29" s="88">
        <v>32</v>
      </c>
      <c r="C29" s="89" t="s">
        <v>1234</v>
      </c>
      <c r="D29" s="90" t="s">
        <v>1426</v>
      </c>
      <c r="E29" s="91" t="s">
        <v>1429</v>
      </c>
    </row>
    <row r="30" spans="1:6">
      <c r="A30" s="87"/>
      <c r="B30" s="88"/>
      <c r="C30" s="89"/>
    </row>
    <row r="31" spans="1:6">
      <c r="A31" s="83" t="s">
        <v>1235</v>
      </c>
      <c r="B31" s="93"/>
      <c r="C31" s="94"/>
      <c r="D31" s="95" t="s">
        <v>649</v>
      </c>
      <c r="E31" s="96" t="s">
        <v>1223</v>
      </c>
      <c r="F31" s="97"/>
    </row>
    <row r="32" spans="1:6" ht="42">
      <c r="A32" s="87" t="s">
        <v>0</v>
      </c>
      <c r="B32" s="88">
        <v>4</v>
      </c>
      <c r="C32" s="89" t="s">
        <v>676</v>
      </c>
      <c r="D32" s="90" t="s">
        <v>1498</v>
      </c>
      <c r="E32" s="91" t="s">
        <v>1630</v>
      </c>
    </row>
    <row r="33" spans="1:6" ht="52.5">
      <c r="A33" s="87" t="s">
        <v>0</v>
      </c>
      <c r="B33" s="88">
        <v>5</v>
      </c>
      <c r="C33" s="89" t="s">
        <v>677</v>
      </c>
      <c r="D33" s="90" t="s">
        <v>1585</v>
      </c>
      <c r="E33" s="91" t="s">
        <v>1236</v>
      </c>
    </row>
    <row r="34" spans="1:6" ht="31.5">
      <c r="A34" s="87" t="s">
        <v>0</v>
      </c>
      <c r="B34" s="88">
        <v>6</v>
      </c>
      <c r="C34" s="89" t="s">
        <v>678</v>
      </c>
      <c r="D34" s="90" t="s">
        <v>1492</v>
      </c>
      <c r="E34" s="91" t="s">
        <v>1493</v>
      </c>
    </row>
    <row r="35" spans="1:6" ht="42">
      <c r="A35" s="87" t="s">
        <v>0</v>
      </c>
      <c r="B35" s="88">
        <v>7</v>
      </c>
      <c r="C35" s="89" t="s">
        <v>679</v>
      </c>
      <c r="D35" s="90" t="s">
        <v>1492</v>
      </c>
      <c r="E35" s="91" t="s">
        <v>1612</v>
      </c>
    </row>
    <row r="36" spans="1:6" ht="241.5">
      <c r="A36" s="87" t="s">
        <v>0</v>
      </c>
      <c r="B36" s="88">
        <v>8</v>
      </c>
      <c r="C36" s="89" t="s">
        <v>680</v>
      </c>
      <c r="D36" s="90" t="s">
        <v>1585</v>
      </c>
      <c r="E36" s="91" t="s">
        <v>1430</v>
      </c>
    </row>
    <row r="37" spans="1:6">
      <c r="A37" s="87" t="s">
        <v>0</v>
      </c>
      <c r="B37" s="88">
        <v>9</v>
      </c>
      <c r="C37" s="89" t="s">
        <v>681</v>
      </c>
      <c r="D37" s="90" t="s">
        <v>1585</v>
      </c>
      <c r="E37" s="91" t="s">
        <v>1237</v>
      </c>
    </row>
    <row r="38" spans="1:6">
      <c r="A38" s="87" t="s">
        <v>0</v>
      </c>
      <c r="B38" s="88">
        <v>10</v>
      </c>
      <c r="C38" s="89" t="s">
        <v>682</v>
      </c>
      <c r="D38" s="90" t="s">
        <v>1498</v>
      </c>
      <c r="E38" s="91" t="s">
        <v>1562</v>
      </c>
      <c r="F38" s="99"/>
    </row>
    <row r="39" spans="1:6">
      <c r="A39" s="87" t="s">
        <v>0</v>
      </c>
      <c r="B39" s="88">
        <v>11</v>
      </c>
      <c r="C39" s="89" t="s">
        <v>683</v>
      </c>
      <c r="D39" s="90" t="s">
        <v>1498</v>
      </c>
      <c r="E39" s="91" t="s">
        <v>1563</v>
      </c>
      <c r="F39" s="99"/>
    </row>
    <row r="40" spans="1:6" ht="63">
      <c r="A40" s="87" t="s">
        <v>0</v>
      </c>
      <c r="B40" s="88">
        <v>12</v>
      </c>
      <c r="C40" s="89" t="s">
        <v>684</v>
      </c>
      <c r="D40" s="90" t="s">
        <v>1238</v>
      </c>
      <c r="E40" s="91" t="s">
        <v>1431</v>
      </c>
      <c r="F40" s="99"/>
    </row>
    <row r="41" spans="1:6" ht="31.5">
      <c r="A41" s="87" t="s">
        <v>0</v>
      </c>
      <c r="B41" s="88">
        <v>13</v>
      </c>
      <c r="C41" s="89" t="s">
        <v>685</v>
      </c>
      <c r="D41" s="90" t="s">
        <v>1585</v>
      </c>
      <c r="E41" s="118" t="s">
        <v>1490</v>
      </c>
    </row>
    <row r="42" spans="1:6" ht="136.5">
      <c r="A42" s="87" t="s">
        <v>0</v>
      </c>
      <c r="B42" s="88">
        <v>16</v>
      </c>
      <c r="C42" s="89" t="s">
        <v>686</v>
      </c>
      <c r="D42" s="90" t="s">
        <v>1585</v>
      </c>
      <c r="E42" s="91" t="s">
        <v>1564</v>
      </c>
      <c r="F42" s="99" t="s">
        <v>1479</v>
      </c>
    </row>
    <row r="43" spans="1:6">
      <c r="A43" s="87" t="s">
        <v>0</v>
      </c>
      <c r="B43" s="88">
        <v>17</v>
      </c>
      <c r="C43" s="89" t="s">
        <v>687</v>
      </c>
      <c r="D43" s="90" t="s">
        <v>1585</v>
      </c>
      <c r="E43" s="91" t="s">
        <v>1239</v>
      </c>
    </row>
    <row r="44" spans="1:6" ht="21">
      <c r="A44" s="87" t="s">
        <v>0</v>
      </c>
      <c r="B44" s="88">
        <v>19</v>
      </c>
      <c r="C44" s="89" t="s">
        <v>688</v>
      </c>
      <c r="D44" s="90" t="s">
        <v>1585</v>
      </c>
      <c r="E44" s="91" t="s">
        <v>1240</v>
      </c>
    </row>
    <row r="45" spans="1:6" ht="52.5">
      <c r="A45" s="87" t="s">
        <v>0</v>
      </c>
      <c r="B45" s="88">
        <v>20</v>
      </c>
      <c r="C45" s="89" t="s">
        <v>689</v>
      </c>
      <c r="D45" s="90" t="s">
        <v>1492</v>
      </c>
      <c r="E45" s="91" t="s">
        <v>1494</v>
      </c>
    </row>
    <row r="46" spans="1:6" ht="42">
      <c r="A46" s="87" t="s">
        <v>0</v>
      </c>
      <c r="B46" s="88">
        <v>21</v>
      </c>
      <c r="C46" s="89" t="s">
        <v>690</v>
      </c>
      <c r="D46" s="90" t="s">
        <v>1585</v>
      </c>
      <c r="E46" s="91" t="s">
        <v>1241</v>
      </c>
    </row>
    <row r="47" spans="1:6" ht="52.5">
      <c r="A47" s="87" t="s">
        <v>0</v>
      </c>
      <c r="B47" s="88">
        <v>22</v>
      </c>
      <c r="C47" s="89" t="s">
        <v>691</v>
      </c>
      <c r="D47" s="90" t="s">
        <v>1466</v>
      </c>
      <c r="E47" s="117" t="s">
        <v>1249</v>
      </c>
    </row>
    <row r="48" spans="1:6">
      <c r="A48" s="87" t="s">
        <v>0</v>
      </c>
      <c r="B48" s="88">
        <v>23</v>
      </c>
      <c r="C48" s="89" t="s">
        <v>692</v>
      </c>
      <c r="D48" s="90" t="s">
        <v>586</v>
      </c>
      <c r="E48" s="117" t="s">
        <v>1524</v>
      </c>
    </row>
    <row r="50" spans="1:6">
      <c r="A50" s="83" t="s">
        <v>1242</v>
      </c>
      <c r="B50" s="100"/>
      <c r="C50" s="101"/>
      <c r="D50" s="95" t="s">
        <v>649</v>
      </c>
      <c r="E50" s="96" t="s">
        <v>1223</v>
      </c>
      <c r="F50" s="102"/>
    </row>
    <row r="51" spans="1:6">
      <c r="A51" s="87" t="s">
        <v>267</v>
      </c>
      <c r="B51" s="88" t="s">
        <v>762</v>
      </c>
      <c r="C51" s="89" t="s">
        <v>1458</v>
      </c>
      <c r="D51" s="90" t="s">
        <v>1585</v>
      </c>
      <c r="E51" s="89" t="s">
        <v>1459</v>
      </c>
    </row>
    <row r="52" spans="1:6" ht="52.5">
      <c r="A52" s="87" t="s">
        <v>267</v>
      </c>
      <c r="B52" s="88">
        <v>4</v>
      </c>
      <c r="C52" s="89" t="s">
        <v>676</v>
      </c>
      <c r="D52" s="90" t="s">
        <v>1498</v>
      </c>
      <c r="E52" s="118" t="s">
        <v>1631</v>
      </c>
      <c r="F52" s="91" t="s">
        <v>1243</v>
      </c>
    </row>
    <row r="53" spans="1:6" ht="126">
      <c r="A53" s="87" t="s">
        <v>267</v>
      </c>
      <c r="B53" s="88">
        <v>5</v>
      </c>
      <c r="C53" s="89" t="s">
        <v>694</v>
      </c>
      <c r="D53" s="90" t="s">
        <v>1585</v>
      </c>
      <c r="E53" s="118" t="s">
        <v>1244</v>
      </c>
      <c r="F53" s="91" t="s">
        <v>1480</v>
      </c>
    </row>
    <row r="54" spans="1:6" ht="31.5">
      <c r="A54" s="87" t="s">
        <v>267</v>
      </c>
      <c r="B54" s="88">
        <v>6</v>
      </c>
      <c r="C54" s="89" t="s">
        <v>678</v>
      </c>
      <c r="D54" s="90" t="s">
        <v>1492</v>
      </c>
      <c r="E54" s="118" t="s">
        <v>1496</v>
      </c>
    </row>
    <row r="55" spans="1:6" ht="31.5">
      <c r="A55" s="87" t="s">
        <v>267</v>
      </c>
      <c r="B55" s="88">
        <v>7</v>
      </c>
      <c r="C55" s="89" t="s">
        <v>679</v>
      </c>
      <c r="D55" s="90" t="s">
        <v>1492</v>
      </c>
      <c r="E55" s="91" t="s">
        <v>1579</v>
      </c>
    </row>
    <row r="56" spans="1:6" ht="241.5">
      <c r="A56" s="87" t="s">
        <v>267</v>
      </c>
      <c r="B56" s="88">
        <v>8</v>
      </c>
      <c r="C56" s="89" t="s">
        <v>680</v>
      </c>
      <c r="D56" s="90" t="s">
        <v>1585</v>
      </c>
      <c r="E56" s="91" t="s">
        <v>1430</v>
      </c>
    </row>
    <row r="57" spans="1:6" ht="31.5">
      <c r="A57" s="87" t="s">
        <v>267</v>
      </c>
      <c r="B57" s="88">
        <v>9</v>
      </c>
      <c r="C57" s="89" t="s">
        <v>681</v>
      </c>
      <c r="D57" s="90" t="s">
        <v>1492</v>
      </c>
      <c r="E57" s="91" t="s">
        <v>1614</v>
      </c>
    </row>
    <row r="58" spans="1:6">
      <c r="A58" s="87" t="s">
        <v>267</v>
      </c>
      <c r="B58" s="88">
        <v>10</v>
      </c>
      <c r="C58" s="89" t="s">
        <v>695</v>
      </c>
      <c r="D58" s="90" t="s">
        <v>1498</v>
      </c>
      <c r="E58" s="118" t="s">
        <v>1565</v>
      </c>
    </row>
    <row r="59" spans="1:6">
      <c r="A59" s="87" t="s">
        <v>267</v>
      </c>
      <c r="B59" s="88">
        <v>11</v>
      </c>
      <c r="C59" s="89" t="s">
        <v>696</v>
      </c>
      <c r="D59" s="90" t="s">
        <v>1498</v>
      </c>
      <c r="E59" s="118" t="s">
        <v>1566</v>
      </c>
    </row>
    <row r="60" spans="1:6" ht="73.5">
      <c r="A60" s="87" t="s">
        <v>267</v>
      </c>
      <c r="B60" s="88">
        <v>12</v>
      </c>
      <c r="C60" s="89" t="s">
        <v>697</v>
      </c>
      <c r="D60" s="90" t="s">
        <v>1245</v>
      </c>
      <c r="E60" s="118" t="s">
        <v>1432</v>
      </c>
    </row>
    <row r="61" spans="1:6" ht="31.5">
      <c r="A61" s="87" t="s">
        <v>267</v>
      </c>
      <c r="B61" s="88">
        <v>13</v>
      </c>
      <c r="C61" s="89" t="s">
        <v>698</v>
      </c>
      <c r="D61" s="90" t="s">
        <v>1585</v>
      </c>
      <c r="E61" s="137" t="s">
        <v>1246</v>
      </c>
    </row>
    <row r="62" spans="1:6" ht="21">
      <c r="A62" s="87" t="s">
        <v>267</v>
      </c>
      <c r="B62" s="88">
        <v>18</v>
      </c>
      <c r="C62" s="89" t="s">
        <v>699</v>
      </c>
      <c r="D62" s="90" t="s">
        <v>1585</v>
      </c>
      <c r="E62" s="118" t="s">
        <v>1247</v>
      </c>
    </row>
    <row r="63" spans="1:6" ht="52.5">
      <c r="A63" s="87" t="s">
        <v>267</v>
      </c>
      <c r="B63" s="88">
        <v>19</v>
      </c>
      <c r="C63" s="89" t="s">
        <v>700</v>
      </c>
      <c r="D63" s="90" t="s">
        <v>1492</v>
      </c>
      <c r="E63" s="118" t="s">
        <v>1495</v>
      </c>
    </row>
    <row r="64" spans="1:6" ht="31.5">
      <c r="A64" s="87" t="s">
        <v>267</v>
      </c>
      <c r="B64" s="88">
        <v>20</v>
      </c>
      <c r="C64" s="89" t="s">
        <v>701</v>
      </c>
      <c r="D64" s="90" t="s">
        <v>1585</v>
      </c>
      <c r="E64" s="118" t="s">
        <v>1567</v>
      </c>
      <c r="F64" s="99" t="s">
        <v>1479</v>
      </c>
    </row>
    <row r="65" spans="1:5" ht="52.5">
      <c r="A65" s="87" t="s">
        <v>267</v>
      </c>
      <c r="B65" s="88">
        <v>21</v>
      </c>
      <c r="C65" s="89" t="s">
        <v>702</v>
      </c>
      <c r="D65" s="90" t="s">
        <v>1589</v>
      </c>
      <c r="E65" s="118" t="s">
        <v>1629</v>
      </c>
    </row>
    <row r="66" spans="1:5" ht="21">
      <c r="A66" s="87" t="s">
        <v>267</v>
      </c>
      <c r="B66" s="88">
        <v>22</v>
      </c>
      <c r="C66" s="89" t="s">
        <v>703</v>
      </c>
      <c r="D66" s="90" t="s">
        <v>1585</v>
      </c>
      <c r="E66" s="118" t="s">
        <v>1433</v>
      </c>
    </row>
    <row r="67" spans="1:5" ht="31.5">
      <c r="A67" s="87" t="s">
        <v>267</v>
      </c>
      <c r="B67" s="88">
        <v>23</v>
      </c>
      <c r="C67" s="89" t="s">
        <v>704</v>
      </c>
      <c r="D67" s="90" t="s">
        <v>1585</v>
      </c>
      <c r="E67" s="118" t="s">
        <v>1248</v>
      </c>
    </row>
    <row r="68" spans="1:5" ht="52.5">
      <c r="A68" s="87" t="s">
        <v>267</v>
      </c>
      <c r="B68" s="88">
        <v>24</v>
      </c>
      <c r="C68" s="89" t="s">
        <v>705</v>
      </c>
      <c r="D68" s="90" t="s">
        <v>1466</v>
      </c>
      <c r="E68" s="119" t="s">
        <v>1249</v>
      </c>
    </row>
    <row r="69" spans="1:5">
      <c r="A69" s="87" t="s">
        <v>267</v>
      </c>
      <c r="B69" s="88">
        <v>25</v>
      </c>
      <c r="C69" s="89" t="s">
        <v>706</v>
      </c>
      <c r="D69" s="90" t="s">
        <v>1498</v>
      </c>
      <c r="E69" s="119" t="s">
        <v>1250</v>
      </c>
    </row>
    <row r="70" spans="1:5">
      <c r="A70" s="87" t="s">
        <v>267</v>
      </c>
      <c r="B70" s="88">
        <v>26</v>
      </c>
      <c r="C70" s="89" t="s">
        <v>707</v>
      </c>
      <c r="D70" s="90" t="s">
        <v>1498</v>
      </c>
      <c r="E70" s="119" t="s">
        <v>1251</v>
      </c>
    </row>
    <row r="71" spans="1:5">
      <c r="A71" s="87" t="s">
        <v>267</v>
      </c>
      <c r="B71" s="88">
        <v>27</v>
      </c>
      <c r="C71" s="89" t="s">
        <v>708</v>
      </c>
      <c r="D71" s="90" t="s">
        <v>1498</v>
      </c>
      <c r="E71" s="119" t="s">
        <v>1252</v>
      </c>
    </row>
    <row r="72" spans="1:5">
      <c r="A72" s="87" t="s">
        <v>267</v>
      </c>
      <c r="B72" s="88">
        <v>28</v>
      </c>
      <c r="C72" s="89" t="s">
        <v>709</v>
      </c>
      <c r="D72" s="90" t="s">
        <v>1498</v>
      </c>
      <c r="E72" s="119" t="s">
        <v>1253</v>
      </c>
    </row>
    <row r="73" spans="1:5">
      <c r="A73" s="87" t="s">
        <v>267</v>
      </c>
      <c r="B73" s="88">
        <v>29</v>
      </c>
      <c r="C73" s="89" t="s">
        <v>710</v>
      </c>
      <c r="D73" s="90" t="s">
        <v>1498</v>
      </c>
      <c r="E73" s="119" t="s">
        <v>1254</v>
      </c>
    </row>
    <row r="74" spans="1:5">
      <c r="A74" s="87" t="s">
        <v>267</v>
      </c>
      <c r="B74" s="88">
        <v>30</v>
      </c>
      <c r="C74" s="89" t="s">
        <v>711</v>
      </c>
      <c r="D74" s="90" t="s">
        <v>1498</v>
      </c>
      <c r="E74" s="119" t="s">
        <v>1255</v>
      </c>
    </row>
    <row r="75" spans="1:5" ht="42">
      <c r="A75" s="87" t="s">
        <v>267</v>
      </c>
      <c r="B75" s="88">
        <v>41</v>
      </c>
      <c r="C75" s="89" t="s">
        <v>712</v>
      </c>
      <c r="D75" s="90" t="s">
        <v>1498</v>
      </c>
      <c r="E75" s="118" t="s">
        <v>1628</v>
      </c>
    </row>
    <row r="76" spans="1:5" ht="21">
      <c r="A76" s="87" t="s">
        <v>267</v>
      </c>
      <c r="B76" s="88">
        <v>49</v>
      </c>
      <c r="C76" s="89" t="s">
        <v>713</v>
      </c>
      <c r="D76" s="90" t="s">
        <v>649</v>
      </c>
      <c r="E76" s="118" t="s">
        <v>1256</v>
      </c>
    </row>
    <row r="77" spans="1:5" ht="31.5">
      <c r="A77" s="87" t="s">
        <v>267</v>
      </c>
      <c r="B77" s="88">
        <v>48</v>
      </c>
      <c r="C77" s="89" t="s">
        <v>714</v>
      </c>
      <c r="D77" s="90" t="s">
        <v>1498</v>
      </c>
      <c r="E77" s="118" t="s">
        <v>1499</v>
      </c>
    </row>
    <row r="78" spans="1:5" ht="31.5">
      <c r="A78" s="87" t="s">
        <v>267</v>
      </c>
      <c r="B78" s="88">
        <v>53</v>
      </c>
      <c r="C78" s="89" t="s">
        <v>1257</v>
      </c>
      <c r="D78" s="90" t="s">
        <v>1498</v>
      </c>
      <c r="E78" s="134" t="s">
        <v>1500</v>
      </c>
    </row>
    <row r="79" spans="1:5">
      <c r="A79" s="87" t="s">
        <v>267</v>
      </c>
      <c r="B79" s="88">
        <v>54</v>
      </c>
      <c r="C79" s="89" t="s">
        <v>716</v>
      </c>
      <c r="D79" s="90" t="s">
        <v>1498</v>
      </c>
      <c r="E79" s="118" t="s">
        <v>1258</v>
      </c>
    </row>
    <row r="80" spans="1:5">
      <c r="A80" s="87" t="s">
        <v>267</v>
      </c>
      <c r="B80" s="88">
        <v>55</v>
      </c>
      <c r="C80" s="89" t="s">
        <v>717</v>
      </c>
      <c r="D80" s="90" t="s">
        <v>1498</v>
      </c>
      <c r="E80" s="118" t="s">
        <v>1259</v>
      </c>
    </row>
    <row r="81" spans="1:6">
      <c r="A81" s="87" t="s">
        <v>267</v>
      </c>
      <c r="B81" s="88">
        <v>56</v>
      </c>
      <c r="C81" s="89" t="s">
        <v>718</v>
      </c>
      <c r="D81" s="90" t="s">
        <v>1498</v>
      </c>
      <c r="E81" s="118" t="s">
        <v>1260</v>
      </c>
    </row>
    <row r="82" spans="1:6" ht="45" customHeight="1">
      <c r="A82" s="87" t="s">
        <v>267</v>
      </c>
      <c r="B82" s="88">
        <v>62</v>
      </c>
      <c r="C82" s="89" t="s">
        <v>719</v>
      </c>
      <c r="D82" s="90" t="s">
        <v>1498</v>
      </c>
      <c r="E82" s="118" t="s">
        <v>1677</v>
      </c>
    </row>
    <row r="83" spans="1:6" ht="48.65" customHeight="1">
      <c r="A83" s="87" t="s">
        <v>267</v>
      </c>
      <c r="B83" s="88">
        <v>63</v>
      </c>
      <c r="C83" s="89" t="s">
        <v>720</v>
      </c>
      <c r="D83" s="90" t="s">
        <v>1498</v>
      </c>
      <c r="E83" s="118" t="s">
        <v>1678</v>
      </c>
    </row>
    <row r="84" spans="1:6" ht="94.5">
      <c r="A84" s="87" t="s">
        <v>267</v>
      </c>
      <c r="B84" s="88">
        <v>113</v>
      </c>
      <c r="C84" s="89" t="s">
        <v>1261</v>
      </c>
      <c r="D84" s="90" t="s">
        <v>1672</v>
      </c>
      <c r="E84" s="118" t="s">
        <v>1673</v>
      </c>
      <c r="F84" s="99" t="s">
        <v>1481</v>
      </c>
    </row>
    <row r="85" spans="1:6" ht="31.5">
      <c r="A85" s="87" t="s">
        <v>267</v>
      </c>
      <c r="B85" s="88">
        <v>118</v>
      </c>
      <c r="C85" s="89" t="s">
        <v>722</v>
      </c>
      <c r="D85" s="90" t="s">
        <v>1585</v>
      </c>
      <c r="E85" s="91" t="s">
        <v>1457</v>
      </c>
    </row>
    <row r="86" spans="1:6" ht="52.5">
      <c r="A86" s="87" t="s">
        <v>267</v>
      </c>
      <c r="B86" s="88">
        <v>137</v>
      </c>
      <c r="C86" s="89" t="s">
        <v>723</v>
      </c>
      <c r="D86" s="90" t="s">
        <v>1467</v>
      </c>
      <c r="E86" s="118" t="s">
        <v>1434</v>
      </c>
      <c r="F86" s="91" t="s">
        <v>1435</v>
      </c>
    </row>
    <row r="87" spans="1:6" ht="31.5">
      <c r="A87" s="87" t="s">
        <v>267</v>
      </c>
      <c r="B87" s="88">
        <v>120</v>
      </c>
      <c r="C87" s="89" t="s">
        <v>903</v>
      </c>
      <c r="D87" s="90" t="s">
        <v>1469</v>
      </c>
      <c r="E87" s="91" t="s">
        <v>1470</v>
      </c>
    </row>
    <row r="88" spans="1:6" ht="42">
      <c r="A88" s="87" t="s">
        <v>267</v>
      </c>
      <c r="B88" s="88">
        <v>218</v>
      </c>
      <c r="C88" s="89" t="s">
        <v>904</v>
      </c>
      <c r="D88" s="90" t="s">
        <v>1467</v>
      </c>
      <c r="E88" s="91" t="s">
        <v>1468</v>
      </c>
    </row>
    <row r="89" spans="1:6">
      <c r="A89" s="87"/>
      <c r="B89" s="88"/>
      <c r="C89" s="89"/>
    </row>
    <row r="90" spans="1:6">
      <c r="A90" s="83" t="s">
        <v>1263</v>
      </c>
      <c r="B90" s="93"/>
      <c r="C90" s="94"/>
      <c r="D90" s="95" t="s">
        <v>589</v>
      </c>
      <c r="E90" s="96" t="s">
        <v>1223</v>
      </c>
      <c r="F90" s="97"/>
    </row>
    <row r="91" spans="1:6">
      <c r="A91" s="87" t="s">
        <v>268</v>
      </c>
      <c r="B91" s="88" t="s">
        <v>762</v>
      </c>
      <c r="C91" s="89" t="s">
        <v>1458</v>
      </c>
      <c r="D91" s="90" t="s">
        <v>1585</v>
      </c>
      <c r="E91" s="89" t="s">
        <v>1460</v>
      </c>
    </row>
    <row r="92" spans="1:6" ht="31.5">
      <c r="A92" s="87" t="s">
        <v>268</v>
      </c>
      <c r="B92" s="88">
        <v>6</v>
      </c>
      <c r="C92" s="89" t="s">
        <v>678</v>
      </c>
      <c r="D92" s="90" t="s">
        <v>1492</v>
      </c>
      <c r="E92" s="118" t="s">
        <v>1496</v>
      </c>
    </row>
    <row r="93" spans="1:6" ht="31.5">
      <c r="A93" s="87" t="s">
        <v>268</v>
      </c>
      <c r="B93" s="88">
        <v>7</v>
      </c>
      <c r="C93" s="89" t="s">
        <v>679</v>
      </c>
      <c r="D93" s="90" t="s">
        <v>1492</v>
      </c>
      <c r="E93" s="91" t="s">
        <v>1579</v>
      </c>
    </row>
    <row r="94" spans="1:6" ht="262.5">
      <c r="A94" s="87" t="s">
        <v>268</v>
      </c>
      <c r="B94" s="88">
        <v>8</v>
      </c>
      <c r="C94" s="89" t="s">
        <v>680</v>
      </c>
      <c r="D94" s="90" t="s">
        <v>1492</v>
      </c>
      <c r="E94" s="91" t="s">
        <v>1616</v>
      </c>
    </row>
    <row r="95" spans="1:6" ht="31.5">
      <c r="A95" s="87" t="s">
        <v>268</v>
      </c>
      <c r="B95" s="88">
        <v>9</v>
      </c>
      <c r="C95" s="89" t="s">
        <v>681</v>
      </c>
      <c r="D95" s="90" t="s">
        <v>1492</v>
      </c>
      <c r="E95" s="91" t="s">
        <v>1614</v>
      </c>
    </row>
    <row r="96" spans="1:6" ht="21">
      <c r="A96" s="87" t="s">
        <v>268</v>
      </c>
      <c r="B96" s="88">
        <v>49</v>
      </c>
      <c r="C96" s="89" t="s">
        <v>713</v>
      </c>
      <c r="D96" s="90" t="s">
        <v>1585</v>
      </c>
      <c r="E96" s="91" t="s">
        <v>1256</v>
      </c>
    </row>
    <row r="97" spans="1:6" ht="31.5">
      <c r="A97" s="87" t="s">
        <v>268</v>
      </c>
      <c r="B97" s="88">
        <v>48</v>
      </c>
      <c r="C97" s="89" t="s">
        <v>714</v>
      </c>
      <c r="D97" s="90" t="s">
        <v>1498</v>
      </c>
      <c r="E97" s="118" t="s">
        <v>1501</v>
      </c>
    </row>
    <row r="98" spans="1:6">
      <c r="A98" s="87"/>
      <c r="B98" s="103"/>
      <c r="C98" s="89"/>
    </row>
    <row r="99" spans="1:6">
      <c r="A99" s="83" t="s">
        <v>1264</v>
      </c>
      <c r="B99" s="93"/>
      <c r="C99" s="94"/>
      <c r="D99" s="95" t="s">
        <v>586</v>
      </c>
      <c r="E99" s="96" t="s">
        <v>1223</v>
      </c>
      <c r="F99" s="97"/>
    </row>
    <row r="100" spans="1:6">
      <c r="A100" s="87" t="s">
        <v>269</v>
      </c>
      <c r="B100" s="88">
        <v>14</v>
      </c>
      <c r="C100" s="89" t="s">
        <v>871</v>
      </c>
      <c r="D100" s="90" t="s">
        <v>1585</v>
      </c>
      <c r="E100" s="91" t="s">
        <v>1265</v>
      </c>
    </row>
    <row r="101" spans="1:6">
      <c r="A101" s="87" t="s">
        <v>269</v>
      </c>
      <c r="B101" s="88">
        <v>15</v>
      </c>
      <c r="C101" s="89" t="s">
        <v>1266</v>
      </c>
      <c r="D101" s="90" t="s">
        <v>1585</v>
      </c>
      <c r="E101" s="91" t="s">
        <v>1267</v>
      </c>
    </row>
    <row r="102" spans="1:6">
      <c r="A102" s="87"/>
      <c r="B102" s="88"/>
      <c r="C102" s="89"/>
    </row>
    <row r="103" spans="1:6">
      <c r="A103" s="83" t="s">
        <v>1268</v>
      </c>
      <c r="B103" s="93"/>
      <c r="C103" s="94"/>
      <c r="D103" s="95" t="s">
        <v>586</v>
      </c>
      <c r="E103" s="96" t="s">
        <v>1223</v>
      </c>
      <c r="F103" s="97"/>
    </row>
    <row r="104" spans="1:6">
      <c r="A104" s="87" t="s">
        <v>270</v>
      </c>
      <c r="B104" s="88" t="s">
        <v>762</v>
      </c>
      <c r="C104" s="89" t="s">
        <v>1458</v>
      </c>
      <c r="D104" s="90" t="s">
        <v>1585</v>
      </c>
      <c r="E104" s="89" t="s">
        <v>1459</v>
      </c>
    </row>
    <row r="105" spans="1:6">
      <c r="A105" s="87" t="s">
        <v>270</v>
      </c>
      <c r="B105" s="88">
        <v>14</v>
      </c>
      <c r="C105" s="89" t="s">
        <v>871</v>
      </c>
      <c r="D105" s="90" t="s">
        <v>1585</v>
      </c>
      <c r="E105" s="91" t="s">
        <v>1265</v>
      </c>
    </row>
    <row r="106" spans="1:6">
      <c r="A106" s="87" t="s">
        <v>270</v>
      </c>
      <c r="B106" s="88">
        <v>15</v>
      </c>
      <c r="C106" s="89" t="s">
        <v>1266</v>
      </c>
      <c r="D106" s="90" t="s">
        <v>1585</v>
      </c>
      <c r="E106" s="91" t="s">
        <v>1267</v>
      </c>
    </row>
    <row r="107" spans="1:6">
      <c r="A107" s="87"/>
      <c r="B107" s="88"/>
      <c r="C107" s="89"/>
    </row>
    <row r="108" spans="1:6">
      <c r="A108" s="83" t="s">
        <v>1269</v>
      </c>
      <c r="B108" s="93"/>
      <c r="C108" s="94"/>
      <c r="D108" s="95" t="s">
        <v>649</v>
      </c>
      <c r="E108" s="96" t="s">
        <v>1223</v>
      </c>
      <c r="F108" s="97"/>
    </row>
    <row r="109" spans="1:6">
      <c r="A109" s="87" t="s">
        <v>271</v>
      </c>
      <c r="B109" s="88" t="s">
        <v>762</v>
      </c>
      <c r="C109" s="89" t="s">
        <v>1458</v>
      </c>
      <c r="D109" s="90" t="s">
        <v>1585</v>
      </c>
      <c r="E109" s="89" t="s">
        <v>1459</v>
      </c>
    </row>
    <row r="110" spans="1:6">
      <c r="A110" s="87" t="s">
        <v>271</v>
      </c>
      <c r="B110" s="88">
        <v>65</v>
      </c>
      <c r="C110" s="89" t="s">
        <v>725</v>
      </c>
      <c r="D110" s="90" t="s">
        <v>1585</v>
      </c>
      <c r="E110" s="91" t="s">
        <v>1270</v>
      </c>
      <c r="F110" s="99" t="s">
        <v>1482</v>
      </c>
    </row>
    <row r="111" spans="1:6" ht="63">
      <c r="A111" s="87" t="s">
        <v>271</v>
      </c>
      <c r="B111" s="88">
        <v>66</v>
      </c>
      <c r="C111" s="89" t="s">
        <v>726</v>
      </c>
      <c r="D111" s="90" t="s">
        <v>1492</v>
      </c>
      <c r="E111" s="91" t="s">
        <v>1497</v>
      </c>
    </row>
    <row r="112" spans="1:6" ht="21">
      <c r="A112" s="87" t="s">
        <v>271</v>
      </c>
      <c r="B112" s="88">
        <v>67</v>
      </c>
      <c r="C112" s="89" t="s">
        <v>727</v>
      </c>
      <c r="D112" s="90" t="s">
        <v>1585</v>
      </c>
      <c r="E112" s="91" t="s">
        <v>1271</v>
      </c>
    </row>
    <row r="113" spans="1:6">
      <c r="A113" s="87" t="s">
        <v>271</v>
      </c>
      <c r="B113" s="88">
        <v>68</v>
      </c>
      <c r="C113" s="89" t="s">
        <v>728</v>
      </c>
      <c r="D113" s="90" t="s">
        <v>1498</v>
      </c>
      <c r="E113" s="91" t="s">
        <v>1580</v>
      </c>
    </row>
    <row r="114" spans="1:6" ht="42">
      <c r="A114" s="87" t="s">
        <v>271</v>
      </c>
      <c r="B114" s="88" t="s">
        <v>1272</v>
      </c>
      <c r="C114" s="89" t="s">
        <v>1584</v>
      </c>
      <c r="D114" s="90" t="s">
        <v>1585</v>
      </c>
      <c r="E114" s="91" t="s">
        <v>1583</v>
      </c>
    </row>
    <row r="115" spans="1:6" ht="52.5">
      <c r="A115" s="87" t="s">
        <v>271</v>
      </c>
      <c r="B115" s="88" t="s">
        <v>1273</v>
      </c>
      <c r="C115" s="89" t="s">
        <v>1576</v>
      </c>
      <c r="D115" s="90" t="s">
        <v>1578</v>
      </c>
      <c r="E115" s="91" t="s">
        <v>1577</v>
      </c>
    </row>
    <row r="116" spans="1:6" ht="42">
      <c r="A116" s="87" t="s">
        <v>271</v>
      </c>
      <c r="B116" s="88">
        <v>70</v>
      </c>
      <c r="C116" s="89" t="s">
        <v>731</v>
      </c>
      <c r="D116" s="90" t="s">
        <v>1498</v>
      </c>
      <c r="E116" s="91" t="s">
        <v>1582</v>
      </c>
    </row>
    <row r="117" spans="1:6" ht="31.5">
      <c r="A117" s="87" t="s">
        <v>271</v>
      </c>
      <c r="B117" s="88">
        <v>71</v>
      </c>
      <c r="C117" s="89" t="s">
        <v>732</v>
      </c>
      <c r="D117" s="90" t="s">
        <v>1581</v>
      </c>
      <c r="E117" s="91" t="s">
        <v>1275</v>
      </c>
    </row>
    <row r="118" spans="1:6" ht="31.5">
      <c r="A118" s="87" t="s">
        <v>271</v>
      </c>
      <c r="B118" s="88">
        <v>72</v>
      </c>
      <c r="C118" s="89" t="s">
        <v>733</v>
      </c>
      <c r="D118" s="90" t="s">
        <v>1527</v>
      </c>
      <c r="E118" s="91" t="s">
        <v>1530</v>
      </c>
    </row>
    <row r="119" spans="1:6" ht="31.5">
      <c r="A119" s="87" t="s">
        <v>271</v>
      </c>
      <c r="B119" s="88">
        <v>73</v>
      </c>
      <c r="C119" s="89" t="s">
        <v>1573</v>
      </c>
      <c r="D119" s="90" t="s">
        <v>1581</v>
      </c>
      <c r="E119" s="91" t="s">
        <v>1572</v>
      </c>
    </row>
    <row r="120" spans="1:6" ht="31.5">
      <c r="A120" s="87" t="s">
        <v>271</v>
      </c>
      <c r="B120" s="88">
        <v>74</v>
      </c>
      <c r="C120" s="89" t="s">
        <v>734</v>
      </c>
      <c r="D120" s="90" t="s">
        <v>1527</v>
      </c>
      <c r="E120" s="91" t="s">
        <v>1528</v>
      </c>
    </row>
    <row r="121" spans="1:6" ht="31.5">
      <c r="A121" s="87" t="s">
        <v>271</v>
      </c>
      <c r="B121" s="88">
        <v>75</v>
      </c>
      <c r="C121" s="89" t="s">
        <v>735</v>
      </c>
      <c r="D121" s="90" t="s">
        <v>1585</v>
      </c>
      <c r="E121" s="91" t="s">
        <v>1276</v>
      </c>
    </row>
    <row r="122" spans="1:6" ht="21">
      <c r="A122" s="87" t="s">
        <v>271</v>
      </c>
      <c r="B122" s="88">
        <v>76</v>
      </c>
      <c r="C122" s="89" t="s">
        <v>1277</v>
      </c>
      <c r="D122" s="90" t="s">
        <v>1585</v>
      </c>
      <c r="E122" s="91" t="s">
        <v>1531</v>
      </c>
      <c r="F122" s="91" t="s">
        <v>1278</v>
      </c>
    </row>
    <row r="123" spans="1:6" ht="21">
      <c r="A123" s="87" t="s">
        <v>271</v>
      </c>
      <c r="B123" s="88" t="s">
        <v>1408</v>
      </c>
      <c r="C123" s="89" t="s">
        <v>1405</v>
      </c>
      <c r="D123" s="90" t="s">
        <v>1498</v>
      </c>
      <c r="E123" s="91" t="s">
        <v>1529</v>
      </c>
      <c r="F123" s="91" t="s">
        <v>1279</v>
      </c>
    </row>
    <row r="124" spans="1:6" ht="31.5">
      <c r="A124" s="87" t="s">
        <v>271</v>
      </c>
      <c r="B124" s="88">
        <v>77</v>
      </c>
      <c r="C124" s="89" t="s">
        <v>736</v>
      </c>
      <c r="D124" s="90" t="s">
        <v>1280</v>
      </c>
      <c r="E124" s="91" t="s">
        <v>1281</v>
      </c>
    </row>
    <row r="125" spans="1:6" ht="21">
      <c r="A125" s="87" t="s">
        <v>271</v>
      </c>
      <c r="B125" s="88" t="s">
        <v>1409</v>
      </c>
      <c r="C125" s="89" t="s">
        <v>1422</v>
      </c>
      <c r="D125" s="90" t="s">
        <v>1699</v>
      </c>
      <c r="E125" s="91" t="s">
        <v>1282</v>
      </c>
      <c r="F125" s="91" t="s">
        <v>1283</v>
      </c>
    </row>
    <row r="126" spans="1:6" ht="21">
      <c r="A126" s="87" t="s">
        <v>271</v>
      </c>
      <c r="B126" s="104" t="s">
        <v>1284</v>
      </c>
      <c r="C126" s="89" t="s">
        <v>737</v>
      </c>
      <c r="D126" s="90" t="s">
        <v>1498</v>
      </c>
      <c r="E126" s="91" t="s">
        <v>1703</v>
      </c>
    </row>
    <row r="127" spans="1:6" ht="63">
      <c r="A127" s="87" t="s">
        <v>271</v>
      </c>
      <c r="B127" s="104" t="s">
        <v>1285</v>
      </c>
      <c r="C127" s="89" t="s">
        <v>738</v>
      </c>
      <c r="D127" s="90" t="s">
        <v>1700</v>
      </c>
      <c r="E127" s="105" t="s">
        <v>1701</v>
      </c>
    </row>
    <row r="128" spans="1:6" ht="21">
      <c r="A128" s="87" t="s">
        <v>271</v>
      </c>
      <c r="B128" s="104" t="s">
        <v>1286</v>
      </c>
      <c r="C128" s="89" t="s">
        <v>739</v>
      </c>
      <c r="D128" s="90" t="s">
        <v>1700</v>
      </c>
      <c r="E128" s="91" t="s">
        <v>1702</v>
      </c>
    </row>
    <row r="129" spans="1:6" ht="31.5">
      <c r="A129" s="87" t="s">
        <v>271</v>
      </c>
      <c r="B129" s="88">
        <v>128</v>
      </c>
      <c r="C129" s="89" t="s">
        <v>740</v>
      </c>
      <c r="D129" s="90" t="s">
        <v>1463</v>
      </c>
      <c r="E129" s="91" t="s">
        <v>1464</v>
      </c>
    </row>
    <row r="130" spans="1:6" ht="94.5">
      <c r="A130" s="87" t="s">
        <v>271</v>
      </c>
      <c r="B130" s="88" t="s">
        <v>742</v>
      </c>
      <c r="C130" s="89" t="s">
        <v>741</v>
      </c>
      <c r="D130" s="90" t="s">
        <v>1585</v>
      </c>
      <c r="E130" s="91" t="s">
        <v>1287</v>
      </c>
    </row>
    <row r="131" spans="1:6" ht="42">
      <c r="A131" s="87" t="s">
        <v>271</v>
      </c>
      <c r="B131" s="88">
        <v>122</v>
      </c>
      <c r="C131" s="89" t="s">
        <v>896</v>
      </c>
      <c r="D131" s="90" t="s">
        <v>1288</v>
      </c>
      <c r="E131" s="91" t="s">
        <v>1465</v>
      </c>
    </row>
    <row r="132" spans="1:6">
      <c r="A132" s="87"/>
      <c r="B132" s="88"/>
      <c r="C132" s="89"/>
    </row>
    <row r="133" spans="1:6">
      <c r="A133" s="83" t="s">
        <v>1289</v>
      </c>
      <c r="B133" s="93"/>
      <c r="C133" s="94"/>
      <c r="D133" s="95" t="s">
        <v>589</v>
      </c>
      <c r="E133" s="97"/>
      <c r="F133" s="97"/>
    </row>
    <row r="134" spans="1:6">
      <c r="A134" s="87" t="s">
        <v>272</v>
      </c>
      <c r="B134" s="88" t="s">
        <v>762</v>
      </c>
      <c r="C134" s="89" t="s">
        <v>1458</v>
      </c>
      <c r="D134" s="90" t="s">
        <v>1585</v>
      </c>
      <c r="E134" s="89" t="s">
        <v>1460</v>
      </c>
    </row>
    <row r="135" spans="1:6">
      <c r="A135" s="87" t="s">
        <v>272</v>
      </c>
      <c r="B135" s="88">
        <v>65</v>
      </c>
      <c r="C135" s="89" t="s">
        <v>725</v>
      </c>
      <c r="D135" s="90" t="s">
        <v>1585</v>
      </c>
      <c r="E135" s="91" t="s">
        <v>1270</v>
      </c>
      <c r="F135" s="99" t="s">
        <v>1482</v>
      </c>
    </row>
    <row r="136" spans="1:6" ht="42">
      <c r="A136" s="87" t="s">
        <v>272</v>
      </c>
      <c r="B136" s="88" t="s">
        <v>1272</v>
      </c>
      <c r="C136" s="89" t="s">
        <v>729</v>
      </c>
      <c r="D136" s="90" t="s">
        <v>1585</v>
      </c>
      <c r="E136" s="91" t="s">
        <v>1456</v>
      </c>
    </row>
    <row r="137" spans="1:6" ht="31.5">
      <c r="A137" s="87" t="s">
        <v>272</v>
      </c>
      <c r="B137" s="88" t="s">
        <v>1273</v>
      </c>
      <c r="C137" s="89" t="s">
        <v>730</v>
      </c>
      <c r="D137" s="90" t="s">
        <v>1274</v>
      </c>
      <c r="E137" s="91" t="s">
        <v>1290</v>
      </c>
    </row>
    <row r="138" spans="1:6">
      <c r="A138" s="87" t="s">
        <v>272</v>
      </c>
      <c r="B138" s="88">
        <v>76</v>
      </c>
      <c r="C138" s="89" t="s">
        <v>1277</v>
      </c>
      <c r="D138" s="90" t="s">
        <v>1585</v>
      </c>
      <c r="E138" s="91" t="s">
        <v>1404</v>
      </c>
      <c r="F138" s="91" t="s">
        <v>1291</v>
      </c>
    </row>
    <row r="139" spans="1:6">
      <c r="A139" s="87"/>
      <c r="B139" s="88"/>
      <c r="C139" s="89"/>
    </row>
    <row r="140" spans="1:6">
      <c r="A140" s="83" t="s">
        <v>1513</v>
      </c>
      <c r="B140" s="93"/>
      <c r="C140" s="94"/>
      <c r="D140" s="95" t="s">
        <v>589</v>
      </c>
      <c r="E140" s="96" t="s">
        <v>1516</v>
      </c>
      <c r="F140" s="97"/>
    </row>
    <row r="141" spans="1:6">
      <c r="A141" s="87" t="s">
        <v>273</v>
      </c>
      <c r="B141" s="88" t="s">
        <v>762</v>
      </c>
      <c r="C141" s="89" t="s">
        <v>1458</v>
      </c>
      <c r="D141" s="90" t="s">
        <v>1585</v>
      </c>
      <c r="E141" s="89" t="s">
        <v>1459</v>
      </c>
    </row>
    <row r="142" spans="1:6">
      <c r="A142" s="87" t="s">
        <v>273</v>
      </c>
      <c r="B142" s="88">
        <v>125</v>
      </c>
      <c r="C142" s="91" t="s">
        <v>772</v>
      </c>
      <c r="D142" s="90" t="s">
        <v>1585</v>
      </c>
      <c r="E142" s="91" t="s">
        <v>1292</v>
      </c>
      <c r="F142" s="99" t="s">
        <v>1483</v>
      </c>
    </row>
    <row r="143" spans="1:6">
      <c r="A143" s="87" t="s">
        <v>273</v>
      </c>
      <c r="B143" s="88">
        <v>126</v>
      </c>
      <c r="C143" s="91" t="s">
        <v>773</v>
      </c>
      <c r="D143" s="90" t="s">
        <v>1498</v>
      </c>
      <c r="E143" s="91" t="s">
        <v>1293</v>
      </c>
    </row>
    <row r="144" spans="1:6" ht="42">
      <c r="A144" s="87" t="s">
        <v>273</v>
      </c>
      <c r="B144" s="88">
        <v>127</v>
      </c>
      <c r="C144" s="91" t="s">
        <v>774</v>
      </c>
      <c r="D144" s="90" t="s">
        <v>1294</v>
      </c>
      <c r="E144" s="91" t="s">
        <v>1295</v>
      </c>
    </row>
    <row r="145" spans="1:6">
      <c r="A145" s="87"/>
      <c r="B145" s="88"/>
      <c r="C145" s="89"/>
    </row>
    <row r="146" spans="1:6">
      <c r="A146" s="83" t="s">
        <v>1296</v>
      </c>
      <c r="B146" s="93"/>
      <c r="C146" s="94"/>
      <c r="D146" s="95" t="s">
        <v>589</v>
      </c>
      <c r="E146" s="96" t="s">
        <v>1223</v>
      </c>
      <c r="F146" s="97"/>
    </row>
    <row r="147" spans="1:6">
      <c r="A147" s="87" t="s">
        <v>274</v>
      </c>
      <c r="B147" s="88" t="s">
        <v>762</v>
      </c>
      <c r="C147" s="89" t="s">
        <v>1458</v>
      </c>
      <c r="D147" s="90" t="s">
        <v>1585</v>
      </c>
      <c r="E147" s="89" t="s">
        <v>1459</v>
      </c>
    </row>
    <row r="148" spans="1:6">
      <c r="A148" s="87" t="s">
        <v>274</v>
      </c>
      <c r="B148" s="88">
        <v>34</v>
      </c>
      <c r="C148" s="91" t="s">
        <v>764</v>
      </c>
      <c r="D148" s="90" t="s">
        <v>1498</v>
      </c>
      <c r="E148" s="91" t="s">
        <v>1438</v>
      </c>
    </row>
    <row r="149" spans="1:6">
      <c r="A149" s="87" t="s">
        <v>274</v>
      </c>
      <c r="B149" s="88">
        <v>35</v>
      </c>
      <c r="C149" s="91" t="s">
        <v>765</v>
      </c>
      <c r="D149" s="90" t="s">
        <v>1498</v>
      </c>
      <c r="E149" s="91" t="s">
        <v>1439</v>
      </c>
    </row>
    <row r="150" spans="1:6">
      <c r="A150" s="87" t="s">
        <v>274</v>
      </c>
      <c r="B150" s="88">
        <v>36</v>
      </c>
      <c r="C150" s="91" t="s">
        <v>766</v>
      </c>
      <c r="D150" s="90" t="s">
        <v>1498</v>
      </c>
      <c r="E150" s="91" t="s">
        <v>1441</v>
      </c>
    </row>
    <row r="151" spans="1:6">
      <c r="A151" s="87" t="s">
        <v>274</v>
      </c>
      <c r="B151" s="88">
        <v>37</v>
      </c>
      <c r="C151" s="91" t="s">
        <v>767</v>
      </c>
      <c r="D151" s="90" t="s">
        <v>1498</v>
      </c>
      <c r="E151" s="91" t="s">
        <v>1440</v>
      </c>
    </row>
    <row r="152" spans="1:6">
      <c r="A152" s="87" t="s">
        <v>274</v>
      </c>
      <c r="B152" s="88">
        <v>38</v>
      </c>
      <c r="C152" s="91" t="s">
        <v>768</v>
      </c>
      <c r="D152" s="90" t="s">
        <v>1498</v>
      </c>
      <c r="E152" s="91" t="s">
        <v>1442</v>
      </c>
    </row>
    <row r="153" spans="1:6">
      <c r="A153" s="87" t="s">
        <v>274</v>
      </c>
      <c r="B153" s="88">
        <v>39</v>
      </c>
      <c r="C153" s="91" t="s">
        <v>769</v>
      </c>
      <c r="D153" s="90" t="s">
        <v>1498</v>
      </c>
      <c r="E153" s="91" t="s">
        <v>1443</v>
      </c>
    </row>
    <row r="154" spans="1:6">
      <c r="A154" s="87" t="s">
        <v>274</v>
      </c>
      <c r="B154" s="88">
        <v>40</v>
      </c>
      <c r="C154" s="91" t="s">
        <v>770</v>
      </c>
      <c r="D154" s="90" t="s">
        <v>1585</v>
      </c>
      <c r="E154" s="91" t="s">
        <v>1444</v>
      </c>
    </row>
    <row r="155" spans="1:6">
      <c r="A155" s="87"/>
      <c r="B155" s="88"/>
      <c r="C155" s="89"/>
    </row>
    <row r="156" spans="1:6">
      <c r="A156" s="157" t="s">
        <v>1670</v>
      </c>
      <c r="B156" s="158"/>
      <c r="C156" s="159"/>
      <c r="D156" s="160" t="s">
        <v>589</v>
      </c>
      <c r="E156" s="161" t="s">
        <v>1223</v>
      </c>
      <c r="F156" s="162"/>
    </row>
    <row r="157" spans="1:6">
      <c r="A157" s="87" t="s">
        <v>296</v>
      </c>
      <c r="B157" s="88" t="s">
        <v>762</v>
      </c>
      <c r="C157" s="89" t="s">
        <v>1458</v>
      </c>
      <c r="D157" s="90" t="s">
        <v>1585</v>
      </c>
      <c r="E157" s="89" t="s">
        <v>1459</v>
      </c>
    </row>
    <row r="158" spans="1:6" ht="21">
      <c r="A158" s="87" t="s">
        <v>296</v>
      </c>
      <c r="B158" s="88">
        <v>42</v>
      </c>
      <c r="C158" s="91" t="s">
        <v>1392</v>
      </c>
      <c r="D158" s="90" t="s">
        <v>1585</v>
      </c>
      <c r="E158" s="91" t="s">
        <v>1639</v>
      </c>
    </row>
    <row r="159" spans="1:6">
      <c r="A159" s="87" t="s">
        <v>296</v>
      </c>
      <c r="B159" s="88">
        <v>43</v>
      </c>
      <c r="C159" s="91" t="s">
        <v>1393</v>
      </c>
      <c r="D159" s="90" t="s">
        <v>1498</v>
      </c>
      <c r="E159" s="91" t="s">
        <v>1448</v>
      </c>
    </row>
    <row r="160" spans="1:6" ht="42">
      <c r="A160" s="87" t="s">
        <v>296</v>
      </c>
      <c r="B160" s="88">
        <v>44</v>
      </c>
      <c r="C160" s="91" t="s">
        <v>1394</v>
      </c>
      <c r="D160" s="90" t="s">
        <v>1406</v>
      </c>
      <c r="E160" s="91" t="s">
        <v>1407</v>
      </c>
    </row>
    <row r="161" spans="1:6">
      <c r="A161" s="87" t="s">
        <v>296</v>
      </c>
      <c r="B161" s="88"/>
      <c r="C161" s="89"/>
    </row>
    <row r="162" spans="1:6">
      <c r="A162" s="83" t="s">
        <v>1297</v>
      </c>
      <c r="B162" s="93"/>
      <c r="C162" s="94"/>
      <c r="D162" s="95" t="s">
        <v>586</v>
      </c>
      <c r="E162" s="97" t="s">
        <v>1223</v>
      </c>
      <c r="F162" s="97"/>
    </row>
    <row r="163" spans="1:6">
      <c r="A163" s="87" t="s">
        <v>276</v>
      </c>
      <c r="B163" s="88" t="s">
        <v>762</v>
      </c>
      <c r="C163" s="89" t="s">
        <v>1458</v>
      </c>
      <c r="D163" s="90" t="s">
        <v>1585</v>
      </c>
      <c r="E163" s="89" t="s">
        <v>1459</v>
      </c>
    </row>
    <row r="164" spans="1:6" ht="21">
      <c r="A164" s="87" t="s">
        <v>276</v>
      </c>
      <c r="B164" s="88">
        <v>45</v>
      </c>
      <c r="C164" s="91" t="s">
        <v>875</v>
      </c>
      <c r="D164" s="90" t="s">
        <v>1585</v>
      </c>
      <c r="E164" s="91" t="s">
        <v>1298</v>
      </c>
    </row>
    <row r="165" spans="1:6" ht="52.5">
      <c r="A165" s="87" t="s">
        <v>276</v>
      </c>
      <c r="B165" s="88">
        <v>46</v>
      </c>
      <c r="C165" s="91" t="s">
        <v>1395</v>
      </c>
      <c r="D165" s="90" t="s">
        <v>1498</v>
      </c>
      <c r="E165" s="91" t="s">
        <v>1299</v>
      </c>
    </row>
    <row r="166" spans="1:6">
      <c r="A166" s="87" t="s">
        <v>276</v>
      </c>
      <c r="B166" s="88">
        <v>47</v>
      </c>
      <c r="C166" s="91" t="s">
        <v>1396</v>
      </c>
      <c r="D166" s="90" t="s">
        <v>586</v>
      </c>
      <c r="E166" s="91" t="s">
        <v>1525</v>
      </c>
    </row>
    <row r="167" spans="1:6">
      <c r="A167" s="87"/>
      <c r="B167" s="88"/>
      <c r="C167" s="89"/>
    </row>
    <row r="168" spans="1:6">
      <c r="A168" s="83" t="s">
        <v>1300</v>
      </c>
      <c r="B168" s="93"/>
      <c r="C168" s="94"/>
      <c r="D168" s="95" t="s">
        <v>649</v>
      </c>
      <c r="E168" s="96" t="s">
        <v>1223</v>
      </c>
      <c r="F168" s="97"/>
    </row>
    <row r="169" spans="1:6">
      <c r="A169" s="87" t="s">
        <v>277</v>
      </c>
      <c r="B169" s="88" t="s">
        <v>762</v>
      </c>
      <c r="C169" s="89" t="s">
        <v>1458</v>
      </c>
      <c r="D169" s="90" t="s">
        <v>1585</v>
      </c>
      <c r="E169" s="89" t="s">
        <v>1459</v>
      </c>
    </row>
    <row r="170" spans="1:6" ht="21">
      <c r="A170" s="87" t="s">
        <v>277</v>
      </c>
      <c r="B170" s="88">
        <v>58</v>
      </c>
      <c r="C170" s="91" t="s">
        <v>744</v>
      </c>
      <c r="D170" s="90" t="s">
        <v>1585</v>
      </c>
      <c r="E170" s="91" t="s">
        <v>1541</v>
      </c>
      <c r="F170" s="99" t="s">
        <v>1484</v>
      </c>
    </row>
    <row r="171" spans="1:6" ht="52.5">
      <c r="A171" s="87" t="s">
        <v>277</v>
      </c>
      <c r="B171" s="88">
        <v>59</v>
      </c>
      <c r="C171" s="89" t="s">
        <v>745</v>
      </c>
      <c r="D171" s="90" t="s">
        <v>1492</v>
      </c>
      <c r="E171" s="91" t="s">
        <v>1542</v>
      </c>
    </row>
    <row r="172" spans="1:6" ht="21">
      <c r="A172" s="87" t="s">
        <v>277</v>
      </c>
      <c r="B172" s="88">
        <v>60</v>
      </c>
      <c r="C172" s="89" t="s">
        <v>746</v>
      </c>
      <c r="D172" s="90" t="s">
        <v>1585</v>
      </c>
      <c r="E172" s="91" t="s">
        <v>1586</v>
      </c>
    </row>
    <row r="173" spans="1:6" ht="42">
      <c r="A173" s="87" t="s">
        <v>277</v>
      </c>
      <c r="B173" s="88">
        <v>61</v>
      </c>
      <c r="C173" s="91" t="s">
        <v>747</v>
      </c>
      <c r="D173" s="90" t="s">
        <v>1587</v>
      </c>
      <c r="E173" s="91" t="s">
        <v>1301</v>
      </c>
    </row>
    <row r="174" spans="1:6">
      <c r="A174" s="87"/>
      <c r="B174" s="88"/>
      <c r="C174" s="89"/>
    </row>
    <row r="175" spans="1:6">
      <c r="A175" s="83" t="s">
        <v>1671</v>
      </c>
      <c r="B175" s="93"/>
      <c r="C175" s="94"/>
      <c r="D175" s="95" t="s">
        <v>589</v>
      </c>
      <c r="E175" s="96" t="s">
        <v>1515</v>
      </c>
      <c r="F175" s="97"/>
    </row>
    <row r="176" spans="1:6">
      <c r="A176" s="87" t="s">
        <v>278</v>
      </c>
      <c r="B176" s="88" t="s">
        <v>762</v>
      </c>
      <c r="C176" s="89" t="s">
        <v>1458</v>
      </c>
      <c r="D176" s="90" t="s">
        <v>1585</v>
      </c>
      <c r="E176" s="89" t="s">
        <v>1459</v>
      </c>
    </row>
    <row r="177" spans="1:6" ht="31.5">
      <c r="A177" s="87" t="s">
        <v>278</v>
      </c>
      <c r="B177" s="88">
        <v>131</v>
      </c>
      <c r="C177" s="91" t="s">
        <v>776</v>
      </c>
      <c r="D177" s="90" t="s">
        <v>1302</v>
      </c>
      <c r="E177" s="91" t="s">
        <v>1303</v>
      </c>
    </row>
    <row r="178" spans="1:6" ht="63">
      <c r="A178" s="87" t="s">
        <v>278</v>
      </c>
      <c r="B178" s="88">
        <v>132</v>
      </c>
      <c r="C178" s="91" t="s">
        <v>777</v>
      </c>
      <c r="D178" s="90" t="s">
        <v>1304</v>
      </c>
      <c r="E178" s="91" t="s">
        <v>1305</v>
      </c>
    </row>
    <row r="179" spans="1:6" ht="31.5">
      <c r="A179" s="87" t="s">
        <v>278</v>
      </c>
      <c r="B179" s="88">
        <v>133</v>
      </c>
      <c r="C179" s="91" t="s">
        <v>778</v>
      </c>
      <c r="D179" s="90" t="s">
        <v>1304</v>
      </c>
      <c r="E179" s="91" t="s">
        <v>1526</v>
      </c>
    </row>
    <row r="180" spans="1:6" ht="136.5">
      <c r="A180" s="87" t="s">
        <v>278</v>
      </c>
      <c r="B180" s="88">
        <v>134</v>
      </c>
      <c r="C180" s="91" t="s">
        <v>1166</v>
      </c>
      <c r="D180" s="90" t="s">
        <v>1302</v>
      </c>
      <c r="E180" s="91" t="s">
        <v>1306</v>
      </c>
      <c r="F180" s="99" t="s">
        <v>1485</v>
      </c>
    </row>
    <row r="181" spans="1:6" ht="31.5">
      <c r="A181" s="87" t="s">
        <v>278</v>
      </c>
      <c r="B181" s="88">
        <v>135</v>
      </c>
      <c r="C181" s="91" t="s">
        <v>780</v>
      </c>
      <c r="D181" s="90" t="s">
        <v>1307</v>
      </c>
      <c r="E181" s="91" t="s">
        <v>1308</v>
      </c>
    </row>
    <row r="182" spans="1:6" ht="31.5">
      <c r="A182" s="87" t="s">
        <v>278</v>
      </c>
      <c r="B182" s="88">
        <v>136</v>
      </c>
      <c r="C182" s="91" t="s">
        <v>1397</v>
      </c>
      <c r="D182" s="90" t="s">
        <v>1309</v>
      </c>
      <c r="E182" s="91" t="s">
        <v>1310</v>
      </c>
    </row>
    <row r="183" spans="1:6">
      <c r="A183" s="87"/>
      <c r="B183" s="88"/>
      <c r="C183" s="89"/>
    </row>
    <row r="184" spans="1:6">
      <c r="A184" s="83" t="s">
        <v>1311</v>
      </c>
      <c r="B184" s="93"/>
      <c r="C184" s="94"/>
      <c r="D184" s="95" t="s">
        <v>589</v>
      </c>
      <c r="E184" s="96" t="s">
        <v>1514</v>
      </c>
      <c r="F184" s="97"/>
    </row>
    <row r="185" spans="1:6">
      <c r="A185" s="87" t="s">
        <v>279</v>
      </c>
      <c r="B185" s="88" t="s">
        <v>762</v>
      </c>
      <c r="C185" s="89" t="s">
        <v>1458</v>
      </c>
      <c r="D185" s="90" t="s">
        <v>1585</v>
      </c>
      <c r="E185" s="89" t="s">
        <v>1459</v>
      </c>
    </row>
    <row r="186" spans="1:6" ht="84">
      <c r="A186" s="87" t="s">
        <v>279</v>
      </c>
      <c r="B186" s="88">
        <v>138</v>
      </c>
      <c r="C186" s="91" t="s">
        <v>783</v>
      </c>
      <c r="D186" s="90" t="s">
        <v>1498</v>
      </c>
      <c r="E186" s="91" t="s">
        <v>1312</v>
      </c>
      <c r="F186" s="91" t="s">
        <v>1486</v>
      </c>
    </row>
    <row r="187" spans="1:6" ht="42">
      <c r="A187" s="87" t="s">
        <v>279</v>
      </c>
      <c r="B187" s="88">
        <v>139</v>
      </c>
      <c r="C187" s="91" t="s">
        <v>784</v>
      </c>
      <c r="D187" s="90" t="s">
        <v>1313</v>
      </c>
      <c r="E187" s="91" t="s">
        <v>1600</v>
      </c>
    </row>
    <row r="188" spans="1:6" ht="31.5">
      <c r="A188" s="87" t="s">
        <v>279</v>
      </c>
      <c r="B188" s="88">
        <v>140</v>
      </c>
      <c r="C188" s="89" t="s">
        <v>785</v>
      </c>
      <c r="D188" s="90" t="s">
        <v>1569</v>
      </c>
      <c r="E188" s="91" t="s">
        <v>1601</v>
      </c>
    </row>
    <row r="189" spans="1:6" ht="31.5">
      <c r="A189" s="87" t="s">
        <v>279</v>
      </c>
      <c r="B189" s="88">
        <v>141</v>
      </c>
      <c r="C189" s="89" t="s">
        <v>786</v>
      </c>
      <c r="D189" s="90" t="s">
        <v>1569</v>
      </c>
      <c r="E189" s="91" t="s">
        <v>1601</v>
      </c>
    </row>
    <row r="190" spans="1:6" ht="31.5">
      <c r="A190" s="87" t="s">
        <v>279</v>
      </c>
      <c r="B190" s="88">
        <v>142</v>
      </c>
      <c r="C190" s="89" t="s">
        <v>787</v>
      </c>
      <c r="D190" s="90" t="s">
        <v>1569</v>
      </c>
      <c r="E190" s="91" t="s">
        <v>1601</v>
      </c>
    </row>
    <row r="191" spans="1:6" ht="31.5">
      <c r="A191" s="87" t="s">
        <v>279</v>
      </c>
      <c r="B191" s="88">
        <v>143</v>
      </c>
      <c r="C191" s="89" t="s">
        <v>788</v>
      </c>
      <c r="D191" s="90" t="s">
        <v>1604</v>
      </c>
      <c r="E191" s="91" t="s">
        <v>1602</v>
      </c>
    </row>
    <row r="192" spans="1:6" ht="31.5">
      <c r="A192" s="87" t="s">
        <v>279</v>
      </c>
      <c r="B192" s="88">
        <v>144</v>
      </c>
      <c r="C192" s="89" t="s">
        <v>789</v>
      </c>
      <c r="D192" s="90" t="s">
        <v>1604</v>
      </c>
      <c r="E192" s="91" t="s">
        <v>1602</v>
      </c>
    </row>
    <row r="193" spans="1:6" ht="31.5">
      <c r="A193" s="87" t="s">
        <v>279</v>
      </c>
      <c r="B193" s="88">
        <v>145</v>
      </c>
      <c r="C193" s="89" t="s">
        <v>790</v>
      </c>
      <c r="D193" s="90" t="s">
        <v>1604</v>
      </c>
      <c r="E193" s="91" t="s">
        <v>1602</v>
      </c>
    </row>
    <row r="194" spans="1:6" ht="31.5">
      <c r="A194" s="87" t="s">
        <v>279</v>
      </c>
      <c r="B194" s="88">
        <v>302</v>
      </c>
      <c r="C194" s="89" t="s">
        <v>791</v>
      </c>
      <c r="D194" s="90" t="s">
        <v>1605</v>
      </c>
      <c r="E194" s="91" t="s">
        <v>1603</v>
      </c>
    </row>
    <row r="195" spans="1:6" ht="52.5">
      <c r="A195" s="87" t="s">
        <v>279</v>
      </c>
      <c r="B195" s="88">
        <v>146</v>
      </c>
      <c r="C195" s="91" t="s">
        <v>792</v>
      </c>
      <c r="D195" s="90" t="s">
        <v>1605</v>
      </c>
      <c r="E195" s="91" t="s">
        <v>1599</v>
      </c>
    </row>
    <row r="196" spans="1:6" ht="21">
      <c r="A196" s="87" t="s">
        <v>279</v>
      </c>
      <c r="B196" s="88">
        <v>147</v>
      </c>
      <c r="C196" s="91" t="s">
        <v>793</v>
      </c>
      <c r="D196" s="90" t="s">
        <v>1314</v>
      </c>
      <c r="E196" s="91" t="s">
        <v>1606</v>
      </c>
    </row>
    <row r="197" spans="1:6">
      <c r="A197" s="87"/>
      <c r="B197" s="88"/>
      <c r="C197" s="91"/>
    </row>
    <row r="198" spans="1:6">
      <c r="A198" s="83" t="s">
        <v>1315</v>
      </c>
      <c r="B198" s="93"/>
      <c r="C198" s="94"/>
      <c r="D198" s="95" t="s">
        <v>589</v>
      </c>
      <c r="E198" s="96" t="s">
        <v>1517</v>
      </c>
      <c r="F198" s="97"/>
    </row>
    <row r="199" spans="1:6">
      <c r="A199" s="87" t="s">
        <v>280</v>
      </c>
      <c r="B199" s="88" t="s">
        <v>762</v>
      </c>
      <c r="C199" s="89" t="s">
        <v>1458</v>
      </c>
      <c r="D199" s="90" t="s">
        <v>1585</v>
      </c>
      <c r="E199" s="89" t="s">
        <v>1459</v>
      </c>
    </row>
    <row r="200" spans="1:6" ht="21">
      <c r="A200" s="87" t="s">
        <v>280</v>
      </c>
      <c r="B200" s="88">
        <v>148</v>
      </c>
      <c r="C200" s="91" t="s">
        <v>1511</v>
      </c>
      <c r="D200" s="90" t="s">
        <v>1498</v>
      </c>
      <c r="E200" s="91" t="s">
        <v>1316</v>
      </c>
    </row>
    <row r="201" spans="1:6" ht="42">
      <c r="A201" s="87" t="s">
        <v>280</v>
      </c>
      <c r="B201" s="88">
        <v>149</v>
      </c>
      <c r="C201" s="91" t="s">
        <v>1317</v>
      </c>
      <c r="D201" s="90" t="s">
        <v>1492</v>
      </c>
      <c r="E201" s="91" t="s">
        <v>1507</v>
      </c>
    </row>
    <row r="202" spans="1:6" ht="21">
      <c r="A202" s="87" t="s">
        <v>280</v>
      </c>
      <c r="B202" s="88">
        <v>150</v>
      </c>
      <c r="C202" s="91" t="s">
        <v>1512</v>
      </c>
      <c r="D202" s="90" t="s">
        <v>1498</v>
      </c>
      <c r="E202" s="91" t="s">
        <v>1318</v>
      </c>
    </row>
    <row r="203" spans="1:6" ht="42">
      <c r="A203" s="87" t="s">
        <v>280</v>
      </c>
      <c r="B203" s="88">
        <v>151</v>
      </c>
      <c r="C203" s="91" t="s">
        <v>1319</v>
      </c>
      <c r="D203" s="90" t="s">
        <v>1492</v>
      </c>
      <c r="E203" s="91" t="s">
        <v>1508</v>
      </c>
    </row>
    <row r="204" spans="1:6" ht="21">
      <c r="A204" s="87" t="s">
        <v>280</v>
      </c>
      <c r="B204" s="88">
        <v>152</v>
      </c>
      <c r="C204" s="91" t="s">
        <v>795</v>
      </c>
      <c r="D204" s="90" t="s">
        <v>1498</v>
      </c>
      <c r="E204" s="91" t="s">
        <v>1320</v>
      </c>
    </row>
    <row r="205" spans="1:6" ht="42">
      <c r="A205" s="87" t="s">
        <v>280</v>
      </c>
      <c r="B205" s="88">
        <v>153</v>
      </c>
      <c r="C205" s="91" t="s">
        <v>796</v>
      </c>
      <c r="D205" s="90" t="s">
        <v>1492</v>
      </c>
      <c r="E205" s="91" t="s">
        <v>1539</v>
      </c>
    </row>
    <row r="206" spans="1:6" ht="21">
      <c r="A206" s="87" t="s">
        <v>280</v>
      </c>
      <c r="B206" s="88">
        <v>154</v>
      </c>
      <c r="C206" s="91" t="s">
        <v>797</v>
      </c>
      <c r="D206" s="90" t="s">
        <v>1498</v>
      </c>
      <c r="E206" s="91" t="s">
        <v>1321</v>
      </c>
    </row>
    <row r="207" spans="1:6" ht="21">
      <c r="A207" s="87" t="s">
        <v>280</v>
      </c>
      <c r="B207" s="88">
        <v>155</v>
      </c>
      <c r="C207" s="91" t="s">
        <v>798</v>
      </c>
      <c r="D207" s="90" t="s">
        <v>1498</v>
      </c>
      <c r="E207" s="91" t="s">
        <v>1322</v>
      </c>
    </row>
    <row r="208" spans="1:6" ht="21">
      <c r="A208" s="87" t="s">
        <v>280</v>
      </c>
      <c r="B208" s="88">
        <v>156</v>
      </c>
      <c r="C208" s="91" t="s">
        <v>799</v>
      </c>
      <c r="D208" s="90" t="s">
        <v>1498</v>
      </c>
      <c r="E208" s="91" t="s">
        <v>1323</v>
      </c>
    </row>
    <row r="209" spans="1:6">
      <c r="A209" s="87" t="s">
        <v>280</v>
      </c>
      <c r="B209" s="88">
        <v>157</v>
      </c>
      <c r="C209" s="91" t="s">
        <v>800</v>
      </c>
      <c r="D209" s="90" t="s">
        <v>1498</v>
      </c>
      <c r="E209" s="91" t="s">
        <v>1324</v>
      </c>
    </row>
    <row r="210" spans="1:6">
      <c r="A210" s="87" t="s">
        <v>280</v>
      </c>
      <c r="B210" s="88">
        <v>158</v>
      </c>
      <c r="C210" s="91" t="s">
        <v>801</v>
      </c>
      <c r="D210" s="90" t="s">
        <v>1498</v>
      </c>
      <c r="E210" s="91" t="s">
        <v>1325</v>
      </c>
    </row>
    <row r="211" spans="1:6" ht="21">
      <c r="A211" s="87" t="s">
        <v>280</v>
      </c>
      <c r="B211" s="88">
        <v>159</v>
      </c>
      <c r="C211" s="91" t="s">
        <v>1326</v>
      </c>
      <c r="D211" s="90" t="s">
        <v>1498</v>
      </c>
      <c r="E211" s="91" t="s">
        <v>1327</v>
      </c>
    </row>
    <row r="212" spans="1:6">
      <c r="A212" s="87"/>
      <c r="B212" s="88"/>
      <c r="C212" s="91"/>
    </row>
    <row r="213" spans="1:6">
      <c r="A213" s="83" t="s">
        <v>1328</v>
      </c>
      <c r="B213" s="93"/>
      <c r="C213" s="94"/>
      <c r="D213" s="95" t="s">
        <v>589</v>
      </c>
      <c r="E213" s="96" t="s">
        <v>1549</v>
      </c>
      <c r="F213" s="97"/>
    </row>
    <row r="214" spans="1:6">
      <c r="A214" s="87" t="s">
        <v>281</v>
      </c>
      <c r="B214" s="88" t="s">
        <v>762</v>
      </c>
      <c r="C214" s="89" t="s">
        <v>1458</v>
      </c>
      <c r="D214" s="90" t="s">
        <v>1585</v>
      </c>
      <c r="E214" s="89" t="s">
        <v>1459</v>
      </c>
    </row>
    <row r="215" spans="1:6" ht="21">
      <c r="A215" s="87" t="s">
        <v>281</v>
      </c>
      <c r="B215" s="88">
        <v>178</v>
      </c>
      <c r="C215" s="89" t="s">
        <v>803</v>
      </c>
      <c r="D215" s="90" t="s">
        <v>1585</v>
      </c>
      <c r="E215" s="91" t="s">
        <v>1329</v>
      </c>
    </row>
    <row r="216" spans="1:6" ht="21">
      <c r="A216" s="87" t="s">
        <v>281</v>
      </c>
      <c r="B216" s="88">
        <v>179</v>
      </c>
      <c r="C216" s="89" t="s">
        <v>804</v>
      </c>
      <c r="D216" s="90" t="s">
        <v>1585</v>
      </c>
      <c r="E216" s="91" t="s">
        <v>1330</v>
      </c>
    </row>
    <row r="217" spans="1:6" ht="21">
      <c r="A217" s="87" t="s">
        <v>281</v>
      </c>
      <c r="B217" s="88">
        <v>180</v>
      </c>
      <c r="C217" s="89" t="s">
        <v>805</v>
      </c>
      <c r="D217" s="90" t="s">
        <v>1585</v>
      </c>
      <c r="E217" s="91" t="s">
        <v>1331</v>
      </c>
    </row>
    <row r="218" spans="1:6" ht="21">
      <c r="A218" s="87" t="s">
        <v>281</v>
      </c>
      <c r="B218" s="88">
        <v>181</v>
      </c>
      <c r="C218" s="89" t="s">
        <v>806</v>
      </c>
      <c r="D218" s="90" t="s">
        <v>1585</v>
      </c>
      <c r="E218" s="91" t="s">
        <v>1332</v>
      </c>
    </row>
    <row r="219" spans="1:6" ht="21">
      <c r="A219" s="87" t="s">
        <v>281</v>
      </c>
      <c r="B219" s="88">
        <v>182</v>
      </c>
      <c r="C219" s="89" t="s">
        <v>807</v>
      </c>
      <c r="D219" s="90" t="s">
        <v>1585</v>
      </c>
      <c r="E219" s="91" t="s">
        <v>1333</v>
      </c>
    </row>
    <row r="220" spans="1:6" ht="21">
      <c r="A220" s="87" t="s">
        <v>281</v>
      </c>
      <c r="B220" s="88">
        <v>183</v>
      </c>
      <c r="C220" s="89" t="s">
        <v>808</v>
      </c>
      <c r="D220" s="90" t="s">
        <v>1585</v>
      </c>
      <c r="E220" s="91" t="s">
        <v>1334</v>
      </c>
    </row>
    <row r="221" spans="1:6" ht="21">
      <c r="A221" s="87" t="s">
        <v>281</v>
      </c>
      <c r="B221" s="88">
        <v>184</v>
      </c>
      <c r="C221" s="89" t="s">
        <v>809</v>
      </c>
      <c r="D221" s="90" t="s">
        <v>1585</v>
      </c>
      <c r="E221" s="91" t="s">
        <v>1335</v>
      </c>
    </row>
    <row r="222" spans="1:6">
      <c r="A222" s="87" t="s">
        <v>281</v>
      </c>
      <c r="B222" s="88">
        <v>185</v>
      </c>
      <c r="C222" s="89" t="s">
        <v>810</v>
      </c>
      <c r="D222" s="90" t="s">
        <v>1585</v>
      </c>
      <c r="E222" s="91" t="s">
        <v>1451</v>
      </c>
    </row>
    <row r="223" spans="1:6">
      <c r="A223" s="87"/>
      <c r="B223" s="88"/>
      <c r="C223" s="89"/>
    </row>
    <row r="224" spans="1:6">
      <c r="A224" s="83" t="s">
        <v>1336</v>
      </c>
      <c r="B224" s="93"/>
      <c r="C224" s="94"/>
      <c r="D224" s="95" t="s">
        <v>589</v>
      </c>
      <c r="E224" s="96" t="s">
        <v>1550</v>
      </c>
      <c r="F224" s="97"/>
    </row>
    <row r="225" spans="1:6">
      <c r="A225" s="87" t="s">
        <v>282</v>
      </c>
      <c r="B225" s="88" t="s">
        <v>762</v>
      </c>
      <c r="C225" s="89" t="s">
        <v>1458</v>
      </c>
      <c r="D225" s="90" t="s">
        <v>1585</v>
      </c>
      <c r="E225" s="89" t="s">
        <v>1459</v>
      </c>
    </row>
    <row r="226" spans="1:6" ht="21">
      <c r="A226" s="87" t="s">
        <v>282</v>
      </c>
      <c r="B226" s="88">
        <v>186</v>
      </c>
      <c r="C226" s="89" t="s">
        <v>812</v>
      </c>
      <c r="D226" s="90" t="s">
        <v>1585</v>
      </c>
      <c r="E226" s="91" t="s">
        <v>1337</v>
      </c>
    </row>
    <row r="227" spans="1:6" ht="21">
      <c r="A227" s="87" t="s">
        <v>282</v>
      </c>
      <c r="B227" s="88">
        <v>187</v>
      </c>
      <c r="C227" s="89" t="s">
        <v>813</v>
      </c>
      <c r="D227" s="90" t="s">
        <v>1585</v>
      </c>
      <c r="E227" s="91" t="s">
        <v>1338</v>
      </c>
    </row>
    <row r="228" spans="1:6" ht="21">
      <c r="A228" s="87" t="s">
        <v>282</v>
      </c>
      <c r="B228" s="88">
        <v>188</v>
      </c>
      <c r="C228" s="89" t="s">
        <v>814</v>
      </c>
      <c r="D228" s="90" t="s">
        <v>1585</v>
      </c>
      <c r="E228" s="91" t="s">
        <v>1339</v>
      </c>
    </row>
    <row r="229" spans="1:6" ht="21">
      <c r="A229" s="87" t="s">
        <v>282</v>
      </c>
      <c r="B229" s="88">
        <v>189</v>
      </c>
      <c r="C229" s="89" t="s">
        <v>815</v>
      </c>
      <c r="D229" s="90" t="s">
        <v>1585</v>
      </c>
      <c r="E229" s="91" t="s">
        <v>1340</v>
      </c>
    </row>
    <row r="230" spans="1:6" ht="21">
      <c r="A230" s="87" t="s">
        <v>282</v>
      </c>
      <c r="B230" s="88">
        <v>190</v>
      </c>
      <c r="C230" s="89" t="s">
        <v>816</v>
      </c>
      <c r="D230" s="90" t="s">
        <v>1585</v>
      </c>
      <c r="E230" s="91" t="s">
        <v>1341</v>
      </c>
    </row>
    <row r="231" spans="1:6" ht="21">
      <c r="A231" s="87" t="s">
        <v>282</v>
      </c>
      <c r="B231" s="88">
        <v>191</v>
      </c>
      <c r="C231" s="89" t="s">
        <v>817</v>
      </c>
      <c r="D231" s="90" t="s">
        <v>1585</v>
      </c>
      <c r="E231" s="91" t="s">
        <v>1342</v>
      </c>
    </row>
    <row r="232" spans="1:6" ht="21">
      <c r="A232" s="87" t="s">
        <v>282</v>
      </c>
      <c r="B232" s="88">
        <v>192</v>
      </c>
      <c r="C232" s="89" t="s">
        <v>818</v>
      </c>
      <c r="D232" s="90" t="s">
        <v>1585</v>
      </c>
      <c r="E232" s="91" t="s">
        <v>1343</v>
      </c>
    </row>
    <row r="233" spans="1:6">
      <c r="A233" s="87"/>
      <c r="B233" s="88"/>
      <c r="C233" s="89"/>
    </row>
    <row r="234" spans="1:6">
      <c r="A234" s="83" t="s">
        <v>1344</v>
      </c>
      <c r="B234" s="93"/>
      <c r="C234" s="94"/>
      <c r="D234" s="95" t="s">
        <v>589</v>
      </c>
      <c r="E234" s="96" t="s">
        <v>1518</v>
      </c>
      <c r="F234" s="97"/>
    </row>
    <row r="235" spans="1:6">
      <c r="A235" s="87" t="s">
        <v>283</v>
      </c>
      <c r="B235" s="88" t="s">
        <v>762</v>
      </c>
      <c r="C235" s="89" t="s">
        <v>1458</v>
      </c>
      <c r="D235" s="90" t="s">
        <v>1585</v>
      </c>
      <c r="E235" s="89" t="s">
        <v>1459</v>
      </c>
    </row>
    <row r="236" spans="1:6" ht="42">
      <c r="A236" s="87" t="s">
        <v>283</v>
      </c>
      <c r="B236" s="88">
        <v>193</v>
      </c>
      <c r="C236" s="89" t="s">
        <v>820</v>
      </c>
      <c r="D236" s="136" t="s">
        <v>1492</v>
      </c>
      <c r="E236" s="118" t="s">
        <v>1553</v>
      </c>
    </row>
    <row r="237" spans="1:6" ht="126">
      <c r="A237" s="87" t="s">
        <v>283</v>
      </c>
      <c r="B237" s="88">
        <v>194</v>
      </c>
      <c r="C237" s="89" t="s">
        <v>821</v>
      </c>
      <c r="D237" s="90" t="s">
        <v>1498</v>
      </c>
      <c r="E237" s="118" t="s">
        <v>1558</v>
      </c>
      <c r="F237" s="99" t="s">
        <v>1487</v>
      </c>
    </row>
    <row r="238" spans="1:6" ht="21">
      <c r="A238" s="87" t="s">
        <v>283</v>
      </c>
      <c r="B238" s="88">
        <v>195</v>
      </c>
      <c r="C238" s="89" t="s">
        <v>822</v>
      </c>
      <c r="D238" s="90" t="s">
        <v>1498</v>
      </c>
      <c r="E238" s="118" t="s">
        <v>1559</v>
      </c>
    </row>
    <row r="239" spans="1:6" ht="21">
      <c r="A239" s="87" t="s">
        <v>283</v>
      </c>
      <c r="B239" s="88">
        <v>196</v>
      </c>
      <c r="C239" s="89" t="s">
        <v>823</v>
      </c>
      <c r="D239" s="90" t="s">
        <v>1498</v>
      </c>
      <c r="E239" s="118" t="s">
        <v>1560</v>
      </c>
    </row>
    <row r="240" spans="1:6">
      <c r="A240" s="87"/>
      <c r="B240" s="88"/>
      <c r="C240" s="89"/>
    </row>
    <row r="241" spans="1:6">
      <c r="A241" s="83" t="s">
        <v>1452</v>
      </c>
      <c r="B241" s="93"/>
      <c r="C241" s="94"/>
      <c r="D241" s="95" t="s">
        <v>586</v>
      </c>
      <c r="E241" s="96" t="s">
        <v>1519</v>
      </c>
      <c r="F241" s="97"/>
    </row>
    <row r="242" spans="1:6">
      <c r="A242" s="87" t="s">
        <v>284</v>
      </c>
      <c r="B242" s="88" t="s">
        <v>762</v>
      </c>
      <c r="C242" s="89" t="s">
        <v>1458</v>
      </c>
      <c r="D242" s="90" t="s">
        <v>1585</v>
      </c>
      <c r="E242" s="89" t="s">
        <v>1459</v>
      </c>
    </row>
    <row r="243" spans="1:6" ht="21">
      <c r="A243" s="87" t="s">
        <v>284</v>
      </c>
      <c r="B243" s="88">
        <v>197</v>
      </c>
      <c r="C243" s="89" t="s">
        <v>825</v>
      </c>
      <c r="D243" s="90" t="s">
        <v>1498</v>
      </c>
      <c r="E243" s="91" t="s">
        <v>1345</v>
      </c>
    </row>
    <row r="244" spans="1:6" ht="21">
      <c r="A244" s="87" t="s">
        <v>284</v>
      </c>
      <c r="B244" s="88">
        <v>198</v>
      </c>
      <c r="C244" s="89" t="s">
        <v>826</v>
      </c>
      <c r="D244" s="90" t="s">
        <v>1498</v>
      </c>
      <c r="E244" s="91" t="s">
        <v>1346</v>
      </c>
    </row>
    <row r="245" spans="1:6" ht="21">
      <c r="A245" s="87" t="s">
        <v>284</v>
      </c>
      <c r="B245" s="88">
        <v>199</v>
      </c>
      <c r="C245" s="89" t="s">
        <v>827</v>
      </c>
      <c r="D245" s="90" t="s">
        <v>1498</v>
      </c>
      <c r="E245" s="91" t="s">
        <v>1347</v>
      </c>
    </row>
    <row r="246" spans="1:6" ht="31.5">
      <c r="A246" s="87" t="s">
        <v>284</v>
      </c>
      <c r="B246" s="88">
        <v>200</v>
      </c>
      <c r="C246" s="89" t="s">
        <v>828</v>
      </c>
      <c r="D246" s="90" t="s">
        <v>1453</v>
      </c>
      <c r="E246" s="91" t="s">
        <v>1348</v>
      </c>
    </row>
    <row r="247" spans="1:6" ht="31.5">
      <c r="A247" s="87" t="s">
        <v>284</v>
      </c>
      <c r="B247" s="88">
        <v>201</v>
      </c>
      <c r="C247" s="89" t="s">
        <v>829</v>
      </c>
      <c r="D247" s="90" t="s">
        <v>1454</v>
      </c>
      <c r="E247" s="91" t="s">
        <v>1349</v>
      </c>
    </row>
    <row r="248" spans="1:6" ht="21">
      <c r="A248" s="87" t="s">
        <v>284</v>
      </c>
      <c r="B248" s="88">
        <v>202</v>
      </c>
      <c r="C248" s="89" t="s">
        <v>830</v>
      </c>
      <c r="D248" s="90" t="s">
        <v>1498</v>
      </c>
      <c r="E248" s="91" t="s">
        <v>1350</v>
      </c>
    </row>
    <row r="249" spans="1:6" ht="42">
      <c r="A249" s="87" t="s">
        <v>284</v>
      </c>
      <c r="B249" s="88">
        <v>203</v>
      </c>
      <c r="C249" s="89" t="s">
        <v>831</v>
      </c>
      <c r="D249" s="136" t="s">
        <v>1492</v>
      </c>
      <c r="E249" s="91" t="s">
        <v>1554</v>
      </c>
    </row>
    <row r="250" spans="1:6" ht="21">
      <c r="A250" s="87" t="s">
        <v>284</v>
      </c>
      <c r="B250" s="88">
        <v>204</v>
      </c>
      <c r="C250" s="89" t="s">
        <v>832</v>
      </c>
      <c r="D250" s="90" t="s">
        <v>1498</v>
      </c>
      <c r="E250" s="91" t="s">
        <v>1351</v>
      </c>
    </row>
    <row r="251" spans="1:6" ht="21">
      <c r="A251" s="87" t="s">
        <v>284</v>
      </c>
      <c r="B251" s="88">
        <v>205</v>
      </c>
      <c r="C251" s="89" t="s">
        <v>833</v>
      </c>
      <c r="D251" s="90" t="s">
        <v>1498</v>
      </c>
      <c r="E251" s="91" t="s">
        <v>1352</v>
      </c>
    </row>
    <row r="252" spans="1:6" ht="21">
      <c r="A252" s="87" t="s">
        <v>284</v>
      </c>
      <c r="B252" s="88">
        <v>206</v>
      </c>
      <c r="C252" s="89" t="s">
        <v>834</v>
      </c>
      <c r="D252" s="90" t="s">
        <v>1498</v>
      </c>
      <c r="E252" s="91" t="s">
        <v>1353</v>
      </c>
    </row>
    <row r="253" spans="1:6" ht="21">
      <c r="A253" s="87" t="s">
        <v>284</v>
      </c>
      <c r="B253" s="88">
        <v>207</v>
      </c>
      <c r="C253" s="89" t="s">
        <v>835</v>
      </c>
      <c r="D253" s="90" t="s">
        <v>1498</v>
      </c>
      <c r="E253" s="91" t="s">
        <v>1354</v>
      </c>
    </row>
    <row r="254" spans="1:6">
      <c r="A254" s="87"/>
      <c r="B254" s="88"/>
      <c r="C254" s="89"/>
      <c r="D254" s="106"/>
    </row>
    <row r="255" spans="1:6">
      <c r="A255" s="83" t="s">
        <v>1355</v>
      </c>
      <c r="B255" s="93"/>
      <c r="C255" s="94"/>
      <c r="D255" s="95" t="s">
        <v>589</v>
      </c>
      <c r="E255" s="96" t="s">
        <v>1520</v>
      </c>
      <c r="F255" s="97"/>
    </row>
    <row r="256" spans="1:6">
      <c r="A256" s="87" t="s">
        <v>285</v>
      </c>
      <c r="B256" s="88" t="s">
        <v>762</v>
      </c>
      <c r="C256" s="89" t="s">
        <v>1458</v>
      </c>
      <c r="D256" s="90" t="s">
        <v>1585</v>
      </c>
      <c r="E256" s="89" t="s">
        <v>1459</v>
      </c>
      <c r="F256" s="91">
        <v>1</v>
      </c>
    </row>
    <row r="257" spans="1:6" ht="136.5">
      <c r="A257" s="87" t="s">
        <v>285</v>
      </c>
      <c r="B257" s="88">
        <v>208</v>
      </c>
      <c r="C257" s="89" t="s">
        <v>749</v>
      </c>
      <c r="D257" s="90" t="s">
        <v>1585</v>
      </c>
      <c r="E257" s="91" t="s">
        <v>1356</v>
      </c>
      <c r="F257" s="99" t="s">
        <v>1262</v>
      </c>
    </row>
    <row r="258" spans="1:6">
      <c r="A258" s="87" t="s">
        <v>285</v>
      </c>
      <c r="B258" s="88">
        <v>209</v>
      </c>
      <c r="C258" s="89" t="s">
        <v>1357</v>
      </c>
      <c r="D258" s="90" t="s">
        <v>1585</v>
      </c>
      <c r="E258" s="91" t="s">
        <v>1358</v>
      </c>
    </row>
    <row r="259" spans="1:6">
      <c r="A259" s="87"/>
      <c r="B259" s="88"/>
      <c r="C259" s="89"/>
    </row>
    <row r="260" spans="1:6">
      <c r="A260" s="83" t="s">
        <v>1359</v>
      </c>
      <c r="B260" s="107"/>
      <c r="C260" s="83"/>
      <c r="D260" s="95" t="s">
        <v>586</v>
      </c>
      <c r="E260" s="96" t="s">
        <v>1521</v>
      </c>
      <c r="F260" s="86"/>
    </row>
    <row r="261" spans="1:6">
      <c r="A261" s="87" t="s">
        <v>286</v>
      </c>
      <c r="B261" s="88" t="s">
        <v>762</v>
      </c>
      <c r="C261" s="89" t="s">
        <v>1458</v>
      </c>
      <c r="D261" s="90" t="s">
        <v>1585</v>
      </c>
      <c r="E261" s="89" t="s">
        <v>1459</v>
      </c>
    </row>
    <row r="262" spans="1:6" ht="31.5">
      <c r="A262" s="87" t="s">
        <v>286</v>
      </c>
      <c r="B262" s="88">
        <v>210</v>
      </c>
      <c r="C262" s="89" t="s">
        <v>837</v>
      </c>
      <c r="D262" s="90" t="s">
        <v>1585</v>
      </c>
      <c r="E262" s="91" t="s">
        <v>1360</v>
      </c>
    </row>
    <row r="263" spans="1:6" ht="21">
      <c r="A263" s="87" t="s">
        <v>286</v>
      </c>
      <c r="B263" s="88">
        <v>211</v>
      </c>
      <c r="C263" s="89" t="s">
        <v>838</v>
      </c>
      <c r="D263" s="90" t="s">
        <v>1585</v>
      </c>
      <c r="E263" s="91" t="s">
        <v>1361</v>
      </c>
    </row>
    <row r="264" spans="1:6" ht="21">
      <c r="A264" s="87" t="s">
        <v>286</v>
      </c>
      <c r="B264" s="88">
        <v>212</v>
      </c>
      <c r="C264" s="89" t="s">
        <v>839</v>
      </c>
      <c r="D264" s="90" t="s">
        <v>1585</v>
      </c>
      <c r="E264" s="91" t="s">
        <v>1362</v>
      </c>
    </row>
    <row r="265" spans="1:6" ht="21">
      <c r="A265" s="87" t="s">
        <v>286</v>
      </c>
      <c r="B265" s="88">
        <v>213</v>
      </c>
      <c r="C265" s="89" t="s">
        <v>840</v>
      </c>
      <c r="D265" s="90" t="s">
        <v>1585</v>
      </c>
      <c r="E265" s="91" t="s">
        <v>1363</v>
      </c>
    </row>
    <row r="266" spans="1:6" ht="21">
      <c r="A266" s="87" t="s">
        <v>286</v>
      </c>
      <c r="B266" s="88">
        <v>214</v>
      </c>
      <c r="C266" s="89" t="s">
        <v>841</v>
      </c>
      <c r="D266" s="90" t="s">
        <v>1585</v>
      </c>
      <c r="E266" s="91" t="s">
        <v>1364</v>
      </c>
    </row>
    <row r="267" spans="1:6" ht="21">
      <c r="A267" s="87" t="s">
        <v>286</v>
      </c>
      <c r="B267" s="88">
        <v>215</v>
      </c>
      <c r="C267" s="89" t="s">
        <v>842</v>
      </c>
      <c r="D267" s="90" t="s">
        <v>1585</v>
      </c>
      <c r="E267" s="91" t="s">
        <v>1363</v>
      </c>
    </row>
    <row r="268" spans="1:6" ht="21">
      <c r="A268" s="87" t="s">
        <v>286</v>
      </c>
      <c r="B268" s="88">
        <v>216</v>
      </c>
      <c r="C268" s="89" t="s">
        <v>843</v>
      </c>
      <c r="D268" s="90" t="s">
        <v>1585</v>
      </c>
      <c r="E268" s="91" t="s">
        <v>1365</v>
      </c>
    </row>
    <row r="269" spans="1:6" ht="21">
      <c r="A269" s="87" t="s">
        <v>286</v>
      </c>
      <c r="B269" s="88">
        <v>217</v>
      </c>
      <c r="C269" s="89" t="s">
        <v>844</v>
      </c>
      <c r="D269" s="90" t="s">
        <v>1585</v>
      </c>
      <c r="E269" s="91" t="s">
        <v>1366</v>
      </c>
    </row>
    <row r="270" spans="1:6">
      <c r="A270" s="87"/>
      <c r="B270" s="88"/>
      <c r="C270" s="89"/>
    </row>
    <row r="271" spans="1:6">
      <c r="A271" s="83" t="s">
        <v>1367</v>
      </c>
      <c r="B271" s="93"/>
      <c r="C271" s="94"/>
      <c r="D271" s="95" t="s">
        <v>589</v>
      </c>
      <c r="E271" s="96" t="s">
        <v>1548</v>
      </c>
      <c r="F271" s="97"/>
    </row>
    <row r="272" spans="1:6">
      <c r="A272" s="87" t="s">
        <v>287</v>
      </c>
      <c r="B272" s="88" t="s">
        <v>762</v>
      </c>
      <c r="C272" s="89" t="s">
        <v>1458</v>
      </c>
      <c r="D272" s="90" t="s">
        <v>1585</v>
      </c>
      <c r="E272" s="92" t="s">
        <v>1459</v>
      </c>
    </row>
    <row r="273" spans="1:6" ht="31.5">
      <c r="A273" s="87" t="s">
        <v>287</v>
      </c>
      <c r="B273" s="88" t="s">
        <v>1415</v>
      </c>
      <c r="C273" s="89" t="s">
        <v>846</v>
      </c>
      <c r="D273" s="90" t="s">
        <v>1585</v>
      </c>
      <c r="E273" s="91" t="s">
        <v>1571</v>
      </c>
    </row>
    <row r="274" spans="1:6" ht="21">
      <c r="A274" s="87" t="s">
        <v>287</v>
      </c>
      <c r="B274" s="88" t="s">
        <v>878</v>
      </c>
      <c r="C274" s="89" t="s">
        <v>847</v>
      </c>
      <c r="D274" s="90" t="s">
        <v>1585</v>
      </c>
      <c r="E274" s="91" t="s">
        <v>1545</v>
      </c>
    </row>
    <row r="275" spans="1:6" ht="21">
      <c r="A275" s="87" t="s">
        <v>287</v>
      </c>
      <c r="B275" s="88" t="s">
        <v>879</v>
      </c>
      <c r="C275" s="89" t="s">
        <v>848</v>
      </c>
      <c r="D275" s="90" t="s">
        <v>1585</v>
      </c>
      <c r="E275" s="91" t="s">
        <v>1546</v>
      </c>
    </row>
    <row r="276" spans="1:6" ht="21">
      <c r="A276" s="87" t="s">
        <v>287</v>
      </c>
      <c r="B276" s="88" t="s">
        <v>880</v>
      </c>
      <c r="C276" s="89" t="s">
        <v>849</v>
      </c>
      <c r="D276" s="90" t="s">
        <v>1585</v>
      </c>
      <c r="E276" s="91" t="s">
        <v>1547</v>
      </c>
    </row>
    <row r="277" spans="1:6">
      <c r="A277" s="87" t="s">
        <v>287</v>
      </c>
      <c r="B277" s="88" t="s">
        <v>881</v>
      </c>
      <c r="C277" s="89" t="s">
        <v>893</v>
      </c>
      <c r="D277" s="90" t="s">
        <v>1585</v>
      </c>
      <c r="E277" s="89" t="s">
        <v>1543</v>
      </c>
    </row>
    <row r="278" spans="1:6">
      <c r="A278" s="87" t="s">
        <v>287</v>
      </c>
      <c r="B278" s="88" t="s">
        <v>882</v>
      </c>
      <c r="C278" s="89" t="s">
        <v>1368</v>
      </c>
      <c r="D278" s="90" t="s">
        <v>1585</v>
      </c>
      <c r="E278" s="89" t="s">
        <v>1544</v>
      </c>
    </row>
    <row r="279" spans="1:6">
      <c r="A279" s="87"/>
      <c r="B279" s="88"/>
      <c r="C279" s="89"/>
    </row>
    <row r="280" spans="1:6">
      <c r="A280" s="83" t="s">
        <v>1369</v>
      </c>
      <c r="B280" s="93"/>
      <c r="C280" s="94"/>
      <c r="D280" s="95" t="s">
        <v>589</v>
      </c>
      <c r="E280" s="96" t="s">
        <v>1522</v>
      </c>
      <c r="F280" s="97"/>
    </row>
    <row r="281" spans="1:6">
      <c r="A281" s="87" t="s">
        <v>288</v>
      </c>
      <c r="B281" s="88" t="s">
        <v>762</v>
      </c>
      <c r="C281" s="89" t="s">
        <v>1458</v>
      </c>
      <c r="D281" s="90" t="s">
        <v>1585</v>
      </c>
      <c r="E281" s="89" t="s">
        <v>1459</v>
      </c>
    </row>
    <row r="282" spans="1:6" ht="31.5">
      <c r="A282" s="87" t="s">
        <v>288</v>
      </c>
      <c r="B282" s="88">
        <v>279</v>
      </c>
      <c r="C282" s="89" t="s">
        <v>851</v>
      </c>
      <c r="D282" s="90" t="s">
        <v>1585</v>
      </c>
      <c r="E282" s="91" t="s">
        <v>1370</v>
      </c>
    </row>
    <row r="283" spans="1:6" ht="31.5">
      <c r="A283" s="87" t="s">
        <v>288</v>
      </c>
      <c r="B283" s="88">
        <v>280</v>
      </c>
      <c r="C283" s="89" t="s">
        <v>852</v>
      </c>
      <c r="D283" s="90" t="s">
        <v>1585</v>
      </c>
      <c r="E283" s="91" t="s">
        <v>1371</v>
      </c>
    </row>
    <row r="284" spans="1:6">
      <c r="A284" s="87"/>
      <c r="B284" s="88"/>
      <c r="C284" s="89"/>
      <c r="D284" s="106"/>
    </row>
    <row r="285" spans="1:6">
      <c r="A285" s="83" t="s">
        <v>1372</v>
      </c>
      <c r="B285" s="93"/>
      <c r="C285" s="94"/>
      <c r="D285" s="95" t="s">
        <v>589</v>
      </c>
      <c r="E285" s="96" t="s">
        <v>1523</v>
      </c>
      <c r="F285" s="97"/>
    </row>
    <row r="286" spans="1:6">
      <c r="A286" s="87" t="s">
        <v>289</v>
      </c>
      <c r="B286" s="88" t="s">
        <v>762</v>
      </c>
      <c r="C286" s="89" t="s">
        <v>1458</v>
      </c>
      <c r="D286" s="90" t="s">
        <v>1585</v>
      </c>
      <c r="E286" s="89" t="s">
        <v>1459</v>
      </c>
    </row>
    <row r="287" spans="1:6" ht="21">
      <c r="A287" s="87" t="s">
        <v>289</v>
      </c>
      <c r="B287" s="88">
        <v>281</v>
      </c>
      <c r="C287" s="89" t="s">
        <v>752</v>
      </c>
      <c r="D287" s="90" t="s">
        <v>1585</v>
      </c>
      <c r="E287" s="91" t="s">
        <v>1506</v>
      </c>
    </row>
    <row r="288" spans="1:6" ht="31.5">
      <c r="A288" s="87" t="s">
        <v>289</v>
      </c>
      <c r="B288" s="88">
        <v>282</v>
      </c>
      <c r="C288" s="89" t="s">
        <v>753</v>
      </c>
      <c r="D288" s="90" t="s">
        <v>1373</v>
      </c>
      <c r="E288" s="91" t="s">
        <v>1374</v>
      </c>
    </row>
    <row r="289" spans="1:6" ht="21">
      <c r="A289" s="87" t="s">
        <v>289</v>
      </c>
      <c r="B289" s="88">
        <v>283</v>
      </c>
      <c r="C289" s="89" t="s">
        <v>1695</v>
      </c>
      <c r="D289" s="90" t="s">
        <v>1498</v>
      </c>
      <c r="E289" s="91" t="s">
        <v>1375</v>
      </c>
    </row>
    <row r="290" spans="1:6" ht="21">
      <c r="A290" s="87" t="s">
        <v>289</v>
      </c>
      <c r="B290" s="88">
        <v>284</v>
      </c>
      <c r="C290" s="89" t="s">
        <v>754</v>
      </c>
      <c r="D290" s="90" t="s">
        <v>1498</v>
      </c>
      <c r="E290" s="91" t="s">
        <v>1376</v>
      </c>
    </row>
    <row r="291" spans="1:6" ht="21">
      <c r="A291" s="87" t="s">
        <v>289</v>
      </c>
      <c r="B291" s="88">
        <v>285</v>
      </c>
      <c r="C291" s="89" t="s">
        <v>755</v>
      </c>
      <c r="D291" s="90" t="s">
        <v>1498</v>
      </c>
      <c r="E291" s="91" t="s">
        <v>1377</v>
      </c>
    </row>
    <row r="292" spans="1:6" ht="21">
      <c r="A292" s="87" t="s">
        <v>289</v>
      </c>
      <c r="B292" s="88">
        <v>286</v>
      </c>
      <c r="C292" s="89" t="s">
        <v>756</v>
      </c>
      <c r="D292" s="90" t="s">
        <v>1498</v>
      </c>
      <c r="E292" s="91" t="s">
        <v>1378</v>
      </c>
    </row>
    <row r="293" spans="1:6" ht="21">
      <c r="A293" s="87" t="s">
        <v>289</v>
      </c>
      <c r="B293" s="88">
        <v>287</v>
      </c>
      <c r="C293" s="89" t="s">
        <v>757</v>
      </c>
      <c r="D293" s="90" t="s">
        <v>1498</v>
      </c>
      <c r="E293" s="91" t="s">
        <v>1379</v>
      </c>
    </row>
    <row r="294" spans="1:6" ht="21">
      <c r="A294" s="87" t="s">
        <v>289</v>
      </c>
      <c r="B294" s="88">
        <v>288</v>
      </c>
      <c r="C294" s="89" t="s">
        <v>758</v>
      </c>
      <c r="D294" s="90" t="s">
        <v>1498</v>
      </c>
      <c r="E294" s="91" t="s">
        <v>1380</v>
      </c>
    </row>
    <row r="295" spans="1:6" ht="21">
      <c r="A295" s="87" t="s">
        <v>289</v>
      </c>
      <c r="B295" s="88">
        <v>289</v>
      </c>
      <c r="C295" s="89" t="s">
        <v>759</v>
      </c>
      <c r="D295" s="90" t="s">
        <v>1498</v>
      </c>
      <c r="E295" s="91" t="s">
        <v>1381</v>
      </c>
    </row>
    <row r="296" spans="1:6">
      <c r="A296" s="87" t="s">
        <v>289</v>
      </c>
      <c r="B296" s="88">
        <v>294</v>
      </c>
      <c r="C296" s="89" t="s">
        <v>760</v>
      </c>
      <c r="D296" s="90" t="s">
        <v>1585</v>
      </c>
      <c r="E296" s="91" t="s">
        <v>1382</v>
      </c>
    </row>
    <row r="297" spans="1:6">
      <c r="A297" s="87" t="s">
        <v>289</v>
      </c>
      <c r="B297" s="88">
        <v>295</v>
      </c>
      <c r="C297" s="89" t="s">
        <v>761</v>
      </c>
      <c r="D297" s="90" t="s">
        <v>1585</v>
      </c>
      <c r="E297" s="91" t="s">
        <v>1383</v>
      </c>
    </row>
    <row r="298" spans="1:6">
      <c r="A298" s="87"/>
      <c r="B298" s="88"/>
      <c r="C298" s="89"/>
    </row>
    <row r="299" spans="1:6">
      <c r="A299" s="83" t="s">
        <v>1668</v>
      </c>
      <c r="B299" s="94"/>
      <c r="C299" s="94"/>
      <c r="D299" s="95" t="s">
        <v>589</v>
      </c>
      <c r="E299" s="96" t="s">
        <v>1669</v>
      </c>
      <c r="F299" s="94"/>
    </row>
    <row r="300" spans="1:6">
      <c r="A300" s="87" t="s">
        <v>290</v>
      </c>
      <c r="B300" s="88" t="s">
        <v>762</v>
      </c>
      <c r="C300" s="89" t="s">
        <v>1458</v>
      </c>
      <c r="D300" s="90" t="s">
        <v>1585</v>
      </c>
      <c r="E300" s="89" t="s">
        <v>1459</v>
      </c>
    </row>
    <row r="301" spans="1:6" ht="21">
      <c r="A301" s="87" t="s">
        <v>290</v>
      </c>
      <c r="B301" s="88">
        <v>290</v>
      </c>
      <c r="C301" s="89" t="s">
        <v>889</v>
      </c>
      <c r="D301" s="90" t="s">
        <v>1585</v>
      </c>
      <c r="E301" s="91" t="s">
        <v>1591</v>
      </c>
    </row>
    <row r="302" spans="1:6" ht="52.5">
      <c r="A302" s="87" t="s">
        <v>290</v>
      </c>
      <c r="B302" s="88">
        <v>291</v>
      </c>
      <c r="C302" s="89" t="s">
        <v>890</v>
      </c>
      <c r="D302" s="90" t="s">
        <v>1498</v>
      </c>
      <c r="E302" s="91" t="s">
        <v>1299</v>
      </c>
    </row>
    <row r="303" spans="1:6">
      <c r="A303" s="87" t="s">
        <v>290</v>
      </c>
      <c r="B303" s="88">
        <v>292</v>
      </c>
      <c r="C303" s="89" t="s">
        <v>891</v>
      </c>
      <c r="D303" s="90" t="s">
        <v>1498</v>
      </c>
      <c r="E303" s="91" t="s">
        <v>1525</v>
      </c>
    </row>
    <row r="304" spans="1:6">
      <c r="A304" s="87" t="s">
        <v>290</v>
      </c>
      <c r="B304" s="88">
        <v>293</v>
      </c>
      <c r="C304" s="89" t="s">
        <v>892</v>
      </c>
      <c r="D304" s="90" t="s">
        <v>1585</v>
      </c>
      <c r="E304" s="91" t="s">
        <v>1590</v>
      </c>
    </row>
    <row r="305" spans="1:6">
      <c r="A305" s="87"/>
      <c r="B305" s="88"/>
      <c r="C305" s="89"/>
    </row>
    <row r="306" spans="1:6">
      <c r="A306" s="83" t="s">
        <v>1421</v>
      </c>
      <c r="B306" s="93"/>
      <c r="C306" s="94"/>
      <c r="D306" s="95" t="s">
        <v>589</v>
      </c>
      <c r="E306" s="96" t="s">
        <v>1570</v>
      </c>
      <c r="F306" s="97"/>
    </row>
    <row r="307" spans="1:6">
      <c r="A307" s="82" t="s">
        <v>291</v>
      </c>
      <c r="B307" s="88" t="s">
        <v>762</v>
      </c>
      <c r="C307" s="89" t="s">
        <v>1458</v>
      </c>
      <c r="D307" s="90" t="s">
        <v>1585</v>
      </c>
      <c r="E307" s="89" t="s">
        <v>1459</v>
      </c>
    </row>
    <row r="308" spans="1:6" ht="21">
      <c r="A308" s="82" t="s">
        <v>291</v>
      </c>
      <c r="B308" s="108">
        <v>298</v>
      </c>
      <c r="C308" s="92" t="s">
        <v>884</v>
      </c>
      <c r="D308" s="90" t="s">
        <v>1585</v>
      </c>
      <c r="E308" s="91" t="s">
        <v>1591</v>
      </c>
    </row>
    <row r="309" spans="1:6" ht="52.5">
      <c r="A309" s="82" t="s">
        <v>291</v>
      </c>
      <c r="B309" s="108">
        <v>299</v>
      </c>
      <c r="C309" s="92" t="s">
        <v>885</v>
      </c>
      <c r="D309" s="90" t="s">
        <v>1498</v>
      </c>
      <c r="E309" s="91" t="s">
        <v>1299</v>
      </c>
    </row>
    <row r="310" spans="1:6">
      <c r="A310" s="82" t="s">
        <v>291</v>
      </c>
      <c r="B310" s="108">
        <v>300</v>
      </c>
      <c r="C310" s="92" t="s">
        <v>886</v>
      </c>
      <c r="D310" s="90" t="s">
        <v>1498</v>
      </c>
      <c r="E310" s="91" t="s">
        <v>1525</v>
      </c>
    </row>
    <row r="311" spans="1:6">
      <c r="A311" s="82" t="s">
        <v>291</v>
      </c>
      <c r="B311" s="108">
        <v>301</v>
      </c>
      <c r="C311" s="92" t="s">
        <v>887</v>
      </c>
      <c r="D311" s="90" t="s">
        <v>1585</v>
      </c>
      <c r="E311" s="91" t="s">
        <v>1592</v>
      </c>
    </row>
    <row r="314" spans="1:6">
      <c r="A314" s="83" t="s">
        <v>1384</v>
      </c>
      <c r="B314" s="93"/>
      <c r="C314" s="94"/>
      <c r="D314" s="95" t="s">
        <v>586</v>
      </c>
      <c r="E314" s="96" t="s">
        <v>1223</v>
      </c>
      <c r="F314" s="97"/>
    </row>
    <row r="315" spans="1:6">
      <c r="A315" s="82" t="s">
        <v>292</v>
      </c>
      <c r="B315" s="109" t="s">
        <v>1575</v>
      </c>
      <c r="C315" s="92" t="s">
        <v>862</v>
      </c>
      <c r="D315" s="90" t="s">
        <v>1585</v>
      </c>
      <c r="E315" s="91" t="s">
        <v>1385</v>
      </c>
    </row>
    <row r="316" spans="1:6">
      <c r="A316" s="82" t="s">
        <v>292</v>
      </c>
      <c r="B316" s="109">
        <v>49</v>
      </c>
      <c r="C316" s="92" t="s">
        <v>863</v>
      </c>
      <c r="D316" s="90" t="s">
        <v>1585</v>
      </c>
      <c r="E316" s="91" t="s">
        <v>1386</v>
      </c>
    </row>
    <row r="317" spans="1:6">
      <c r="A317" s="82" t="s">
        <v>292</v>
      </c>
      <c r="B317" s="109">
        <v>50</v>
      </c>
      <c r="C317" s="92" t="s">
        <v>864</v>
      </c>
      <c r="D317" s="90" t="s">
        <v>1585</v>
      </c>
      <c r="E317" s="91" t="s">
        <v>1387</v>
      </c>
    </row>
    <row r="318" spans="1:6" ht="31.5">
      <c r="A318" s="82" t="s">
        <v>292</v>
      </c>
      <c r="B318" s="109">
        <v>51</v>
      </c>
      <c r="C318" s="92" t="s">
        <v>1388</v>
      </c>
      <c r="D318" s="90" t="s">
        <v>1585</v>
      </c>
      <c r="E318" s="91" t="s">
        <v>1389</v>
      </c>
    </row>
    <row r="319" spans="1:6" ht="31.5">
      <c r="A319" s="82" t="s">
        <v>292</v>
      </c>
      <c r="B319" s="109">
        <v>52</v>
      </c>
      <c r="C319" s="92" t="s">
        <v>1390</v>
      </c>
      <c r="D319" s="90" t="s">
        <v>1588</v>
      </c>
      <c r="E319" s="91" t="s">
        <v>1391</v>
      </c>
    </row>
  </sheetData>
  <dataValidations count="2">
    <dataValidation allowBlank="1" showInputMessage="1" showErrorMessage="1" prompt="Current version of the Excel template" sqref="B1" xr:uid="{FD34C7BF-D311-4BB8-9372-FC36DC495FA2}"/>
    <dataValidation allowBlank="1" showErrorMessage="1" promptTitle="Mandatory" prompt="INPUT_FORMAT_x000a__x000a_Required to select the right report type" sqref="A1" xr:uid="{39867DDA-E96B-4532-B6CE-24D5FC1C775F}"/>
  </dataValidations>
  <hyperlinks>
    <hyperlink ref="C1" r:id="rId1" display="(click here to download the latest template)" xr:uid="{D4564A5C-0269-4204-BF31-497A44F06BD6}"/>
    <hyperlink ref="C2" r:id="rId2" xr:uid="{07BA0B7B-9266-4461-B90E-CB8B0CB85F66}"/>
  </hyperlinks>
  <pageMargins left="0.70866141732283472" right="0.70866141732283472" top="0.74803149606299213" bottom="0.74803149606299213" header="0.31496062992125984" footer="0.31496062992125984"/>
  <pageSetup paperSize="9" scale="43" fitToHeight="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B616-9AAE-4CDA-8F3A-CF5B5556ABE7}">
  <sheetPr>
    <tabColor theme="4" tint="0.59999389629810485"/>
    <pageSetUpPr fitToPage="1"/>
  </sheetPr>
  <dimension ref="A1:B1"/>
  <sheetViews>
    <sheetView workbookViewId="0">
      <selection activeCell="AD10" sqref="AD10"/>
    </sheetView>
  </sheetViews>
  <sheetFormatPr baseColWidth="10" defaultColWidth="9.1796875" defaultRowHeight="14.5"/>
  <cols>
    <col min="1" max="16384" width="9.1796875" style="19"/>
  </cols>
  <sheetData>
    <row r="1" spans="1:2">
      <c r="A1" s="19" t="s">
        <v>1693</v>
      </c>
      <c r="B1" s="172" t="s">
        <v>1694</v>
      </c>
    </row>
  </sheetData>
  <hyperlinks>
    <hyperlink ref="B1" r:id="rId1" xr:uid="{49296F82-C798-4373-8B56-1609D518D0E9}"/>
  </hyperlinks>
  <pageMargins left="0.7" right="0.7" top="0.75" bottom="0.75" header="0.3" footer="0.3"/>
  <pageSetup paperSize="9" scale="51" fitToHeight="0" orientation="landscape" horizontalDpi="0"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80A-B013-4CA8-BEE1-CC1F62CA6937}">
  <sheetPr filterMode="1">
    <tabColor theme="4" tint="0.59999389629810485"/>
    <pageSetUpPr fitToPage="1"/>
  </sheetPr>
  <dimension ref="A1:P51"/>
  <sheetViews>
    <sheetView workbookViewId="0">
      <pane xSplit="4" ySplit="2" topLeftCell="E43" activePane="bottomRight" state="frozen"/>
      <selection pane="topRight" activeCell="E1" sqref="E1"/>
      <selection pane="bottomLeft" activeCell="A3" sqref="A3"/>
      <selection pane="bottomRight" activeCell="F65" sqref="F65"/>
    </sheetView>
  </sheetViews>
  <sheetFormatPr baseColWidth="10" defaultColWidth="8.81640625" defaultRowHeight="10.5"/>
  <cols>
    <col min="1" max="1" width="2" style="65" customWidth="1"/>
    <col min="2" max="3" width="9.54296875" style="127" customWidth="1"/>
    <col min="4" max="4" width="2.1796875" style="65" customWidth="1"/>
    <col min="5" max="5" width="14.54296875" style="61" bestFit="1" customWidth="1"/>
    <col min="6" max="6" width="46.81640625" style="62" customWidth="1"/>
    <col min="7" max="7" width="3" style="62" customWidth="1"/>
    <col min="8" max="8" width="13.1796875" style="63" bestFit="1" customWidth="1"/>
    <col min="9" max="9" width="51.453125" style="62" customWidth="1"/>
    <col min="10" max="10" width="16" style="64" bestFit="1" customWidth="1"/>
    <col min="11" max="11" width="8" style="64" bestFit="1" customWidth="1"/>
    <col min="12" max="12" width="5.81640625" style="64" bestFit="1" customWidth="1"/>
    <col min="13" max="13" width="9.81640625" style="64" bestFit="1" customWidth="1"/>
    <col min="14" max="14" width="14.81640625" style="64" bestFit="1" customWidth="1"/>
    <col min="15" max="15" width="10.453125" style="64" customWidth="1"/>
    <col min="16" max="16" width="9.1796875" style="64" bestFit="1" customWidth="1"/>
    <col min="17" max="16384" width="8.81640625" style="21"/>
  </cols>
  <sheetData>
    <row r="1" spans="1:16" ht="16" thickBot="1">
      <c r="A1" s="65" t="s">
        <v>293</v>
      </c>
      <c r="B1" s="251" t="s">
        <v>1471</v>
      </c>
      <c r="C1" s="252"/>
      <c r="E1" s="245" t="s">
        <v>1472</v>
      </c>
      <c r="F1" s="246"/>
      <c r="G1" s="20"/>
      <c r="H1" s="245" t="s">
        <v>1473</v>
      </c>
      <c r="I1" s="247"/>
      <c r="J1" s="247"/>
      <c r="K1" s="247"/>
      <c r="L1" s="247"/>
      <c r="M1" s="247"/>
      <c r="N1" s="247"/>
      <c r="O1" s="247"/>
      <c r="P1" s="247"/>
    </row>
    <row r="2" spans="1:16" s="29" customFormat="1" ht="42.5" thickBot="1">
      <c r="A2" s="66"/>
      <c r="B2" s="120" t="s">
        <v>1474</v>
      </c>
      <c r="C2" s="121" t="s">
        <v>1475</v>
      </c>
      <c r="D2" s="66"/>
      <c r="E2" s="22" t="s">
        <v>1476</v>
      </c>
      <c r="F2" s="23" t="s">
        <v>905</v>
      </c>
      <c r="G2" s="248"/>
      <c r="H2" s="24" t="s">
        <v>1477</v>
      </c>
      <c r="I2" s="25" t="s">
        <v>906</v>
      </c>
      <c r="J2" s="24" t="s">
        <v>907</v>
      </c>
      <c r="K2" s="26" t="s">
        <v>908</v>
      </c>
      <c r="L2" s="26" t="s">
        <v>909</v>
      </c>
      <c r="M2" s="26" t="s">
        <v>910</v>
      </c>
      <c r="N2" s="27" t="s">
        <v>911</v>
      </c>
      <c r="O2" s="28" t="s">
        <v>1478</v>
      </c>
      <c r="P2" s="27" t="s">
        <v>912</v>
      </c>
    </row>
    <row r="3" spans="1:16" hidden="1">
      <c r="B3" s="122">
        <v>2</v>
      </c>
      <c r="C3" s="123">
        <v>3</v>
      </c>
      <c r="E3" s="30">
        <v>1</v>
      </c>
      <c r="F3" s="31" t="s">
        <v>1398</v>
      </c>
      <c r="G3" s="249"/>
      <c r="H3" s="32">
        <v>1</v>
      </c>
      <c r="I3" s="33" t="s">
        <v>1692</v>
      </c>
      <c r="J3" s="34" t="s">
        <v>913</v>
      </c>
      <c r="K3" s="35" t="s">
        <v>913</v>
      </c>
      <c r="L3" s="44" t="s">
        <v>919</v>
      </c>
      <c r="M3" s="35" t="s">
        <v>913</v>
      </c>
      <c r="N3" s="36" t="s">
        <v>914</v>
      </c>
      <c r="O3" s="37" t="s">
        <v>915</v>
      </c>
      <c r="P3" s="38" t="s">
        <v>916</v>
      </c>
    </row>
    <row r="4" spans="1:16" hidden="1">
      <c r="B4" s="124">
        <v>1</v>
      </c>
      <c r="C4" s="125">
        <v>4</v>
      </c>
      <c r="E4" s="39">
        <v>2</v>
      </c>
      <c r="F4" s="40" t="s">
        <v>917</v>
      </c>
      <c r="G4" s="249"/>
      <c r="H4" s="41">
        <v>2</v>
      </c>
      <c r="I4" s="42" t="s">
        <v>918</v>
      </c>
      <c r="J4" s="43" t="s">
        <v>914</v>
      </c>
      <c r="K4" s="44" t="s">
        <v>919</v>
      </c>
      <c r="L4" s="44" t="s">
        <v>919</v>
      </c>
      <c r="M4" s="44" t="s">
        <v>913</v>
      </c>
      <c r="N4" s="45" t="s">
        <v>914</v>
      </c>
      <c r="O4" s="46" t="s">
        <v>915</v>
      </c>
      <c r="P4" s="47" t="s">
        <v>920</v>
      </c>
    </row>
    <row r="5" spans="1:16" hidden="1">
      <c r="B5" s="124">
        <v>1</v>
      </c>
      <c r="C5" s="125">
        <v>4</v>
      </c>
      <c r="E5" s="39">
        <v>2</v>
      </c>
      <c r="F5" s="40" t="s">
        <v>917</v>
      </c>
      <c r="G5" s="249"/>
      <c r="H5" s="41">
        <v>3</v>
      </c>
      <c r="I5" s="42" t="s">
        <v>921</v>
      </c>
      <c r="J5" s="43" t="s">
        <v>914</v>
      </c>
      <c r="K5" s="44" t="s">
        <v>919</v>
      </c>
      <c r="L5" s="44" t="s">
        <v>914</v>
      </c>
      <c r="M5" s="44" t="s">
        <v>919</v>
      </c>
      <c r="N5" s="45" t="s">
        <v>914</v>
      </c>
      <c r="O5" s="46" t="s">
        <v>915</v>
      </c>
      <c r="P5" s="47" t="s">
        <v>920</v>
      </c>
    </row>
    <row r="6" spans="1:16" hidden="1">
      <c r="B6" s="124">
        <v>1</v>
      </c>
      <c r="C6" s="125">
        <v>5</v>
      </c>
      <c r="E6" s="39">
        <v>2</v>
      </c>
      <c r="F6" s="40" t="s">
        <v>917</v>
      </c>
      <c r="G6" s="249"/>
      <c r="H6" s="41">
        <v>4</v>
      </c>
      <c r="I6" s="42" t="s">
        <v>922</v>
      </c>
      <c r="J6" s="43" t="s">
        <v>914</v>
      </c>
      <c r="K6" s="44" t="s">
        <v>919</v>
      </c>
      <c r="L6" s="44" t="s">
        <v>914</v>
      </c>
      <c r="M6" s="44" t="s">
        <v>914</v>
      </c>
      <c r="N6" s="45" t="s">
        <v>914</v>
      </c>
      <c r="O6" s="46" t="s">
        <v>915</v>
      </c>
      <c r="P6" s="47" t="s">
        <v>923</v>
      </c>
    </row>
    <row r="7" spans="1:16" hidden="1">
      <c r="B7" s="124">
        <v>1</v>
      </c>
      <c r="C7" s="125">
        <v>2</v>
      </c>
      <c r="E7" s="39">
        <v>2</v>
      </c>
      <c r="F7" s="40" t="s">
        <v>917</v>
      </c>
      <c r="G7" s="249"/>
      <c r="H7" s="41">
        <v>5</v>
      </c>
      <c r="I7" s="42" t="s">
        <v>924</v>
      </c>
      <c r="J7" s="48" t="s">
        <v>913</v>
      </c>
      <c r="K7" s="49" t="s">
        <v>914</v>
      </c>
      <c r="L7" s="44" t="s">
        <v>919</v>
      </c>
      <c r="M7" s="44" t="s">
        <v>913</v>
      </c>
      <c r="N7" s="45" t="s">
        <v>914</v>
      </c>
      <c r="O7" s="46" t="s">
        <v>915</v>
      </c>
      <c r="P7" s="47" t="s">
        <v>925</v>
      </c>
    </row>
    <row r="8" spans="1:16" hidden="1">
      <c r="B8" s="124">
        <v>1</v>
      </c>
      <c r="C8" s="125">
        <v>2</v>
      </c>
      <c r="E8" s="39">
        <v>2</v>
      </c>
      <c r="F8" s="40" t="s">
        <v>917</v>
      </c>
      <c r="G8" s="249"/>
      <c r="H8" s="41">
        <v>6</v>
      </c>
      <c r="I8" s="42" t="s">
        <v>926</v>
      </c>
      <c r="J8" s="48" t="s">
        <v>913</v>
      </c>
      <c r="K8" s="49" t="s">
        <v>914</v>
      </c>
      <c r="L8" s="44" t="s">
        <v>914</v>
      </c>
      <c r="M8" s="44" t="s">
        <v>919</v>
      </c>
      <c r="N8" s="45" t="s">
        <v>914</v>
      </c>
      <c r="O8" s="46" t="s">
        <v>915</v>
      </c>
      <c r="P8" s="47" t="s">
        <v>925</v>
      </c>
    </row>
    <row r="9" spans="1:16" hidden="1">
      <c r="B9" s="124">
        <v>1</v>
      </c>
      <c r="C9" s="125">
        <v>1</v>
      </c>
      <c r="E9" s="39">
        <v>2</v>
      </c>
      <c r="F9" s="40" t="s">
        <v>917</v>
      </c>
      <c r="G9" s="249"/>
      <c r="H9" s="41">
        <v>7</v>
      </c>
      <c r="I9" s="42" t="s">
        <v>927</v>
      </c>
      <c r="J9" s="48" t="s">
        <v>913</v>
      </c>
      <c r="K9" s="49" t="s">
        <v>914</v>
      </c>
      <c r="L9" s="44" t="s">
        <v>914</v>
      </c>
      <c r="M9" s="44" t="s">
        <v>914</v>
      </c>
      <c r="N9" s="45" t="s">
        <v>914</v>
      </c>
      <c r="O9" s="46" t="s">
        <v>915</v>
      </c>
      <c r="P9" s="47" t="s">
        <v>928</v>
      </c>
    </row>
    <row r="10" spans="1:16" ht="21" hidden="1">
      <c r="B10" s="124">
        <v>1</v>
      </c>
      <c r="C10" s="125">
        <v>2</v>
      </c>
      <c r="E10" s="39">
        <v>3</v>
      </c>
      <c r="F10" s="40" t="s">
        <v>929</v>
      </c>
      <c r="G10" s="249"/>
      <c r="H10" s="41">
        <v>8</v>
      </c>
      <c r="I10" s="42" t="s">
        <v>930</v>
      </c>
      <c r="J10" s="43" t="s">
        <v>919</v>
      </c>
      <c r="K10" s="49" t="s">
        <v>914</v>
      </c>
      <c r="L10" s="44" t="s">
        <v>919</v>
      </c>
      <c r="M10" s="44" t="s">
        <v>913</v>
      </c>
      <c r="N10" s="50" t="s">
        <v>913</v>
      </c>
      <c r="O10" s="46" t="s">
        <v>915</v>
      </c>
      <c r="P10" s="47" t="s">
        <v>925</v>
      </c>
    </row>
    <row r="11" spans="1:16" ht="30.5" hidden="1">
      <c r="B11" s="124">
        <v>1</v>
      </c>
      <c r="C11" s="125">
        <v>2</v>
      </c>
      <c r="E11" s="39">
        <v>3</v>
      </c>
      <c r="F11" s="40" t="s">
        <v>929</v>
      </c>
      <c r="G11" s="249"/>
      <c r="H11" s="41">
        <v>9</v>
      </c>
      <c r="I11" s="42" t="s">
        <v>931</v>
      </c>
      <c r="J11" s="43" t="s">
        <v>919</v>
      </c>
      <c r="K11" s="49" t="s">
        <v>914</v>
      </c>
      <c r="L11" s="44" t="s">
        <v>914</v>
      </c>
      <c r="M11" s="44" t="s">
        <v>919</v>
      </c>
      <c r="N11" s="50" t="s">
        <v>913</v>
      </c>
      <c r="O11" s="46" t="s">
        <v>915</v>
      </c>
      <c r="P11" s="47" t="s">
        <v>925</v>
      </c>
    </row>
    <row r="12" spans="1:16" ht="30.5" hidden="1">
      <c r="B12" s="124">
        <v>1</v>
      </c>
      <c r="C12" s="125">
        <v>1</v>
      </c>
      <c r="E12" s="39">
        <v>3</v>
      </c>
      <c r="F12" s="40" t="s">
        <v>929</v>
      </c>
      <c r="G12" s="249"/>
      <c r="H12" s="41">
        <v>10</v>
      </c>
      <c r="I12" s="42" t="s">
        <v>932</v>
      </c>
      <c r="J12" s="43" t="s">
        <v>919</v>
      </c>
      <c r="K12" s="49" t="s">
        <v>914</v>
      </c>
      <c r="L12" s="44" t="s">
        <v>914</v>
      </c>
      <c r="M12" s="44" t="s">
        <v>914</v>
      </c>
      <c r="N12" s="50" t="s">
        <v>913</v>
      </c>
      <c r="O12" s="46" t="s">
        <v>915</v>
      </c>
      <c r="P12" s="47" t="s">
        <v>928</v>
      </c>
    </row>
    <row r="13" spans="1:16" hidden="1">
      <c r="B13" s="124">
        <v>1</v>
      </c>
      <c r="C13" s="125">
        <v>4</v>
      </c>
      <c r="E13" s="39">
        <v>4</v>
      </c>
      <c r="F13" s="40" t="s">
        <v>933</v>
      </c>
      <c r="G13" s="249"/>
      <c r="H13" s="41">
        <v>11</v>
      </c>
      <c r="I13" s="42" t="s">
        <v>934</v>
      </c>
      <c r="J13" s="43" t="s">
        <v>914</v>
      </c>
      <c r="K13" s="44" t="s">
        <v>919</v>
      </c>
      <c r="L13" s="44" t="s">
        <v>919</v>
      </c>
      <c r="M13" s="44" t="s">
        <v>913</v>
      </c>
      <c r="N13" s="50" t="s">
        <v>914</v>
      </c>
      <c r="O13" s="46" t="s">
        <v>935</v>
      </c>
      <c r="P13" s="47" t="s">
        <v>920</v>
      </c>
    </row>
    <row r="14" spans="1:16" ht="20.5" hidden="1">
      <c r="B14" s="124">
        <v>1</v>
      </c>
      <c r="C14" s="125">
        <v>4</v>
      </c>
      <c r="E14" s="39">
        <v>4</v>
      </c>
      <c r="F14" s="40" t="s">
        <v>933</v>
      </c>
      <c r="G14" s="249"/>
      <c r="H14" s="41">
        <v>12</v>
      </c>
      <c r="I14" s="42" t="s">
        <v>936</v>
      </c>
      <c r="J14" s="43" t="s">
        <v>914</v>
      </c>
      <c r="K14" s="44" t="s">
        <v>919</v>
      </c>
      <c r="L14" s="44" t="s">
        <v>914</v>
      </c>
      <c r="M14" s="44" t="s">
        <v>919</v>
      </c>
      <c r="N14" s="50" t="s">
        <v>914</v>
      </c>
      <c r="O14" s="46" t="s">
        <v>935</v>
      </c>
      <c r="P14" s="47" t="s">
        <v>920</v>
      </c>
    </row>
    <row r="15" spans="1:16" ht="20.5" hidden="1">
      <c r="B15" s="124">
        <v>1</v>
      </c>
      <c r="C15" s="125">
        <v>5</v>
      </c>
      <c r="E15" s="39">
        <v>4</v>
      </c>
      <c r="F15" s="40" t="s">
        <v>933</v>
      </c>
      <c r="G15" s="249"/>
      <c r="H15" s="41">
        <v>13</v>
      </c>
      <c r="I15" s="42" t="s">
        <v>937</v>
      </c>
      <c r="J15" s="43" t="s">
        <v>914</v>
      </c>
      <c r="K15" s="44" t="s">
        <v>919</v>
      </c>
      <c r="L15" s="44" t="s">
        <v>914</v>
      </c>
      <c r="M15" s="44" t="s">
        <v>914</v>
      </c>
      <c r="N15" s="50" t="s">
        <v>914</v>
      </c>
      <c r="O15" s="46" t="s">
        <v>935</v>
      </c>
      <c r="P15" s="47" t="s">
        <v>923</v>
      </c>
    </row>
    <row r="16" spans="1:16" hidden="1">
      <c r="B16" s="124">
        <v>1</v>
      </c>
      <c r="C16" s="125">
        <v>2</v>
      </c>
      <c r="E16" s="39">
        <v>4</v>
      </c>
      <c r="F16" s="40" t="s">
        <v>933</v>
      </c>
      <c r="G16" s="249"/>
      <c r="H16" s="41">
        <v>14</v>
      </c>
      <c r="I16" s="42" t="s">
        <v>938</v>
      </c>
      <c r="J16" s="48" t="s">
        <v>914</v>
      </c>
      <c r="K16" s="44" t="s">
        <v>914</v>
      </c>
      <c r="L16" s="44" t="s">
        <v>919</v>
      </c>
      <c r="M16" s="44" t="s">
        <v>913</v>
      </c>
      <c r="N16" s="50" t="s">
        <v>914</v>
      </c>
      <c r="O16" s="46" t="s">
        <v>935</v>
      </c>
      <c r="P16" s="47" t="s">
        <v>925</v>
      </c>
    </row>
    <row r="17" spans="2:16" ht="20.5" hidden="1">
      <c r="B17" s="124">
        <v>1</v>
      </c>
      <c r="C17" s="125">
        <v>2</v>
      </c>
      <c r="E17" s="39">
        <v>4</v>
      </c>
      <c r="F17" s="40" t="s">
        <v>933</v>
      </c>
      <c r="G17" s="249"/>
      <c r="H17" s="41">
        <v>15</v>
      </c>
      <c r="I17" s="42" t="s">
        <v>939</v>
      </c>
      <c r="J17" s="48" t="s">
        <v>914</v>
      </c>
      <c r="K17" s="44" t="s">
        <v>914</v>
      </c>
      <c r="L17" s="44" t="s">
        <v>914</v>
      </c>
      <c r="M17" s="44" t="s">
        <v>919</v>
      </c>
      <c r="N17" s="50" t="s">
        <v>914</v>
      </c>
      <c r="O17" s="46" t="s">
        <v>935</v>
      </c>
      <c r="P17" s="47" t="s">
        <v>925</v>
      </c>
    </row>
    <row r="18" spans="2:16" ht="20.5" hidden="1">
      <c r="B18" s="124">
        <v>1</v>
      </c>
      <c r="C18" s="125">
        <v>1</v>
      </c>
      <c r="E18" s="39">
        <v>4</v>
      </c>
      <c r="F18" s="40" t="s">
        <v>933</v>
      </c>
      <c r="G18" s="249"/>
      <c r="H18" s="41">
        <v>16</v>
      </c>
      <c r="I18" s="42" t="s">
        <v>940</v>
      </c>
      <c r="J18" s="48" t="s">
        <v>914</v>
      </c>
      <c r="K18" s="44" t="s">
        <v>914</v>
      </c>
      <c r="L18" s="44" t="s">
        <v>914</v>
      </c>
      <c r="M18" s="44" t="s">
        <v>914</v>
      </c>
      <c r="N18" s="50" t="s">
        <v>914</v>
      </c>
      <c r="O18" s="46" t="s">
        <v>935</v>
      </c>
      <c r="P18" s="47" t="s">
        <v>928</v>
      </c>
    </row>
    <row r="19" spans="2:16" ht="20.5" hidden="1">
      <c r="B19" s="124">
        <v>1</v>
      </c>
      <c r="C19" s="125">
        <v>2</v>
      </c>
      <c r="E19" s="39">
        <v>4</v>
      </c>
      <c r="F19" s="40" t="s">
        <v>933</v>
      </c>
      <c r="G19" s="249"/>
      <c r="H19" s="41">
        <v>17</v>
      </c>
      <c r="I19" s="42" t="s">
        <v>941</v>
      </c>
      <c r="J19" s="48" t="s">
        <v>919</v>
      </c>
      <c r="K19" s="49" t="s">
        <v>914</v>
      </c>
      <c r="L19" s="44" t="s">
        <v>919</v>
      </c>
      <c r="M19" s="44" t="s">
        <v>913</v>
      </c>
      <c r="N19" s="50" t="s">
        <v>913</v>
      </c>
      <c r="O19" s="46" t="s">
        <v>915</v>
      </c>
      <c r="P19" s="47" t="s">
        <v>925</v>
      </c>
    </row>
    <row r="20" spans="2:16" ht="20.5" hidden="1">
      <c r="B20" s="124">
        <v>1</v>
      </c>
      <c r="C20" s="125">
        <v>2</v>
      </c>
      <c r="E20" s="39">
        <v>4</v>
      </c>
      <c r="F20" s="40" t="s">
        <v>933</v>
      </c>
      <c r="G20" s="249"/>
      <c r="H20" s="41">
        <v>18</v>
      </c>
      <c r="I20" s="42" t="s">
        <v>942</v>
      </c>
      <c r="J20" s="48" t="s">
        <v>919</v>
      </c>
      <c r="K20" s="49" t="s">
        <v>914</v>
      </c>
      <c r="L20" s="44" t="s">
        <v>914</v>
      </c>
      <c r="M20" s="44" t="s">
        <v>919</v>
      </c>
      <c r="N20" s="50" t="s">
        <v>913</v>
      </c>
      <c r="O20" s="46" t="s">
        <v>915</v>
      </c>
      <c r="P20" s="47" t="s">
        <v>925</v>
      </c>
    </row>
    <row r="21" spans="2:16" ht="20.5" hidden="1">
      <c r="B21" s="124">
        <v>1</v>
      </c>
      <c r="C21" s="125">
        <v>1</v>
      </c>
      <c r="E21" s="39">
        <v>4</v>
      </c>
      <c r="F21" s="40" t="s">
        <v>933</v>
      </c>
      <c r="G21" s="249"/>
      <c r="H21" s="41">
        <v>19</v>
      </c>
      <c r="I21" s="42" t="s">
        <v>943</v>
      </c>
      <c r="J21" s="48" t="s">
        <v>919</v>
      </c>
      <c r="K21" s="49" t="s">
        <v>914</v>
      </c>
      <c r="L21" s="44" t="s">
        <v>914</v>
      </c>
      <c r="M21" s="44" t="s">
        <v>914</v>
      </c>
      <c r="N21" s="50" t="s">
        <v>913</v>
      </c>
      <c r="O21" s="46" t="s">
        <v>915</v>
      </c>
      <c r="P21" s="47" t="s">
        <v>928</v>
      </c>
    </row>
    <row r="22" spans="2:16" hidden="1">
      <c r="B22" s="124">
        <v>1</v>
      </c>
      <c r="C22" s="125">
        <v>4</v>
      </c>
      <c r="E22" s="39">
        <v>4</v>
      </c>
      <c r="F22" s="40" t="s">
        <v>933</v>
      </c>
      <c r="G22" s="249"/>
      <c r="H22" s="41">
        <v>20</v>
      </c>
      <c r="I22" s="42" t="s">
        <v>944</v>
      </c>
      <c r="J22" s="43" t="s">
        <v>914</v>
      </c>
      <c r="K22" s="44" t="s">
        <v>919</v>
      </c>
      <c r="L22" s="44" t="s">
        <v>919</v>
      </c>
      <c r="M22" s="44" t="s">
        <v>913</v>
      </c>
      <c r="N22" s="50" t="s">
        <v>919</v>
      </c>
      <c r="O22" s="46" t="s">
        <v>945</v>
      </c>
      <c r="P22" s="47" t="s">
        <v>920</v>
      </c>
    </row>
    <row r="23" spans="2:16" ht="20.5" hidden="1">
      <c r="B23" s="124">
        <v>1</v>
      </c>
      <c r="C23" s="125">
        <v>4</v>
      </c>
      <c r="E23" s="39">
        <v>4</v>
      </c>
      <c r="F23" s="40" t="s">
        <v>933</v>
      </c>
      <c r="G23" s="249"/>
      <c r="H23" s="41">
        <v>21</v>
      </c>
      <c r="I23" s="42" t="s">
        <v>946</v>
      </c>
      <c r="J23" s="43" t="s">
        <v>914</v>
      </c>
      <c r="K23" s="44" t="s">
        <v>919</v>
      </c>
      <c r="L23" s="44" t="s">
        <v>914</v>
      </c>
      <c r="M23" s="44" t="s">
        <v>919</v>
      </c>
      <c r="N23" s="50" t="s">
        <v>919</v>
      </c>
      <c r="O23" s="46" t="s">
        <v>945</v>
      </c>
      <c r="P23" s="47" t="s">
        <v>920</v>
      </c>
    </row>
    <row r="24" spans="2:16" ht="20.5" hidden="1">
      <c r="B24" s="124">
        <v>1</v>
      </c>
      <c r="C24" s="125">
        <v>5</v>
      </c>
      <c r="E24" s="39">
        <v>4</v>
      </c>
      <c r="F24" s="40" t="s">
        <v>933</v>
      </c>
      <c r="G24" s="249"/>
      <c r="H24" s="41">
        <v>22</v>
      </c>
      <c r="I24" s="42" t="s">
        <v>947</v>
      </c>
      <c r="J24" s="43" t="s">
        <v>914</v>
      </c>
      <c r="K24" s="44" t="s">
        <v>919</v>
      </c>
      <c r="L24" s="44" t="s">
        <v>914</v>
      </c>
      <c r="M24" s="44" t="s">
        <v>914</v>
      </c>
      <c r="N24" s="50" t="s">
        <v>919</v>
      </c>
      <c r="O24" s="46" t="s">
        <v>945</v>
      </c>
      <c r="P24" s="47" t="s">
        <v>923</v>
      </c>
    </row>
    <row r="25" spans="2:16" hidden="1">
      <c r="B25" s="124">
        <v>1</v>
      </c>
      <c r="C25" s="125">
        <v>2</v>
      </c>
      <c r="E25" s="39">
        <v>4</v>
      </c>
      <c r="F25" s="40" t="s">
        <v>933</v>
      </c>
      <c r="G25" s="249"/>
      <c r="H25" s="41">
        <v>23</v>
      </c>
      <c r="I25" s="42" t="s">
        <v>948</v>
      </c>
      <c r="J25" s="48" t="s">
        <v>914</v>
      </c>
      <c r="K25" s="44" t="s">
        <v>914</v>
      </c>
      <c r="L25" s="44" t="s">
        <v>919</v>
      </c>
      <c r="M25" s="44" t="s">
        <v>913</v>
      </c>
      <c r="N25" s="50" t="s">
        <v>919</v>
      </c>
      <c r="O25" s="46" t="s">
        <v>945</v>
      </c>
      <c r="P25" s="47" t="s">
        <v>925</v>
      </c>
    </row>
    <row r="26" spans="2:16" ht="20.5" hidden="1">
      <c r="B26" s="124">
        <v>1</v>
      </c>
      <c r="C26" s="125">
        <v>2</v>
      </c>
      <c r="E26" s="39">
        <v>4</v>
      </c>
      <c r="F26" s="40" t="s">
        <v>933</v>
      </c>
      <c r="G26" s="249"/>
      <c r="H26" s="41">
        <v>24</v>
      </c>
      <c r="I26" s="42" t="s">
        <v>949</v>
      </c>
      <c r="J26" s="48" t="s">
        <v>914</v>
      </c>
      <c r="K26" s="44" t="s">
        <v>914</v>
      </c>
      <c r="L26" s="44" t="s">
        <v>914</v>
      </c>
      <c r="M26" s="44" t="s">
        <v>919</v>
      </c>
      <c r="N26" s="50" t="s">
        <v>919</v>
      </c>
      <c r="O26" s="46" t="s">
        <v>945</v>
      </c>
      <c r="P26" s="47" t="s">
        <v>925</v>
      </c>
    </row>
    <row r="27" spans="2:16" ht="20.5" hidden="1">
      <c r="B27" s="124">
        <v>1</v>
      </c>
      <c r="C27" s="125">
        <v>1</v>
      </c>
      <c r="E27" s="39">
        <v>4</v>
      </c>
      <c r="F27" s="40" t="s">
        <v>933</v>
      </c>
      <c r="G27" s="249"/>
      <c r="H27" s="41">
        <v>25</v>
      </c>
      <c r="I27" s="42" t="s">
        <v>950</v>
      </c>
      <c r="J27" s="48" t="s">
        <v>914</v>
      </c>
      <c r="K27" s="44" t="s">
        <v>914</v>
      </c>
      <c r="L27" s="44" t="s">
        <v>914</v>
      </c>
      <c r="M27" s="44" t="s">
        <v>914</v>
      </c>
      <c r="N27" s="50" t="s">
        <v>919</v>
      </c>
      <c r="O27" s="46" t="s">
        <v>945</v>
      </c>
      <c r="P27" s="47" t="s">
        <v>928</v>
      </c>
    </row>
    <row r="28" spans="2:16" ht="20.5" hidden="1">
      <c r="B28" s="124">
        <v>1</v>
      </c>
      <c r="C28" s="125">
        <v>2</v>
      </c>
      <c r="E28" s="39">
        <v>5</v>
      </c>
      <c r="F28" s="40" t="s">
        <v>951</v>
      </c>
      <c r="G28" s="249"/>
      <c r="H28" s="41">
        <v>26</v>
      </c>
      <c r="I28" s="42" t="s">
        <v>952</v>
      </c>
      <c r="J28" s="48" t="s">
        <v>919</v>
      </c>
      <c r="K28" s="49" t="s">
        <v>914</v>
      </c>
      <c r="L28" s="44" t="s">
        <v>919</v>
      </c>
      <c r="M28" s="44" t="s">
        <v>913</v>
      </c>
      <c r="N28" s="50" t="s">
        <v>913</v>
      </c>
      <c r="O28" s="46" t="s">
        <v>915</v>
      </c>
      <c r="P28" s="47" t="s">
        <v>925</v>
      </c>
    </row>
    <row r="29" spans="2:16" ht="20.5" hidden="1">
      <c r="B29" s="124">
        <v>1</v>
      </c>
      <c r="C29" s="125">
        <v>2</v>
      </c>
      <c r="E29" s="39">
        <v>5</v>
      </c>
      <c r="F29" s="40" t="s">
        <v>951</v>
      </c>
      <c r="G29" s="249"/>
      <c r="H29" s="41">
        <v>27</v>
      </c>
      <c r="I29" s="42" t="s">
        <v>953</v>
      </c>
      <c r="J29" s="48" t="s">
        <v>919</v>
      </c>
      <c r="K29" s="44" t="s">
        <v>914</v>
      </c>
      <c r="L29" s="44" t="s">
        <v>914</v>
      </c>
      <c r="M29" s="44" t="s">
        <v>919</v>
      </c>
      <c r="N29" s="50" t="s">
        <v>913</v>
      </c>
      <c r="O29" s="46" t="s">
        <v>915</v>
      </c>
      <c r="P29" s="47" t="s">
        <v>925</v>
      </c>
    </row>
    <row r="30" spans="2:16" ht="20.5" hidden="1">
      <c r="B30" s="124">
        <v>1</v>
      </c>
      <c r="C30" s="125">
        <v>1</v>
      </c>
      <c r="E30" s="39">
        <v>5</v>
      </c>
      <c r="F30" s="40" t="s">
        <v>951</v>
      </c>
      <c r="G30" s="249"/>
      <c r="H30" s="41">
        <v>28</v>
      </c>
      <c r="I30" s="42" t="s">
        <v>954</v>
      </c>
      <c r="J30" s="48" t="s">
        <v>919</v>
      </c>
      <c r="K30" s="49" t="s">
        <v>914</v>
      </c>
      <c r="L30" s="44" t="s">
        <v>914</v>
      </c>
      <c r="M30" s="44" t="s">
        <v>914</v>
      </c>
      <c r="N30" s="50" t="s">
        <v>913</v>
      </c>
      <c r="O30" s="46" t="s">
        <v>915</v>
      </c>
      <c r="P30" s="47" t="s">
        <v>928</v>
      </c>
    </row>
    <row r="31" spans="2:16" hidden="1">
      <c r="B31" s="124">
        <v>1</v>
      </c>
      <c r="C31" s="125">
        <v>4</v>
      </c>
      <c r="E31" s="39">
        <v>5</v>
      </c>
      <c r="F31" s="40" t="s">
        <v>951</v>
      </c>
      <c r="G31" s="249"/>
      <c r="H31" s="41">
        <v>29</v>
      </c>
      <c r="I31" s="42" t="s">
        <v>955</v>
      </c>
      <c r="J31" s="43" t="s">
        <v>914</v>
      </c>
      <c r="K31" s="44" t="s">
        <v>919</v>
      </c>
      <c r="L31" s="44" t="s">
        <v>919</v>
      </c>
      <c r="M31" s="44" t="s">
        <v>913</v>
      </c>
      <c r="N31" s="50" t="s">
        <v>913</v>
      </c>
      <c r="O31" s="46" t="s">
        <v>945</v>
      </c>
      <c r="P31" s="47" t="s">
        <v>920</v>
      </c>
    </row>
    <row r="32" spans="2:16" ht="20.5" hidden="1">
      <c r="B32" s="124">
        <v>1</v>
      </c>
      <c r="C32" s="125">
        <v>4</v>
      </c>
      <c r="E32" s="39">
        <v>5</v>
      </c>
      <c r="F32" s="40" t="s">
        <v>951</v>
      </c>
      <c r="G32" s="249"/>
      <c r="H32" s="41">
        <v>30</v>
      </c>
      <c r="I32" s="42" t="s">
        <v>956</v>
      </c>
      <c r="J32" s="43" t="s">
        <v>914</v>
      </c>
      <c r="K32" s="44" t="s">
        <v>919</v>
      </c>
      <c r="L32" s="44" t="s">
        <v>914</v>
      </c>
      <c r="M32" s="44" t="s">
        <v>919</v>
      </c>
      <c r="N32" s="50" t="s">
        <v>913</v>
      </c>
      <c r="O32" s="46" t="s">
        <v>945</v>
      </c>
      <c r="P32" s="47" t="s">
        <v>920</v>
      </c>
    </row>
    <row r="33" spans="2:16" ht="20.5" hidden="1">
      <c r="B33" s="124">
        <v>1</v>
      </c>
      <c r="C33" s="125">
        <v>5</v>
      </c>
      <c r="E33" s="39">
        <v>5</v>
      </c>
      <c r="F33" s="40" t="s">
        <v>951</v>
      </c>
      <c r="G33" s="249"/>
      <c r="H33" s="41">
        <v>31</v>
      </c>
      <c r="I33" s="42" t="s">
        <v>957</v>
      </c>
      <c r="J33" s="43" t="s">
        <v>914</v>
      </c>
      <c r="K33" s="44" t="s">
        <v>919</v>
      </c>
      <c r="L33" s="44" t="s">
        <v>914</v>
      </c>
      <c r="M33" s="44" t="s">
        <v>914</v>
      </c>
      <c r="N33" s="50" t="s">
        <v>913</v>
      </c>
      <c r="O33" s="46" t="s">
        <v>945</v>
      </c>
      <c r="P33" s="47" t="s">
        <v>923</v>
      </c>
    </row>
    <row r="34" spans="2:16" hidden="1">
      <c r="B34" s="124">
        <v>1</v>
      </c>
      <c r="C34" s="125">
        <v>2</v>
      </c>
      <c r="E34" s="39">
        <v>5</v>
      </c>
      <c r="F34" s="40" t="s">
        <v>951</v>
      </c>
      <c r="G34" s="249"/>
      <c r="H34" s="41">
        <v>32</v>
      </c>
      <c r="I34" s="42" t="s">
        <v>958</v>
      </c>
      <c r="J34" s="48" t="s">
        <v>914</v>
      </c>
      <c r="K34" s="44" t="s">
        <v>914</v>
      </c>
      <c r="L34" s="44" t="s">
        <v>919</v>
      </c>
      <c r="M34" s="44" t="s">
        <v>913</v>
      </c>
      <c r="N34" s="50" t="s">
        <v>913</v>
      </c>
      <c r="O34" s="46" t="s">
        <v>945</v>
      </c>
      <c r="P34" s="47" t="s">
        <v>925</v>
      </c>
    </row>
    <row r="35" spans="2:16" ht="20.5" hidden="1">
      <c r="B35" s="124">
        <v>1</v>
      </c>
      <c r="C35" s="125">
        <v>2</v>
      </c>
      <c r="E35" s="39">
        <v>5</v>
      </c>
      <c r="F35" s="40" t="s">
        <v>951</v>
      </c>
      <c r="G35" s="249"/>
      <c r="H35" s="41">
        <v>33</v>
      </c>
      <c r="I35" s="42" t="s">
        <v>959</v>
      </c>
      <c r="J35" s="48" t="s">
        <v>914</v>
      </c>
      <c r="K35" s="44" t="s">
        <v>914</v>
      </c>
      <c r="L35" s="44" t="s">
        <v>914</v>
      </c>
      <c r="M35" s="44" t="s">
        <v>919</v>
      </c>
      <c r="N35" s="50" t="s">
        <v>913</v>
      </c>
      <c r="O35" s="46" t="s">
        <v>945</v>
      </c>
      <c r="P35" s="47" t="s">
        <v>925</v>
      </c>
    </row>
    <row r="36" spans="2:16" ht="20.5" hidden="1">
      <c r="B36" s="124">
        <v>1</v>
      </c>
      <c r="C36" s="125">
        <v>1</v>
      </c>
      <c r="E36" s="39">
        <v>5</v>
      </c>
      <c r="F36" s="40" t="s">
        <v>951</v>
      </c>
      <c r="G36" s="249"/>
      <c r="H36" s="41">
        <v>34</v>
      </c>
      <c r="I36" s="42" t="s">
        <v>960</v>
      </c>
      <c r="J36" s="48" t="s">
        <v>914</v>
      </c>
      <c r="K36" s="44" t="s">
        <v>914</v>
      </c>
      <c r="L36" s="44" t="s">
        <v>914</v>
      </c>
      <c r="M36" s="44" t="s">
        <v>914</v>
      </c>
      <c r="N36" s="50" t="s">
        <v>913</v>
      </c>
      <c r="O36" s="46" t="s">
        <v>945</v>
      </c>
      <c r="P36" s="47" t="s">
        <v>928</v>
      </c>
    </row>
    <row r="37" spans="2:16" ht="20.5" hidden="1">
      <c r="B37" s="124">
        <v>3</v>
      </c>
      <c r="C37" s="125">
        <v>4</v>
      </c>
      <c r="E37" s="39">
        <v>6</v>
      </c>
      <c r="F37" s="40" t="s">
        <v>961</v>
      </c>
      <c r="G37" s="249"/>
      <c r="H37" s="41">
        <v>35</v>
      </c>
      <c r="I37" s="42" t="s">
        <v>962</v>
      </c>
      <c r="J37" s="43" t="s">
        <v>914</v>
      </c>
      <c r="K37" s="44" t="s">
        <v>919</v>
      </c>
      <c r="L37" s="44" t="s">
        <v>914</v>
      </c>
      <c r="M37" s="44" t="s">
        <v>919</v>
      </c>
      <c r="N37" s="45" t="s">
        <v>914</v>
      </c>
      <c r="O37" s="46" t="s">
        <v>915</v>
      </c>
      <c r="P37" s="47" t="s">
        <v>920</v>
      </c>
    </row>
    <row r="38" spans="2:16" ht="20.5" hidden="1">
      <c r="B38" s="124">
        <v>3</v>
      </c>
      <c r="C38" s="125">
        <v>2</v>
      </c>
      <c r="E38" s="39">
        <v>6</v>
      </c>
      <c r="F38" s="40" t="s">
        <v>961</v>
      </c>
      <c r="G38" s="249"/>
      <c r="H38" s="41">
        <v>36</v>
      </c>
      <c r="I38" s="42" t="s">
        <v>963</v>
      </c>
      <c r="J38" s="48" t="s">
        <v>913</v>
      </c>
      <c r="K38" s="49" t="s">
        <v>914</v>
      </c>
      <c r="L38" s="44" t="s">
        <v>914</v>
      </c>
      <c r="M38" s="44" t="s">
        <v>919</v>
      </c>
      <c r="N38" s="45" t="s">
        <v>914</v>
      </c>
      <c r="O38" s="46" t="s">
        <v>915</v>
      </c>
      <c r="P38" s="47" t="s">
        <v>925</v>
      </c>
    </row>
    <row r="39" spans="2:16" hidden="1">
      <c r="B39" s="124">
        <v>3</v>
      </c>
      <c r="C39" s="128" t="s">
        <v>965</v>
      </c>
      <c r="E39" s="39">
        <v>6</v>
      </c>
      <c r="F39" s="40" t="s">
        <v>961</v>
      </c>
      <c r="G39" s="249"/>
      <c r="H39" s="41" t="str">
        <f>""</f>
        <v/>
      </c>
      <c r="I39" s="42" t="s">
        <v>964</v>
      </c>
      <c r="J39" s="48" t="s">
        <v>913</v>
      </c>
      <c r="K39" s="44" t="s">
        <v>913</v>
      </c>
      <c r="L39" s="44" t="s">
        <v>913</v>
      </c>
      <c r="M39" s="44" t="s">
        <v>914</v>
      </c>
      <c r="N39" s="51" t="s">
        <v>913</v>
      </c>
      <c r="O39" s="46" t="s">
        <v>965</v>
      </c>
      <c r="P39" s="47" t="s">
        <v>965</v>
      </c>
    </row>
    <row r="40" spans="2:16" ht="30.5" hidden="1">
      <c r="B40" s="124">
        <v>3</v>
      </c>
      <c r="C40" s="128">
        <v>2</v>
      </c>
      <c r="E40" s="39">
        <v>7</v>
      </c>
      <c r="F40" s="40" t="s">
        <v>966</v>
      </c>
      <c r="G40" s="249"/>
      <c r="H40" s="41">
        <v>37</v>
      </c>
      <c r="I40" s="42" t="s">
        <v>967</v>
      </c>
      <c r="J40" s="43" t="s">
        <v>919</v>
      </c>
      <c r="K40" s="49" t="s">
        <v>914</v>
      </c>
      <c r="L40" s="44" t="s">
        <v>914</v>
      </c>
      <c r="M40" s="44" t="s">
        <v>919</v>
      </c>
      <c r="N40" s="50" t="s">
        <v>913</v>
      </c>
      <c r="O40" s="46" t="s">
        <v>915</v>
      </c>
      <c r="P40" s="47" t="s">
        <v>925</v>
      </c>
    </row>
    <row r="41" spans="2:16" ht="21" hidden="1">
      <c r="B41" s="124">
        <v>3</v>
      </c>
      <c r="C41" s="128" t="s">
        <v>965</v>
      </c>
      <c r="E41" s="39">
        <v>7</v>
      </c>
      <c r="F41" s="40" t="s">
        <v>966</v>
      </c>
      <c r="G41" s="249"/>
      <c r="H41" s="41" t="str">
        <f>""</f>
        <v/>
      </c>
      <c r="I41" s="42" t="s">
        <v>964</v>
      </c>
      <c r="J41" s="48" t="s">
        <v>913</v>
      </c>
      <c r="K41" s="44" t="s">
        <v>913</v>
      </c>
      <c r="L41" s="44" t="s">
        <v>913</v>
      </c>
      <c r="M41" s="44" t="s">
        <v>914</v>
      </c>
      <c r="N41" s="51" t="s">
        <v>913</v>
      </c>
      <c r="O41" s="46" t="s">
        <v>965</v>
      </c>
      <c r="P41" s="47" t="s">
        <v>965</v>
      </c>
    </row>
    <row r="42" spans="2:16" ht="20.5" hidden="1">
      <c r="B42" s="124">
        <v>3</v>
      </c>
      <c r="C42" s="128">
        <v>4</v>
      </c>
      <c r="E42" s="39">
        <v>8</v>
      </c>
      <c r="F42" s="40" t="s">
        <v>968</v>
      </c>
      <c r="G42" s="249"/>
      <c r="H42" s="41">
        <v>38</v>
      </c>
      <c r="I42" s="42" t="s">
        <v>969</v>
      </c>
      <c r="J42" s="43" t="s">
        <v>914</v>
      </c>
      <c r="K42" s="44" t="s">
        <v>919</v>
      </c>
      <c r="L42" s="44" t="s">
        <v>914</v>
      </c>
      <c r="M42" s="44" t="s">
        <v>919</v>
      </c>
      <c r="N42" s="50" t="s">
        <v>914</v>
      </c>
      <c r="O42" s="46" t="s">
        <v>935</v>
      </c>
      <c r="P42" s="47" t="s">
        <v>920</v>
      </c>
    </row>
    <row r="43" spans="2:16" ht="20.5">
      <c r="B43" s="124">
        <v>3</v>
      </c>
      <c r="C43" s="128">
        <v>2</v>
      </c>
      <c r="E43" s="39">
        <v>8</v>
      </c>
      <c r="F43" s="40" t="s">
        <v>968</v>
      </c>
      <c r="G43" s="249"/>
      <c r="H43" s="41">
        <v>39</v>
      </c>
      <c r="I43" s="42" t="s">
        <v>970</v>
      </c>
      <c r="J43" s="48" t="s">
        <v>914</v>
      </c>
      <c r="K43" s="44" t="s">
        <v>914</v>
      </c>
      <c r="L43" s="44" t="s">
        <v>914</v>
      </c>
      <c r="M43" s="44" t="s">
        <v>919</v>
      </c>
      <c r="N43" s="50" t="s">
        <v>914</v>
      </c>
      <c r="O43" s="46" t="s">
        <v>935</v>
      </c>
      <c r="P43" s="47" t="s">
        <v>925</v>
      </c>
    </row>
    <row r="44" spans="2:16" ht="30.5" hidden="1">
      <c r="B44" s="124">
        <v>3</v>
      </c>
      <c r="C44" s="128">
        <v>2</v>
      </c>
      <c r="E44" s="39">
        <v>8</v>
      </c>
      <c r="F44" s="40" t="s">
        <v>968</v>
      </c>
      <c r="G44" s="249"/>
      <c r="H44" s="41">
        <v>40</v>
      </c>
      <c r="I44" s="42" t="s">
        <v>971</v>
      </c>
      <c r="J44" s="48" t="s">
        <v>919</v>
      </c>
      <c r="K44" s="49" t="s">
        <v>914</v>
      </c>
      <c r="L44" s="44" t="s">
        <v>914</v>
      </c>
      <c r="M44" s="44" t="s">
        <v>919</v>
      </c>
      <c r="N44" s="50" t="s">
        <v>913</v>
      </c>
      <c r="O44" s="46" t="s">
        <v>915</v>
      </c>
      <c r="P44" s="47" t="s">
        <v>925</v>
      </c>
    </row>
    <row r="45" spans="2:16" ht="20.5" hidden="1">
      <c r="B45" s="124">
        <v>3</v>
      </c>
      <c r="C45" s="128">
        <v>4</v>
      </c>
      <c r="E45" s="39">
        <v>8</v>
      </c>
      <c r="F45" s="40" t="s">
        <v>968</v>
      </c>
      <c r="G45" s="249"/>
      <c r="H45" s="41">
        <v>41</v>
      </c>
      <c r="I45" s="42" t="s">
        <v>972</v>
      </c>
      <c r="J45" s="43" t="s">
        <v>914</v>
      </c>
      <c r="K45" s="44" t="s">
        <v>919</v>
      </c>
      <c r="L45" s="44" t="s">
        <v>914</v>
      </c>
      <c r="M45" s="44" t="s">
        <v>919</v>
      </c>
      <c r="N45" s="50" t="s">
        <v>919</v>
      </c>
      <c r="O45" s="46" t="s">
        <v>945</v>
      </c>
      <c r="P45" s="47" t="s">
        <v>920</v>
      </c>
    </row>
    <row r="46" spans="2:16" ht="20.5" hidden="1">
      <c r="B46" s="124">
        <v>3</v>
      </c>
      <c r="C46" s="128">
        <v>2</v>
      </c>
      <c r="E46" s="39">
        <v>8</v>
      </c>
      <c r="F46" s="40" t="s">
        <v>968</v>
      </c>
      <c r="G46" s="249"/>
      <c r="H46" s="41">
        <v>42</v>
      </c>
      <c r="I46" s="42" t="s">
        <v>973</v>
      </c>
      <c r="J46" s="48" t="s">
        <v>914</v>
      </c>
      <c r="K46" s="44" t="s">
        <v>914</v>
      </c>
      <c r="L46" s="44" t="s">
        <v>914</v>
      </c>
      <c r="M46" s="44" t="s">
        <v>919</v>
      </c>
      <c r="N46" s="50" t="s">
        <v>919</v>
      </c>
      <c r="O46" s="46" t="s">
        <v>945</v>
      </c>
      <c r="P46" s="47" t="s">
        <v>925</v>
      </c>
    </row>
    <row r="47" spans="2:16" hidden="1">
      <c r="B47" s="124">
        <v>3</v>
      </c>
      <c r="C47" s="128" t="s">
        <v>965</v>
      </c>
      <c r="E47" s="39">
        <v>8</v>
      </c>
      <c r="F47" s="40" t="s">
        <v>968</v>
      </c>
      <c r="G47" s="249"/>
      <c r="H47" s="41" t="str">
        <f>""</f>
        <v/>
      </c>
      <c r="I47" s="42" t="s">
        <v>964</v>
      </c>
      <c r="J47" s="48" t="s">
        <v>913</v>
      </c>
      <c r="K47" s="44" t="s">
        <v>913</v>
      </c>
      <c r="L47" s="44" t="s">
        <v>913</v>
      </c>
      <c r="M47" s="44" t="s">
        <v>914</v>
      </c>
      <c r="N47" s="51" t="s">
        <v>913</v>
      </c>
      <c r="O47" s="46" t="s">
        <v>965</v>
      </c>
      <c r="P47" s="47" t="s">
        <v>965</v>
      </c>
    </row>
    <row r="48" spans="2:16" ht="30.5" hidden="1">
      <c r="B48" s="124">
        <v>3</v>
      </c>
      <c r="C48" s="128">
        <v>2</v>
      </c>
      <c r="E48" s="39">
        <v>9</v>
      </c>
      <c r="F48" s="40" t="s">
        <v>974</v>
      </c>
      <c r="G48" s="249"/>
      <c r="H48" s="41">
        <v>43</v>
      </c>
      <c r="I48" s="42" t="s">
        <v>975</v>
      </c>
      <c r="J48" s="48" t="s">
        <v>919</v>
      </c>
      <c r="K48" s="49" t="s">
        <v>914</v>
      </c>
      <c r="L48" s="44" t="s">
        <v>914</v>
      </c>
      <c r="M48" s="44" t="s">
        <v>919</v>
      </c>
      <c r="N48" s="50" t="s">
        <v>913</v>
      </c>
      <c r="O48" s="46" t="s">
        <v>915</v>
      </c>
      <c r="P48" s="47" t="s">
        <v>925</v>
      </c>
    </row>
    <row r="49" spans="2:16" ht="20.5" hidden="1">
      <c r="B49" s="124">
        <v>3</v>
      </c>
      <c r="C49" s="128">
        <v>4</v>
      </c>
      <c r="E49" s="39">
        <v>9</v>
      </c>
      <c r="F49" s="40" t="s">
        <v>974</v>
      </c>
      <c r="G49" s="249"/>
      <c r="H49" s="41">
        <v>44</v>
      </c>
      <c r="I49" s="42" t="s">
        <v>976</v>
      </c>
      <c r="J49" s="43" t="s">
        <v>914</v>
      </c>
      <c r="K49" s="44" t="s">
        <v>919</v>
      </c>
      <c r="L49" s="44" t="s">
        <v>914</v>
      </c>
      <c r="M49" s="44" t="s">
        <v>919</v>
      </c>
      <c r="N49" s="50" t="s">
        <v>913</v>
      </c>
      <c r="O49" s="46" t="s">
        <v>945</v>
      </c>
      <c r="P49" s="47" t="s">
        <v>920</v>
      </c>
    </row>
    <row r="50" spans="2:16" ht="20.5" hidden="1">
      <c r="B50" s="124">
        <v>3</v>
      </c>
      <c r="C50" s="128">
        <v>2</v>
      </c>
      <c r="E50" s="39">
        <v>9</v>
      </c>
      <c r="F50" s="40" t="s">
        <v>974</v>
      </c>
      <c r="G50" s="249"/>
      <c r="H50" s="41">
        <v>45</v>
      </c>
      <c r="I50" s="42" t="s">
        <v>977</v>
      </c>
      <c r="J50" s="48" t="s">
        <v>914</v>
      </c>
      <c r="K50" s="44" t="s">
        <v>914</v>
      </c>
      <c r="L50" s="44" t="s">
        <v>914</v>
      </c>
      <c r="M50" s="44" t="s">
        <v>919</v>
      </c>
      <c r="N50" s="50" t="s">
        <v>913</v>
      </c>
      <c r="O50" s="46" t="s">
        <v>945</v>
      </c>
      <c r="P50" s="47" t="s">
        <v>925</v>
      </c>
    </row>
    <row r="51" spans="2:16" ht="11" hidden="1" thickBot="1">
      <c r="B51" s="126">
        <v>3</v>
      </c>
      <c r="C51" s="129" t="s">
        <v>965</v>
      </c>
      <c r="E51" s="52">
        <v>9</v>
      </c>
      <c r="F51" s="53" t="s">
        <v>974</v>
      </c>
      <c r="G51" s="250"/>
      <c r="H51" s="54" t="str">
        <f>""</f>
        <v/>
      </c>
      <c r="I51" s="55" t="s">
        <v>964</v>
      </c>
      <c r="J51" s="56" t="s">
        <v>913</v>
      </c>
      <c r="K51" s="57" t="s">
        <v>913</v>
      </c>
      <c r="L51" s="57" t="s">
        <v>913</v>
      </c>
      <c r="M51" s="57" t="s">
        <v>914</v>
      </c>
      <c r="N51" s="58" t="s">
        <v>913</v>
      </c>
      <c r="O51" s="59" t="s">
        <v>965</v>
      </c>
      <c r="P51" s="60" t="s">
        <v>965</v>
      </c>
    </row>
  </sheetData>
  <autoFilter ref="B2:P51" xr:uid="{2BB2CC70-1BE9-4176-94DF-75637BE9061C}">
    <filterColumn colId="6">
      <filters>
        <filter val="39"/>
      </filters>
    </filterColumn>
  </autoFilter>
  <mergeCells count="4">
    <mergeCell ref="E1:F1"/>
    <mergeCell ref="H1:P1"/>
    <mergeCell ref="G2:G51"/>
    <mergeCell ref="B1:C1"/>
  </mergeCells>
  <dataValidations xWindow="76" yWindow="366" count="2">
    <dataValidation allowBlank="1" showInputMessage="1" showErrorMessage="1" promptTitle="AIFM Content type" prompt="Code indicating the contents of the AIFM reporting._x000a_The AIFM content types admitted are:_x000a_  - 1 for &quot;24(1) for all AIFs managed&quot;_x000a_  - 2 for &quot;3(3) (d) all AIFs managed&quot; (light)_x000a_  - 3 for &quot;24(1) all AIFs marketed &quot;" sqref="B2" xr:uid="{83B718FB-2760-4364-9DC7-126D9AD26D95}"/>
    <dataValidation allowBlank="1" showInputMessage="1" showErrorMessage="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sqref="C2" xr:uid="{1F501C06-E337-4196-BD7E-11EA96890A2B}"/>
  </dataValidations>
  <pageMargins left="0.70866141732283472" right="0.70866141732283472" top="0.74803149606299213" bottom="0.74803149606299213" header="0.31496062992125984" footer="0.31496062992125984"/>
  <pageSetup paperSize="9" scale="64"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I207"/>
  <sheetViews>
    <sheetView workbookViewId="0">
      <pane xSplit="2" ySplit="1" topLeftCell="C50" activePane="bottomRight" state="frozen"/>
      <selection activeCell="C20" sqref="C20"/>
      <selection pane="topRight" activeCell="C20" sqref="C20"/>
      <selection pane="bottomLeft" activeCell="C20" sqref="C20"/>
      <selection pane="bottomRight" activeCell="F144" sqref="F144"/>
    </sheetView>
  </sheetViews>
  <sheetFormatPr baseColWidth="10" defaultColWidth="9.1796875" defaultRowHeight="10.5"/>
  <cols>
    <col min="1" max="1" width="1.54296875" style="13" customWidth="1"/>
    <col min="2" max="2" width="9.1796875" style="79"/>
    <col min="3" max="3" width="2" style="13" customWidth="1"/>
    <col min="4" max="4" width="15.453125" style="13" customWidth="1"/>
    <col min="5" max="5" width="47.453125" style="13" customWidth="1"/>
    <col min="6" max="6" width="17.54296875" style="13" customWidth="1"/>
    <col min="7" max="7" width="43.453125" style="13" customWidth="1"/>
    <col min="8" max="8" width="20.81640625" style="13" bestFit="1" customWidth="1"/>
    <col min="9" max="9" width="68.1796875" style="13" customWidth="1"/>
    <col min="10" max="11" width="14.81640625" style="13" bestFit="1" customWidth="1"/>
    <col min="12" max="12" width="33.1796875" style="13" bestFit="1" customWidth="1"/>
    <col min="13" max="14" width="13.1796875" style="13" bestFit="1" customWidth="1"/>
    <col min="15" max="15" width="9.1796875" style="13"/>
    <col min="16" max="16" width="69.81640625" style="13" customWidth="1"/>
    <col min="17" max="16384" width="9.1796875" style="13"/>
  </cols>
  <sheetData>
    <row r="1" spans="1:9">
      <c r="A1" s="13" t="s">
        <v>293</v>
      </c>
      <c r="B1" s="74" t="s">
        <v>1204</v>
      </c>
      <c r="D1" s="253" t="s">
        <v>978</v>
      </c>
      <c r="E1" s="253"/>
      <c r="F1" s="253"/>
      <c r="G1" s="253"/>
      <c r="H1" s="253"/>
      <c r="I1" s="253"/>
    </row>
    <row r="2" spans="1:9">
      <c r="B2" s="76" t="s">
        <v>1104</v>
      </c>
      <c r="D2" s="254" t="s">
        <v>979</v>
      </c>
      <c r="E2" s="255"/>
      <c r="F2" s="256" t="s">
        <v>980</v>
      </c>
      <c r="G2" s="257"/>
      <c r="H2" s="258" t="s">
        <v>1688</v>
      </c>
      <c r="I2" s="259"/>
    </row>
    <row r="3" spans="1:9" ht="42">
      <c r="B3" s="76" t="s">
        <v>1104</v>
      </c>
      <c r="D3" s="140" t="s">
        <v>981</v>
      </c>
      <c r="E3" s="140" t="s">
        <v>982</v>
      </c>
      <c r="F3" s="140" t="s">
        <v>981</v>
      </c>
      <c r="G3" s="140" t="s">
        <v>982</v>
      </c>
      <c r="H3" s="140" t="s">
        <v>1690</v>
      </c>
      <c r="I3" s="140" t="s">
        <v>982</v>
      </c>
    </row>
    <row r="4" spans="1:9">
      <c r="B4" s="76" t="s">
        <v>1104</v>
      </c>
      <c r="D4" s="68" t="s">
        <v>983</v>
      </c>
      <c r="E4" s="68" t="s">
        <v>984</v>
      </c>
      <c r="F4" s="68" t="s">
        <v>985</v>
      </c>
      <c r="G4" s="70" t="s">
        <v>986</v>
      </c>
      <c r="H4" s="70" t="s">
        <v>514</v>
      </c>
      <c r="I4" s="68" t="s">
        <v>987</v>
      </c>
    </row>
    <row r="5" spans="1:9">
      <c r="B5" s="76" t="s">
        <v>1104</v>
      </c>
      <c r="D5" s="68" t="s">
        <v>983</v>
      </c>
      <c r="E5" s="68" t="s">
        <v>984</v>
      </c>
      <c r="F5" s="68" t="s">
        <v>985</v>
      </c>
      <c r="G5" s="70" t="s">
        <v>986</v>
      </c>
      <c r="H5" s="70" t="s">
        <v>515</v>
      </c>
      <c r="I5" s="68" t="s">
        <v>988</v>
      </c>
    </row>
    <row r="6" spans="1:9">
      <c r="B6" s="76" t="s">
        <v>1104</v>
      </c>
      <c r="D6" s="68" t="s">
        <v>983</v>
      </c>
      <c r="E6" s="68" t="s">
        <v>984</v>
      </c>
      <c r="F6" s="68" t="s">
        <v>985</v>
      </c>
      <c r="G6" s="70" t="s">
        <v>986</v>
      </c>
      <c r="H6" s="70" t="s">
        <v>516</v>
      </c>
      <c r="I6" s="68" t="s">
        <v>989</v>
      </c>
    </row>
    <row r="7" spans="1:9">
      <c r="B7" s="76" t="s">
        <v>1104</v>
      </c>
      <c r="D7" s="68" t="s">
        <v>983</v>
      </c>
      <c r="E7" s="68" t="s">
        <v>984</v>
      </c>
      <c r="F7" s="68" t="s">
        <v>985</v>
      </c>
      <c r="G7" s="70" t="s">
        <v>986</v>
      </c>
      <c r="H7" s="70" t="s">
        <v>517</v>
      </c>
      <c r="I7" s="68" t="s">
        <v>990</v>
      </c>
    </row>
    <row r="8" spans="1:9">
      <c r="B8" s="76" t="s">
        <v>1104</v>
      </c>
      <c r="D8" s="68" t="s">
        <v>983</v>
      </c>
      <c r="E8" s="68" t="s">
        <v>984</v>
      </c>
      <c r="F8" s="68" t="s">
        <v>991</v>
      </c>
      <c r="G8" s="69" t="s">
        <v>992</v>
      </c>
      <c r="H8" s="70" t="s">
        <v>518</v>
      </c>
      <c r="I8" s="68" t="s">
        <v>993</v>
      </c>
    </row>
    <row r="9" spans="1:9">
      <c r="B9" s="76" t="s">
        <v>1104</v>
      </c>
      <c r="D9" s="68" t="s">
        <v>983</v>
      </c>
      <c r="E9" s="68" t="s">
        <v>984</v>
      </c>
      <c r="F9" s="68" t="s">
        <v>991</v>
      </c>
      <c r="G9" s="69" t="s">
        <v>992</v>
      </c>
      <c r="H9" s="70" t="s">
        <v>519</v>
      </c>
      <c r="I9" s="69" t="s">
        <v>994</v>
      </c>
    </row>
    <row r="10" spans="1:9">
      <c r="B10" s="76" t="s">
        <v>1104</v>
      </c>
      <c r="D10" s="68" t="s">
        <v>983</v>
      </c>
      <c r="E10" s="68" t="s">
        <v>984</v>
      </c>
      <c r="F10" s="68" t="s">
        <v>995</v>
      </c>
      <c r="G10" s="69" t="s">
        <v>996</v>
      </c>
      <c r="H10" s="70" t="s">
        <v>520</v>
      </c>
      <c r="I10" s="69" t="s">
        <v>996</v>
      </c>
    </row>
    <row r="11" spans="1:9">
      <c r="B11" s="76" t="s">
        <v>1104</v>
      </c>
      <c r="D11" s="68" t="s">
        <v>983</v>
      </c>
      <c r="E11" s="68" t="s">
        <v>984</v>
      </c>
      <c r="F11" s="68" t="s">
        <v>997</v>
      </c>
      <c r="G11" s="69" t="s">
        <v>998</v>
      </c>
      <c r="H11" s="70" t="s">
        <v>521</v>
      </c>
      <c r="I11" s="68" t="s">
        <v>999</v>
      </c>
    </row>
    <row r="12" spans="1:9">
      <c r="B12" s="76" t="s">
        <v>1104</v>
      </c>
      <c r="D12" s="68" t="s">
        <v>983</v>
      </c>
      <c r="E12" s="68" t="s">
        <v>984</v>
      </c>
      <c r="F12" s="68" t="s">
        <v>997</v>
      </c>
      <c r="G12" s="69" t="s">
        <v>998</v>
      </c>
      <c r="H12" s="70" t="s">
        <v>522</v>
      </c>
      <c r="I12" s="68" t="s">
        <v>1000</v>
      </c>
    </row>
    <row r="13" spans="1:9">
      <c r="B13" s="76" t="s">
        <v>1104</v>
      </c>
      <c r="D13" s="68" t="s">
        <v>983</v>
      </c>
      <c r="E13" s="68" t="s">
        <v>984</v>
      </c>
      <c r="F13" s="68" t="s">
        <v>1001</v>
      </c>
      <c r="G13" s="69" t="s">
        <v>1002</v>
      </c>
      <c r="H13" s="70" t="s">
        <v>523</v>
      </c>
      <c r="I13" s="68" t="s">
        <v>1003</v>
      </c>
    </row>
    <row r="14" spans="1:9">
      <c r="B14" s="76" t="s">
        <v>1104</v>
      </c>
      <c r="D14" s="68" t="s">
        <v>983</v>
      </c>
      <c r="E14" s="68" t="s">
        <v>984</v>
      </c>
      <c r="F14" s="68" t="s">
        <v>1001</v>
      </c>
      <c r="G14" s="69" t="s">
        <v>1002</v>
      </c>
      <c r="H14" s="70" t="s">
        <v>524</v>
      </c>
      <c r="I14" s="68" t="s">
        <v>1004</v>
      </c>
    </row>
    <row r="15" spans="1:9">
      <c r="B15" s="76" t="s">
        <v>1104</v>
      </c>
      <c r="D15" s="68" t="s">
        <v>983</v>
      </c>
      <c r="E15" s="68" t="s">
        <v>984</v>
      </c>
      <c r="F15" s="68" t="s">
        <v>1005</v>
      </c>
      <c r="G15" s="70" t="s">
        <v>1006</v>
      </c>
      <c r="H15" s="70" t="s">
        <v>525</v>
      </c>
      <c r="I15" s="70" t="s">
        <v>1634</v>
      </c>
    </row>
    <row r="16" spans="1:9">
      <c r="B16" s="76" t="s">
        <v>1104</v>
      </c>
      <c r="D16" s="68" t="s">
        <v>983</v>
      </c>
      <c r="E16" s="68" t="s">
        <v>984</v>
      </c>
      <c r="F16" s="68" t="s">
        <v>1005</v>
      </c>
      <c r="G16" s="70" t="s">
        <v>1006</v>
      </c>
      <c r="H16" s="70" t="s">
        <v>526</v>
      </c>
      <c r="I16" s="70" t="s">
        <v>1635</v>
      </c>
    </row>
    <row r="17" spans="2:9">
      <c r="B17" s="76" t="s">
        <v>1104</v>
      </c>
      <c r="D17" s="68" t="s">
        <v>983</v>
      </c>
      <c r="E17" s="68" t="s">
        <v>984</v>
      </c>
      <c r="F17" s="68" t="s">
        <v>1005</v>
      </c>
      <c r="G17" s="70" t="s">
        <v>1006</v>
      </c>
      <c r="H17" s="70" t="s">
        <v>1633</v>
      </c>
      <c r="I17" s="70" t="s">
        <v>1636</v>
      </c>
    </row>
    <row r="18" spans="2:9">
      <c r="B18" s="76" t="s">
        <v>1104</v>
      </c>
      <c r="D18" s="68" t="s">
        <v>983</v>
      </c>
      <c r="E18" s="68" t="s">
        <v>984</v>
      </c>
      <c r="F18" s="68" t="s">
        <v>1005</v>
      </c>
      <c r="G18" s="70" t="s">
        <v>1006</v>
      </c>
      <c r="H18" s="70" t="s">
        <v>1632</v>
      </c>
      <c r="I18" s="70" t="s">
        <v>1637</v>
      </c>
    </row>
    <row r="19" spans="2:9">
      <c r="B19" s="76" t="s">
        <v>1104</v>
      </c>
      <c r="D19" s="68" t="s">
        <v>983</v>
      </c>
      <c r="E19" s="68" t="s">
        <v>984</v>
      </c>
      <c r="F19" s="68" t="s">
        <v>1005</v>
      </c>
      <c r="G19" s="70" t="s">
        <v>1006</v>
      </c>
      <c r="H19" s="70" t="s">
        <v>527</v>
      </c>
      <c r="I19" s="70" t="s">
        <v>1007</v>
      </c>
    </row>
    <row r="20" spans="2:9">
      <c r="B20" s="76" t="s">
        <v>1104</v>
      </c>
      <c r="D20" s="68" t="s">
        <v>983</v>
      </c>
      <c r="E20" s="68" t="s">
        <v>984</v>
      </c>
      <c r="F20" s="68" t="s">
        <v>1005</v>
      </c>
      <c r="G20" s="70" t="s">
        <v>1006</v>
      </c>
      <c r="H20" s="70" t="s">
        <v>528</v>
      </c>
      <c r="I20" s="70" t="s">
        <v>1008</v>
      </c>
    </row>
    <row r="21" spans="2:9">
      <c r="B21" s="76" t="s">
        <v>1104</v>
      </c>
      <c r="D21" s="68" t="s">
        <v>983</v>
      </c>
      <c r="E21" s="68" t="s">
        <v>984</v>
      </c>
      <c r="F21" s="68" t="s">
        <v>1005</v>
      </c>
      <c r="G21" s="70" t="s">
        <v>1006</v>
      </c>
      <c r="H21" s="70" t="s">
        <v>529</v>
      </c>
      <c r="I21" s="70" t="s">
        <v>1009</v>
      </c>
    </row>
    <row r="22" spans="2:9">
      <c r="B22" s="76" t="s">
        <v>1104</v>
      </c>
      <c r="D22" s="68" t="s">
        <v>983</v>
      </c>
      <c r="E22" s="68" t="s">
        <v>984</v>
      </c>
      <c r="F22" s="68" t="s">
        <v>1005</v>
      </c>
      <c r="G22" s="70" t="s">
        <v>1006</v>
      </c>
      <c r="H22" s="70" t="s">
        <v>530</v>
      </c>
      <c r="I22" s="70" t="s">
        <v>1010</v>
      </c>
    </row>
    <row r="23" spans="2:9">
      <c r="B23" s="76" t="s">
        <v>1104</v>
      </c>
      <c r="D23" s="68" t="s">
        <v>983</v>
      </c>
      <c r="E23" s="68" t="s">
        <v>984</v>
      </c>
      <c r="F23" s="68" t="s">
        <v>1011</v>
      </c>
      <c r="G23" s="70" t="s">
        <v>1012</v>
      </c>
      <c r="H23" s="70" t="s">
        <v>531</v>
      </c>
      <c r="I23" s="70" t="s">
        <v>1012</v>
      </c>
    </row>
    <row r="24" spans="2:9">
      <c r="B24" s="76" t="s">
        <v>1104</v>
      </c>
      <c r="D24" s="68" t="s">
        <v>983</v>
      </c>
      <c r="E24" s="68" t="s">
        <v>984</v>
      </c>
      <c r="F24" s="68" t="s">
        <v>1013</v>
      </c>
      <c r="G24" s="70" t="s">
        <v>1014</v>
      </c>
      <c r="H24" s="70" t="s">
        <v>532</v>
      </c>
      <c r="I24" s="69" t="s">
        <v>1015</v>
      </c>
    </row>
    <row r="25" spans="2:9">
      <c r="B25" s="76" t="s">
        <v>1104</v>
      </c>
      <c r="D25" s="68" t="s">
        <v>983</v>
      </c>
      <c r="E25" s="68" t="s">
        <v>984</v>
      </c>
      <c r="F25" s="68" t="s">
        <v>1013</v>
      </c>
      <c r="G25" s="70" t="s">
        <v>1014</v>
      </c>
      <c r="H25" s="70" t="s">
        <v>533</v>
      </c>
      <c r="I25" s="69" t="s">
        <v>1016</v>
      </c>
    </row>
    <row r="26" spans="2:9">
      <c r="B26" s="76" t="s">
        <v>1104</v>
      </c>
      <c r="D26" s="68" t="s">
        <v>983</v>
      </c>
      <c r="E26" s="68" t="s">
        <v>984</v>
      </c>
      <c r="F26" s="68" t="s">
        <v>1017</v>
      </c>
      <c r="G26" s="70" t="s">
        <v>1018</v>
      </c>
      <c r="H26" s="70" t="s">
        <v>534</v>
      </c>
      <c r="I26" s="69" t="s">
        <v>1019</v>
      </c>
    </row>
    <row r="27" spans="2:9">
      <c r="B27" s="76" t="s">
        <v>1104</v>
      </c>
      <c r="D27" s="68" t="s">
        <v>983</v>
      </c>
      <c r="E27" s="68" t="s">
        <v>984</v>
      </c>
      <c r="F27" s="68" t="s">
        <v>1017</v>
      </c>
      <c r="G27" s="70" t="s">
        <v>1018</v>
      </c>
      <c r="H27" s="70" t="s">
        <v>535</v>
      </c>
      <c r="I27" s="69" t="s">
        <v>1020</v>
      </c>
    </row>
    <row r="28" spans="2:9">
      <c r="B28" s="76" t="s">
        <v>1104</v>
      </c>
      <c r="D28" s="68" t="s">
        <v>983</v>
      </c>
      <c r="E28" s="68" t="s">
        <v>984</v>
      </c>
      <c r="F28" s="68" t="s">
        <v>1021</v>
      </c>
      <c r="G28" s="70" t="s">
        <v>1022</v>
      </c>
      <c r="H28" s="70" t="s">
        <v>536</v>
      </c>
      <c r="I28" s="70" t="s">
        <v>1023</v>
      </c>
    </row>
    <row r="29" spans="2:9">
      <c r="B29" s="76" t="s">
        <v>1104</v>
      </c>
      <c r="D29" s="68" t="s">
        <v>983</v>
      </c>
      <c r="E29" s="68" t="s">
        <v>984</v>
      </c>
      <c r="F29" s="68" t="s">
        <v>1021</v>
      </c>
      <c r="G29" s="70" t="s">
        <v>1022</v>
      </c>
      <c r="H29" s="70" t="s">
        <v>537</v>
      </c>
      <c r="I29" s="70" t="s">
        <v>1024</v>
      </c>
    </row>
    <row r="30" spans="2:9">
      <c r="B30" s="76" t="s">
        <v>1104</v>
      </c>
      <c r="D30" s="68" t="s">
        <v>983</v>
      </c>
      <c r="E30" s="68" t="s">
        <v>984</v>
      </c>
      <c r="F30" s="68" t="s">
        <v>1025</v>
      </c>
      <c r="G30" s="70" t="s">
        <v>1026</v>
      </c>
      <c r="H30" s="70" t="s">
        <v>538</v>
      </c>
      <c r="I30" s="70" t="s">
        <v>1027</v>
      </c>
    </row>
    <row r="31" spans="2:9">
      <c r="B31" s="76" t="s">
        <v>1104</v>
      </c>
      <c r="D31" s="68" t="s">
        <v>983</v>
      </c>
      <c r="E31" s="68" t="s">
        <v>984</v>
      </c>
      <c r="F31" s="68" t="s">
        <v>1025</v>
      </c>
      <c r="G31" s="70" t="s">
        <v>1026</v>
      </c>
      <c r="H31" s="70" t="s">
        <v>539</v>
      </c>
      <c r="I31" s="70" t="s">
        <v>1028</v>
      </c>
    </row>
    <row r="32" spans="2:9">
      <c r="B32" s="76" t="s">
        <v>1104</v>
      </c>
      <c r="D32" s="68" t="s">
        <v>983</v>
      </c>
      <c r="E32" s="68" t="s">
        <v>984</v>
      </c>
      <c r="F32" s="68" t="s">
        <v>1025</v>
      </c>
      <c r="G32" s="70" t="s">
        <v>1026</v>
      </c>
      <c r="H32" s="70" t="s">
        <v>540</v>
      </c>
      <c r="I32" s="70" t="s">
        <v>1029</v>
      </c>
    </row>
    <row r="33" spans="2:9">
      <c r="B33" s="76" t="s">
        <v>1104</v>
      </c>
      <c r="D33" s="68" t="s">
        <v>983</v>
      </c>
      <c r="E33" s="68" t="s">
        <v>984</v>
      </c>
      <c r="F33" s="68" t="s">
        <v>1025</v>
      </c>
      <c r="G33" s="70" t="s">
        <v>1026</v>
      </c>
      <c r="H33" s="70" t="s">
        <v>541</v>
      </c>
      <c r="I33" s="70" t="s">
        <v>1030</v>
      </c>
    </row>
    <row r="34" spans="2:9">
      <c r="B34" s="76" t="s">
        <v>1104</v>
      </c>
      <c r="D34" s="68" t="s">
        <v>983</v>
      </c>
      <c r="E34" s="68" t="s">
        <v>984</v>
      </c>
      <c r="F34" s="68" t="s">
        <v>1025</v>
      </c>
      <c r="G34" s="70" t="s">
        <v>1026</v>
      </c>
      <c r="H34" s="70" t="s">
        <v>542</v>
      </c>
      <c r="I34" s="70" t="s">
        <v>1031</v>
      </c>
    </row>
    <row r="35" spans="2:9">
      <c r="B35" s="76" t="s">
        <v>1104</v>
      </c>
      <c r="D35" s="68" t="s">
        <v>983</v>
      </c>
      <c r="E35" s="68" t="s">
        <v>984</v>
      </c>
      <c r="F35" s="68" t="s">
        <v>1025</v>
      </c>
      <c r="G35" s="70" t="s">
        <v>1026</v>
      </c>
      <c r="H35" s="70" t="s">
        <v>543</v>
      </c>
      <c r="I35" s="70" t="s">
        <v>1032</v>
      </c>
    </row>
    <row r="36" spans="2:9">
      <c r="B36" s="76" t="s">
        <v>1104</v>
      </c>
      <c r="D36" s="68" t="s">
        <v>983</v>
      </c>
      <c r="E36" s="68" t="s">
        <v>984</v>
      </c>
      <c r="F36" s="68" t="s">
        <v>1025</v>
      </c>
      <c r="G36" s="70" t="s">
        <v>1026</v>
      </c>
      <c r="H36" s="70" t="s">
        <v>544</v>
      </c>
      <c r="I36" s="70" t="s">
        <v>1033</v>
      </c>
    </row>
    <row r="37" spans="2:9">
      <c r="B37" s="76" t="s">
        <v>1104</v>
      </c>
      <c r="D37" s="68" t="s">
        <v>983</v>
      </c>
      <c r="E37" s="68" t="s">
        <v>984</v>
      </c>
      <c r="F37" s="68" t="s">
        <v>1025</v>
      </c>
      <c r="G37" s="70" t="s">
        <v>1026</v>
      </c>
      <c r="H37" s="70" t="s">
        <v>545</v>
      </c>
      <c r="I37" s="70" t="s">
        <v>1034</v>
      </c>
    </row>
    <row r="38" spans="2:9">
      <c r="B38" s="76" t="s">
        <v>1104</v>
      </c>
      <c r="D38" s="68" t="s">
        <v>983</v>
      </c>
      <c r="E38" s="68" t="s">
        <v>984</v>
      </c>
      <c r="F38" s="68" t="s">
        <v>1025</v>
      </c>
      <c r="G38" s="70" t="s">
        <v>1026</v>
      </c>
      <c r="H38" s="70" t="s">
        <v>546</v>
      </c>
      <c r="I38" s="70" t="s">
        <v>1035</v>
      </c>
    </row>
    <row r="39" spans="2:9">
      <c r="B39" s="76" t="s">
        <v>1104</v>
      </c>
      <c r="D39" s="68" t="s">
        <v>1036</v>
      </c>
      <c r="E39" s="68" t="s">
        <v>1037</v>
      </c>
      <c r="F39" s="68" t="s">
        <v>1038</v>
      </c>
      <c r="G39" s="70" t="s">
        <v>1039</v>
      </c>
      <c r="H39" s="70" t="s">
        <v>547</v>
      </c>
      <c r="I39" s="70" t="s">
        <v>1040</v>
      </c>
    </row>
    <row r="40" spans="2:9">
      <c r="B40" s="76" t="s">
        <v>1104</v>
      </c>
      <c r="D40" s="68" t="s">
        <v>1036</v>
      </c>
      <c r="E40" s="68" t="s">
        <v>1037</v>
      </c>
      <c r="F40" s="68" t="s">
        <v>1038</v>
      </c>
      <c r="G40" s="70" t="s">
        <v>1039</v>
      </c>
      <c r="H40" s="70" t="s">
        <v>549</v>
      </c>
      <c r="I40" s="70" t="s">
        <v>1041</v>
      </c>
    </row>
    <row r="41" spans="2:9">
      <c r="B41" s="76" t="s">
        <v>1104</v>
      </c>
      <c r="D41" s="68" t="s">
        <v>1036</v>
      </c>
      <c r="E41" s="68" t="s">
        <v>1037</v>
      </c>
      <c r="F41" s="68" t="s">
        <v>1042</v>
      </c>
      <c r="G41" s="70" t="s">
        <v>1043</v>
      </c>
      <c r="H41" s="70" t="s">
        <v>550</v>
      </c>
      <c r="I41" s="70" t="s">
        <v>1043</v>
      </c>
    </row>
    <row r="42" spans="2:9">
      <c r="B42" s="76" t="s">
        <v>1104</v>
      </c>
      <c r="D42" s="68" t="s">
        <v>1036</v>
      </c>
      <c r="E42" s="68" t="s">
        <v>1037</v>
      </c>
      <c r="F42" s="68" t="s">
        <v>1044</v>
      </c>
      <c r="G42" s="70" t="s">
        <v>1045</v>
      </c>
      <c r="H42" s="70" t="s">
        <v>551</v>
      </c>
      <c r="I42" s="70" t="s">
        <v>1046</v>
      </c>
    </row>
    <row r="43" spans="2:9">
      <c r="B43" s="76" t="s">
        <v>1104</v>
      </c>
      <c r="D43" s="68" t="s">
        <v>1036</v>
      </c>
      <c r="E43" s="68" t="s">
        <v>1037</v>
      </c>
      <c r="F43" s="68" t="s">
        <v>1044</v>
      </c>
      <c r="G43" s="70" t="s">
        <v>1045</v>
      </c>
      <c r="H43" s="70" t="s">
        <v>552</v>
      </c>
      <c r="I43" s="70" t="s">
        <v>1047</v>
      </c>
    </row>
    <row r="44" spans="2:9">
      <c r="B44" s="76" t="s">
        <v>1104</v>
      </c>
      <c r="D44" s="68" t="s">
        <v>1036</v>
      </c>
      <c r="E44" s="68" t="s">
        <v>1037</v>
      </c>
      <c r="F44" s="68" t="s">
        <v>1044</v>
      </c>
      <c r="G44" s="70" t="s">
        <v>1045</v>
      </c>
      <c r="H44" s="70" t="s">
        <v>553</v>
      </c>
      <c r="I44" s="70" t="s">
        <v>1048</v>
      </c>
    </row>
    <row r="45" spans="2:9">
      <c r="B45" s="76" t="s">
        <v>1104</v>
      </c>
      <c r="D45" s="68" t="s">
        <v>1036</v>
      </c>
      <c r="E45" s="68" t="s">
        <v>1037</v>
      </c>
      <c r="F45" s="68" t="s">
        <v>1044</v>
      </c>
      <c r="G45" s="70" t="s">
        <v>1045</v>
      </c>
      <c r="H45" s="70" t="s">
        <v>554</v>
      </c>
      <c r="I45" s="70" t="s">
        <v>1049</v>
      </c>
    </row>
    <row r="46" spans="2:9">
      <c r="B46" s="76" t="s">
        <v>1104</v>
      </c>
      <c r="D46" s="68" t="s">
        <v>1036</v>
      </c>
      <c r="E46" s="68" t="s">
        <v>1037</v>
      </c>
      <c r="F46" s="68" t="s">
        <v>1044</v>
      </c>
      <c r="G46" s="70" t="s">
        <v>1045</v>
      </c>
      <c r="H46" s="70" t="s">
        <v>555</v>
      </c>
      <c r="I46" s="70" t="s">
        <v>1050</v>
      </c>
    </row>
    <row r="47" spans="2:9">
      <c r="B47" s="76" t="s">
        <v>1104</v>
      </c>
      <c r="D47" s="68" t="s">
        <v>1036</v>
      </c>
      <c r="E47" s="68" t="s">
        <v>1037</v>
      </c>
      <c r="F47" s="68" t="s">
        <v>1044</v>
      </c>
      <c r="G47" s="70" t="s">
        <v>1045</v>
      </c>
      <c r="H47" s="70" t="s">
        <v>556</v>
      </c>
      <c r="I47" s="70" t="s">
        <v>1051</v>
      </c>
    </row>
    <row r="48" spans="2:9">
      <c r="B48" s="76" t="s">
        <v>1104</v>
      </c>
      <c r="D48" s="68" t="s">
        <v>1036</v>
      </c>
      <c r="E48" s="68" t="s">
        <v>1037</v>
      </c>
      <c r="F48" s="68" t="s">
        <v>1052</v>
      </c>
      <c r="G48" s="70" t="s">
        <v>1053</v>
      </c>
      <c r="H48" s="70" t="s">
        <v>557</v>
      </c>
      <c r="I48" s="70" t="s">
        <v>1054</v>
      </c>
    </row>
    <row r="49" spans="2:9">
      <c r="B49" s="76" t="s">
        <v>1104</v>
      </c>
      <c r="D49" s="68" t="s">
        <v>1036</v>
      </c>
      <c r="E49" s="68" t="s">
        <v>1037</v>
      </c>
      <c r="F49" s="68" t="s">
        <v>1052</v>
      </c>
      <c r="G49" s="70" t="s">
        <v>1053</v>
      </c>
      <c r="H49" s="70" t="s">
        <v>558</v>
      </c>
      <c r="I49" s="70" t="s">
        <v>1055</v>
      </c>
    </row>
    <row r="50" spans="2:9">
      <c r="B50" s="76" t="s">
        <v>1104</v>
      </c>
      <c r="D50" s="68" t="s">
        <v>1036</v>
      </c>
      <c r="E50" s="68" t="s">
        <v>1037</v>
      </c>
      <c r="F50" s="68" t="s">
        <v>1056</v>
      </c>
      <c r="G50" s="70" t="s">
        <v>1057</v>
      </c>
      <c r="H50" s="70" t="s">
        <v>559</v>
      </c>
      <c r="I50" s="70" t="s">
        <v>1057</v>
      </c>
    </row>
    <row r="51" spans="2:9">
      <c r="B51" s="76" t="s">
        <v>1104</v>
      </c>
      <c r="D51" s="68" t="s">
        <v>1036</v>
      </c>
      <c r="E51" s="68" t="s">
        <v>1037</v>
      </c>
      <c r="F51" s="68" t="s">
        <v>1058</v>
      </c>
      <c r="G51" s="70" t="s">
        <v>1059</v>
      </c>
      <c r="H51" s="70" t="s">
        <v>560</v>
      </c>
      <c r="I51" s="70" t="s">
        <v>1060</v>
      </c>
    </row>
    <row r="52" spans="2:9">
      <c r="B52" s="76" t="s">
        <v>1104</v>
      </c>
      <c r="D52" s="68" t="s">
        <v>1036</v>
      </c>
      <c r="E52" s="68" t="s">
        <v>1037</v>
      </c>
      <c r="F52" s="68" t="s">
        <v>1058</v>
      </c>
      <c r="G52" s="70" t="s">
        <v>1059</v>
      </c>
      <c r="H52" s="70" t="s">
        <v>561</v>
      </c>
      <c r="I52" s="70" t="s">
        <v>1061</v>
      </c>
    </row>
    <row r="53" spans="2:9">
      <c r="B53" s="76" t="s">
        <v>1104</v>
      </c>
      <c r="D53" s="68" t="s">
        <v>1036</v>
      </c>
      <c r="E53" s="68" t="s">
        <v>1037</v>
      </c>
      <c r="F53" s="68" t="s">
        <v>1058</v>
      </c>
      <c r="G53" s="70" t="s">
        <v>1059</v>
      </c>
      <c r="H53" s="70" t="s">
        <v>562</v>
      </c>
      <c r="I53" s="70" t="s">
        <v>1062</v>
      </c>
    </row>
    <row r="54" spans="2:9">
      <c r="B54" s="76" t="s">
        <v>1104</v>
      </c>
      <c r="D54" s="68" t="s">
        <v>1036</v>
      </c>
      <c r="E54" s="68" t="s">
        <v>1037</v>
      </c>
      <c r="F54" s="68" t="s">
        <v>1058</v>
      </c>
      <c r="G54" s="70" t="s">
        <v>1059</v>
      </c>
      <c r="H54" s="70" t="s">
        <v>563</v>
      </c>
      <c r="I54" s="70" t="s">
        <v>1063</v>
      </c>
    </row>
    <row r="55" spans="2:9">
      <c r="B55" s="76" t="s">
        <v>1104</v>
      </c>
      <c r="D55" s="68" t="s">
        <v>1036</v>
      </c>
      <c r="E55" s="68" t="s">
        <v>1037</v>
      </c>
      <c r="F55" s="68" t="s">
        <v>1058</v>
      </c>
      <c r="G55" s="70" t="s">
        <v>1059</v>
      </c>
      <c r="H55" s="70" t="s">
        <v>564</v>
      </c>
      <c r="I55" s="68" t="s">
        <v>1064</v>
      </c>
    </row>
    <row r="56" spans="2:9">
      <c r="B56" s="76" t="s">
        <v>1104</v>
      </c>
      <c r="D56" s="68" t="s">
        <v>1036</v>
      </c>
      <c r="E56" s="68" t="s">
        <v>1037</v>
      </c>
      <c r="F56" s="68" t="s">
        <v>1058</v>
      </c>
      <c r="G56" s="70" t="s">
        <v>1059</v>
      </c>
      <c r="H56" s="70" t="s">
        <v>565</v>
      </c>
      <c r="I56" s="68" t="s">
        <v>1065</v>
      </c>
    </row>
    <row r="57" spans="2:9">
      <c r="B57" s="76" t="s">
        <v>1104</v>
      </c>
      <c r="D57" s="68" t="s">
        <v>1036</v>
      </c>
      <c r="E57" s="68" t="s">
        <v>1037</v>
      </c>
      <c r="F57" s="68" t="s">
        <v>1058</v>
      </c>
      <c r="G57" s="70" t="s">
        <v>1059</v>
      </c>
      <c r="H57" s="70" t="s">
        <v>566</v>
      </c>
      <c r="I57" s="70" t="s">
        <v>1066</v>
      </c>
    </row>
    <row r="58" spans="2:9">
      <c r="B58" s="76" t="s">
        <v>1104</v>
      </c>
      <c r="D58" s="68" t="s">
        <v>1036</v>
      </c>
      <c r="E58" s="68" t="s">
        <v>1037</v>
      </c>
      <c r="F58" s="68" t="s">
        <v>1058</v>
      </c>
      <c r="G58" s="70" t="s">
        <v>1059</v>
      </c>
      <c r="H58" s="70" t="s">
        <v>567</v>
      </c>
      <c r="I58" s="70" t="s">
        <v>1067</v>
      </c>
    </row>
    <row r="59" spans="2:9">
      <c r="B59" s="76" t="s">
        <v>1104</v>
      </c>
      <c r="D59" s="68" t="s">
        <v>1036</v>
      </c>
      <c r="E59" s="68" t="s">
        <v>1037</v>
      </c>
      <c r="F59" s="68" t="s">
        <v>1058</v>
      </c>
      <c r="G59" s="70" t="s">
        <v>1059</v>
      </c>
      <c r="H59" s="70" t="s">
        <v>568</v>
      </c>
      <c r="I59" s="70" t="s">
        <v>1068</v>
      </c>
    </row>
    <row r="60" spans="2:9">
      <c r="B60" s="76" t="s">
        <v>1104</v>
      </c>
      <c r="D60" s="68" t="s">
        <v>1036</v>
      </c>
      <c r="E60" s="68" t="s">
        <v>1037</v>
      </c>
      <c r="F60" s="68" t="s">
        <v>1058</v>
      </c>
      <c r="G60" s="70" t="s">
        <v>1059</v>
      </c>
      <c r="H60" s="70" t="s">
        <v>569</v>
      </c>
      <c r="I60" s="70" t="s">
        <v>1069</v>
      </c>
    </row>
    <row r="61" spans="2:9">
      <c r="B61" s="76" t="s">
        <v>1104</v>
      </c>
      <c r="D61" s="68" t="s">
        <v>1036</v>
      </c>
      <c r="E61" s="68" t="s">
        <v>1037</v>
      </c>
      <c r="F61" s="68" t="s">
        <v>1070</v>
      </c>
      <c r="G61" s="70" t="s">
        <v>1071</v>
      </c>
      <c r="H61" s="70" t="s">
        <v>570</v>
      </c>
      <c r="I61" s="70" t="s">
        <v>1071</v>
      </c>
    </row>
    <row r="62" spans="2:9">
      <c r="B62" s="76" t="s">
        <v>1104</v>
      </c>
      <c r="D62" s="68" t="s">
        <v>1072</v>
      </c>
      <c r="E62" s="68" t="s">
        <v>1073</v>
      </c>
      <c r="F62" s="68" t="s">
        <v>1074</v>
      </c>
      <c r="G62" s="68" t="s">
        <v>1075</v>
      </c>
      <c r="H62" s="70" t="s">
        <v>571</v>
      </c>
      <c r="I62" s="68" t="s">
        <v>1076</v>
      </c>
    </row>
    <row r="63" spans="2:9">
      <c r="B63" s="76" t="s">
        <v>1104</v>
      </c>
      <c r="D63" s="68" t="s">
        <v>1072</v>
      </c>
      <c r="E63" s="68" t="s">
        <v>1073</v>
      </c>
      <c r="F63" s="68" t="s">
        <v>1074</v>
      </c>
      <c r="G63" s="68" t="s">
        <v>1075</v>
      </c>
      <c r="H63" s="70" t="s">
        <v>572</v>
      </c>
      <c r="I63" s="68" t="s">
        <v>1077</v>
      </c>
    </row>
    <row r="64" spans="2:9">
      <c r="B64" s="76" t="s">
        <v>1104</v>
      </c>
      <c r="D64" s="68" t="s">
        <v>1072</v>
      </c>
      <c r="E64" s="68" t="s">
        <v>1073</v>
      </c>
      <c r="F64" s="68" t="s">
        <v>1074</v>
      </c>
      <c r="G64" s="68" t="s">
        <v>1075</v>
      </c>
      <c r="H64" s="70" t="s">
        <v>573</v>
      </c>
      <c r="I64" s="68" t="s">
        <v>1078</v>
      </c>
    </row>
    <row r="65" spans="2:9">
      <c r="B65" s="76" t="s">
        <v>1104</v>
      </c>
      <c r="D65" s="68" t="s">
        <v>1072</v>
      </c>
      <c r="E65" s="68" t="s">
        <v>1073</v>
      </c>
      <c r="F65" s="68" t="s">
        <v>1079</v>
      </c>
      <c r="G65" s="68" t="s">
        <v>1080</v>
      </c>
      <c r="H65" s="70" t="s">
        <v>574</v>
      </c>
      <c r="I65" s="68" t="s">
        <v>1080</v>
      </c>
    </row>
    <row r="66" spans="2:9">
      <c r="B66" s="76" t="s">
        <v>1104</v>
      </c>
      <c r="D66" s="68" t="s">
        <v>1072</v>
      </c>
      <c r="E66" s="68" t="s">
        <v>1073</v>
      </c>
      <c r="F66" s="68" t="s">
        <v>1081</v>
      </c>
      <c r="G66" s="68" t="s">
        <v>1082</v>
      </c>
      <c r="H66" s="70" t="s">
        <v>575</v>
      </c>
      <c r="I66" s="68" t="s">
        <v>1082</v>
      </c>
    </row>
    <row r="67" spans="2:9">
      <c r="B67" s="76" t="s">
        <v>1104</v>
      </c>
      <c r="D67" s="68" t="s">
        <v>1072</v>
      </c>
      <c r="E67" s="68" t="s">
        <v>1073</v>
      </c>
      <c r="F67" s="68" t="s">
        <v>1083</v>
      </c>
      <c r="G67" s="68" t="s">
        <v>1084</v>
      </c>
      <c r="H67" s="70" t="s">
        <v>576</v>
      </c>
      <c r="I67" s="68" t="s">
        <v>1084</v>
      </c>
    </row>
    <row r="68" spans="2:9">
      <c r="B68" s="76" t="s">
        <v>1104</v>
      </c>
      <c r="D68" s="68" t="s">
        <v>1072</v>
      </c>
      <c r="E68" s="68" t="s">
        <v>1073</v>
      </c>
      <c r="F68" s="68" t="s">
        <v>1085</v>
      </c>
      <c r="G68" s="68" t="s">
        <v>1086</v>
      </c>
      <c r="H68" s="70" t="s">
        <v>577</v>
      </c>
      <c r="I68" s="68" t="s">
        <v>1086</v>
      </c>
    </row>
    <row r="69" spans="2:9">
      <c r="B69" s="76" t="s">
        <v>1104</v>
      </c>
      <c r="D69" s="68" t="s">
        <v>1072</v>
      </c>
      <c r="E69" s="68" t="s">
        <v>1073</v>
      </c>
      <c r="F69" s="68" t="s">
        <v>1087</v>
      </c>
      <c r="G69" s="68" t="s">
        <v>1088</v>
      </c>
      <c r="H69" s="70" t="s">
        <v>578</v>
      </c>
      <c r="I69" s="68" t="s">
        <v>1088</v>
      </c>
    </row>
    <row r="70" spans="2:9">
      <c r="B70" s="76" t="s">
        <v>1104</v>
      </c>
      <c r="D70" s="68" t="s">
        <v>1089</v>
      </c>
      <c r="E70" s="68" t="s">
        <v>1090</v>
      </c>
      <c r="F70" s="68" t="s">
        <v>1091</v>
      </c>
      <c r="G70" s="68" t="s">
        <v>1092</v>
      </c>
      <c r="H70" s="70" t="s">
        <v>579</v>
      </c>
      <c r="I70" s="68" t="s">
        <v>1093</v>
      </c>
    </row>
    <row r="71" spans="2:9">
      <c r="B71" s="76" t="s">
        <v>1104</v>
      </c>
      <c r="D71" s="68" t="s">
        <v>1089</v>
      </c>
      <c r="E71" s="68" t="s">
        <v>1090</v>
      </c>
      <c r="F71" s="68" t="s">
        <v>1091</v>
      </c>
      <c r="G71" s="68" t="s">
        <v>1092</v>
      </c>
      <c r="H71" s="70" t="s">
        <v>580</v>
      </c>
      <c r="I71" s="68" t="s">
        <v>1094</v>
      </c>
    </row>
    <row r="72" spans="2:9">
      <c r="B72" s="76" t="s">
        <v>1104</v>
      </c>
      <c r="D72" s="68" t="s">
        <v>1089</v>
      </c>
      <c r="E72" s="68" t="s">
        <v>1090</v>
      </c>
      <c r="F72" s="68" t="s">
        <v>1091</v>
      </c>
      <c r="G72" s="68" t="s">
        <v>1092</v>
      </c>
      <c r="H72" s="70" t="s">
        <v>581</v>
      </c>
      <c r="I72" s="68" t="s">
        <v>1095</v>
      </c>
    </row>
    <row r="73" spans="2:9">
      <c r="B73" s="76" t="s">
        <v>1104</v>
      </c>
      <c r="D73" s="68" t="s">
        <v>1089</v>
      </c>
      <c r="E73" s="68" t="s">
        <v>1090</v>
      </c>
      <c r="F73" s="68" t="s">
        <v>1096</v>
      </c>
      <c r="G73" s="68" t="s">
        <v>1097</v>
      </c>
      <c r="H73" s="70" t="s">
        <v>582</v>
      </c>
      <c r="I73" s="68" t="s">
        <v>1098</v>
      </c>
    </row>
    <row r="74" spans="2:9">
      <c r="B74" s="76" t="s">
        <v>1104</v>
      </c>
      <c r="D74" s="68" t="s">
        <v>1089</v>
      </c>
      <c r="E74" s="68" t="s">
        <v>1090</v>
      </c>
      <c r="F74" s="68" t="s">
        <v>1096</v>
      </c>
      <c r="G74" s="68" t="s">
        <v>1097</v>
      </c>
      <c r="H74" s="70" t="s">
        <v>583</v>
      </c>
      <c r="I74" s="68" t="s">
        <v>1099</v>
      </c>
    </row>
    <row r="75" spans="2:9">
      <c r="B75" s="76" t="s">
        <v>1104</v>
      </c>
      <c r="D75" s="68" t="s">
        <v>1089</v>
      </c>
      <c r="E75" s="68" t="s">
        <v>1090</v>
      </c>
      <c r="F75" s="68" t="s">
        <v>1096</v>
      </c>
      <c r="G75" s="68" t="s">
        <v>1097</v>
      </c>
      <c r="H75" s="70" t="s">
        <v>584</v>
      </c>
      <c r="I75" s="68" t="s">
        <v>1100</v>
      </c>
    </row>
    <row r="76" spans="2:9">
      <c r="B76" s="76" t="s">
        <v>1104</v>
      </c>
      <c r="D76" s="68" t="s">
        <v>513</v>
      </c>
      <c r="E76" s="68" t="s">
        <v>1101</v>
      </c>
      <c r="F76" s="68" t="s">
        <v>1102</v>
      </c>
      <c r="G76" s="68" t="s">
        <v>1103</v>
      </c>
      <c r="H76" s="70" t="s">
        <v>585</v>
      </c>
      <c r="I76" s="68" t="s">
        <v>1103</v>
      </c>
    </row>
    <row r="77" spans="2:9">
      <c r="B77" s="76"/>
    </row>
    <row r="78" spans="2:9">
      <c r="B78" s="76" t="s">
        <v>1111</v>
      </c>
      <c r="H78" s="260" t="s">
        <v>1689</v>
      </c>
      <c r="I78" s="261"/>
    </row>
    <row r="79" spans="2:9" ht="21">
      <c r="B79" s="76" t="s">
        <v>1111</v>
      </c>
      <c r="H79" s="140" t="s">
        <v>1105</v>
      </c>
      <c r="I79" s="67" t="s">
        <v>982</v>
      </c>
    </row>
    <row r="80" spans="2:9">
      <c r="B80" s="76" t="s">
        <v>1111</v>
      </c>
      <c r="F80" s="143"/>
      <c r="H80" s="142" t="s">
        <v>600</v>
      </c>
      <c r="I80" s="142" t="s">
        <v>1106</v>
      </c>
    </row>
    <row r="81" spans="2:9">
      <c r="B81" s="76" t="s">
        <v>1111</v>
      </c>
      <c r="F81" s="143"/>
      <c r="H81" s="142" t="s">
        <v>601</v>
      </c>
      <c r="I81" s="142" t="s">
        <v>992</v>
      </c>
    </row>
    <row r="82" spans="2:9">
      <c r="B82" s="76" t="s">
        <v>1111</v>
      </c>
      <c r="F82" s="143"/>
      <c r="H82" s="142" t="s">
        <v>602</v>
      </c>
      <c r="I82" s="142" t="s">
        <v>996</v>
      </c>
    </row>
    <row r="83" spans="2:9">
      <c r="B83" s="76" t="s">
        <v>1111</v>
      </c>
      <c r="F83" s="143"/>
      <c r="H83" s="142" t="s">
        <v>603</v>
      </c>
      <c r="I83" s="141" t="s">
        <v>999</v>
      </c>
    </row>
    <row r="84" spans="2:9">
      <c r="B84" s="76" t="s">
        <v>1111</v>
      </c>
      <c r="F84" s="143"/>
      <c r="H84" s="142" t="s">
        <v>604</v>
      </c>
      <c r="I84" s="141" t="s">
        <v>1000</v>
      </c>
    </row>
    <row r="85" spans="2:9">
      <c r="B85" s="76" t="s">
        <v>1111</v>
      </c>
      <c r="F85" s="143"/>
      <c r="H85" s="142" t="s">
        <v>605</v>
      </c>
      <c r="I85" s="142" t="s">
        <v>1002</v>
      </c>
    </row>
    <row r="86" spans="2:9">
      <c r="B86" s="76" t="s">
        <v>1111</v>
      </c>
      <c r="F86" s="143"/>
      <c r="H86" s="142" t="s">
        <v>606</v>
      </c>
      <c r="I86" s="142" t="s">
        <v>1107</v>
      </c>
    </row>
    <row r="87" spans="2:9">
      <c r="B87" s="76" t="s">
        <v>1111</v>
      </c>
      <c r="F87" s="143"/>
      <c r="H87" s="142" t="s">
        <v>607</v>
      </c>
      <c r="I87" s="142" t="s">
        <v>1108</v>
      </c>
    </row>
    <row r="88" spans="2:9">
      <c r="B88" s="76" t="s">
        <v>1111</v>
      </c>
      <c r="F88" s="143"/>
      <c r="H88" s="142" t="s">
        <v>608</v>
      </c>
      <c r="I88" s="142" t="s">
        <v>1012</v>
      </c>
    </row>
    <row r="89" spans="2:9">
      <c r="B89" s="76" t="s">
        <v>1111</v>
      </c>
      <c r="F89" s="143"/>
      <c r="H89" s="142" t="s">
        <v>609</v>
      </c>
      <c r="I89" s="142" t="s">
        <v>1109</v>
      </c>
    </row>
    <row r="90" spans="2:9">
      <c r="B90" s="76" t="s">
        <v>1111</v>
      </c>
      <c r="F90" s="143"/>
      <c r="H90" s="142" t="s">
        <v>610</v>
      </c>
      <c r="I90" s="142" t="s">
        <v>1022</v>
      </c>
    </row>
    <row r="91" spans="2:9">
      <c r="B91" s="76" t="s">
        <v>1111</v>
      </c>
      <c r="F91" s="143"/>
      <c r="H91" s="142" t="s">
        <v>611</v>
      </c>
      <c r="I91" s="142" t="s">
        <v>1026</v>
      </c>
    </row>
    <row r="92" spans="2:9">
      <c r="B92" s="76" t="s">
        <v>1111</v>
      </c>
      <c r="F92" s="143"/>
      <c r="H92" s="142" t="s">
        <v>548</v>
      </c>
      <c r="I92" s="142" t="s">
        <v>1039</v>
      </c>
    </row>
    <row r="93" spans="2:9">
      <c r="B93" s="76" t="s">
        <v>1111</v>
      </c>
      <c r="F93" s="143"/>
      <c r="H93" s="142" t="s">
        <v>612</v>
      </c>
      <c r="I93" s="142" t="s">
        <v>1043</v>
      </c>
    </row>
    <row r="94" spans="2:9">
      <c r="B94" s="76" t="s">
        <v>1111</v>
      </c>
      <c r="F94" s="143"/>
      <c r="H94" s="142" t="s">
        <v>613</v>
      </c>
      <c r="I94" s="142" t="s">
        <v>1045</v>
      </c>
    </row>
    <row r="95" spans="2:9">
      <c r="B95" s="76" t="s">
        <v>1111</v>
      </c>
      <c r="F95" s="143"/>
      <c r="H95" s="142" t="s">
        <v>614</v>
      </c>
      <c r="I95" s="142" t="s">
        <v>1054</v>
      </c>
    </row>
    <row r="96" spans="2:9">
      <c r="B96" s="76" t="s">
        <v>1111</v>
      </c>
      <c r="F96" s="143"/>
      <c r="H96" s="142" t="s">
        <v>615</v>
      </c>
      <c r="I96" s="142" t="s">
        <v>1055</v>
      </c>
    </row>
    <row r="97" spans="2:9">
      <c r="B97" s="76" t="s">
        <v>1111</v>
      </c>
      <c r="F97" s="143"/>
      <c r="H97" s="142" t="s">
        <v>616</v>
      </c>
      <c r="I97" s="142" t="s">
        <v>1057</v>
      </c>
    </row>
    <row r="98" spans="2:9">
      <c r="B98" s="76" t="s">
        <v>1111</v>
      </c>
      <c r="F98" s="143"/>
      <c r="H98" s="142" t="s">
        <v>617</v>
      </c>
      <c r="I98" s="142" t="s">
        <v>1059</v>
      </c>
    </row>
    <row r="99" spans="2:9">
      <c r="B99" s="76" t="s">
        <v>1111</v>
      </c>
      <c r="F99" s="143"/>
      <c r="H99" s="142" t="s">
        <v>618</v>
      </c>
      <c r="I99" s="142" t="s">
        <v>1071</v>
      </c>
    </row>
    <row r="100" spans="2:9">
      <c r="B100" s="76" t="s">
        <v>1111</v>
      </c>
      <c r="F100" s="143"/>
      <c r="H100" s="142" t="s">
        <v>619</v>
      </c>
      <c r="I100" s="141" t="s">
        <v>1110</v>
      </c>
    </row>
    <row r="101" spans="2:9">
      <c r="B101" s="76" t="s">
        <v>1111</v>
      </c>
      <c r="F101" s="143"/>
      <c r="H101" s="142" t="s">
        <v>620</v>
      </c>
      <c r="I101" s="141" t="s">
        <v>1080</v>
      </c>
    </row>
    <row r="102" spans="2:9">
      <c r="B102" s="76" t="s">
        <v>1111</v>
      </c>
      <c r="F102" s="143"/>
      <c r="H102" s="142" t="s">
        <v>621</v>
      </c>
      <c r="I102" s="141" t="s">
        <v>1082</v>
      </c>
    </row>
    <row r="103" spans="2:9">
      <c r="B103" s="76" t="s">
        <v>1111</v>
      </c>
      <c r="F103" s="143"/>
      <c r="H103" s="142" t="s">
        <v>622</v>
      </c>
      <c r="I103" s="141" t="s">
        <v>1084</v>
      </c>
    </row>
    <row r="104" spans="2:9">
      <c r="B104" s="76" t="s">
        <v>1111</v>
      </c>
      <c r="F104" s="143"/>
      <c r="H104" s="142" t="s">
        <v>623</v>
      </c>
      <c r="I104" s="141" t="s">
        <v>1086</v>
      </c>
    </row>
    <row r="105" spans="2:9">
      <c r="B105" s="76" t="s">
        <v>1111</v>
      </c>
      <c r="F105" s="143"/>
      <c r="H105" s="142" t="s">
        <v>624</v>
      </c>
      <c r="I105" s="141" t="s">
        <v>1088</v>
      </c>
    </row>
    <row r="106" spans="2:9">
      <c r="B106" s="76" t="s">
        <v>1111</v>
      </c>
      <c r="F106" s="143"/>
      <c r="H106" s="142" t="s">
        <v>625</v>
      </c>
      <c r="I106" s="141" t="s">
        <v>1090</v>
      </c>
    </row>
    <row r="107" spans="2:9">
      <c r="B107" s="76" t="s">
        <v>1111</v>
      </c>
      <c r="F107" s="143"/>
      <c r="H107" s="142" t="s">
        <v>626</v>
      </c>
      <c r="I107" s="141" t="s">
        <v>1103</v>
      </c>
    </row>
    <row r="108" spans="2:9">
      <c r="B108" s="77"/>
    </row>
    <row r="109" spans="2:9" ht="21">
      <c r="B109" s="76" t="s">
        <v>1158</v>
      </c>
      <c r="C109" s="166"/>
      <c r="D109" s="167"/>
      <c r="E109" s="168" t="s">
        <v>1112</v>
      </c>
      <c r="F109" s="169" t="s">
        <v>1113</v>
      </c>
      <c r="G109" s="170" t="s">
        <v>1114</v>
      </c>
    </row>
    <row r="110" spans="2:9">
      <c r="B110" s="76" t="s">
        <v>1158</v>
      </c>
      <c r="C110" s="166"/>
      <c r="D110" s="146" t="s">
        <v>1115</v>
      </c>
      <c r="E110" s="144" t="s">
        <v>1116</v>
      </c>
      <c r="F110" s="144" t="s">
        <v>477</v>
      </c>
      <c r="G110" s="164" t="s">
        <v>1117</v>
      </c>
    </row>
    <row r="111" spans="2:9">
      <c r="B111" s="76" t="s">
        <v>1158</v>
      </c>
      <c r="C111" s="166"/>
      <c r="D111" s="146" t="s">
        <v>1115</v>
      </c>
      <c r="E111" s="144" t="s">
        <v>1116</v>
      </c>
      <c r="F111" s="144" t="s">
        <v>478</v>
      </c>
      <c r="G111" s="164" t="s">
        <v>1118</v>
      </c>
    </row>
    <row r="112" spans="2:9">
      <c r="B112" s="76" t="s">
        <v>1158</v>
      </c>
      <c r="C112" s="166"/>
      <c r="D112" s="146" t="s">
        <v>1115</v>
      </c>
      <c r="E112" s="144" t="s">
        <v>1116</v>
      </c>
      <c r="F112" s="144" t="s">
        <v>479</v>
      </c>
      <c r="G112" s="164" t="s">
        <v>1119</v>
      </c>
    </row>
    <row r="113" spans="2:8">
      <c r="B113" s="76" t="s">
        <v>1158</v>
      </c>
      <c r="C113" s="166"/>
      <c r="D113" s="146" t="s">
        <v>1115</v>
      </c>
      <c r="E113" s="144" t="s">
        <v>1116</v>
      </c>
      <c r="F113" s="144" t="s">
        <v>480</v>
      </c>
      <c r="G113" s="164" t="s">
        <v>1120</v>
      </c>
    </row>
    <row r="114" spans="2:8">
      <c r="B114" s="76" t="s">
        <v>1158</v>
      </c>
      <c r="C114" s="166"/>
      <c r="D114" s="146" t="s">
        <v>1115</v>
      </c>
      <c r="E114" s="144" t="s">
        <v>1116</v>
      </c>
      <c r="F114" s="144" t="s">
        <v>481</v>
      </c>
      <c r="G114" s="164" t="s">
        <v>1121</v>
      </c>
    </row>
    <row r="115" spans="2:8">
      <c r="B115" s="76" t="s">
        <v>1158</v>
      </c>
      <c r="C115" s="166"/>
      <c r="D115" s="146" t="s">
        <v>1115</v>
      </c>
      <c r="E115" s="144" t="s">
        <v>1116</v>
      </c>
      <c r="F115" s="144" t="s">
        <v>482</v>
      </c>
      <c r="G115" s="164" t="s">
        <v>1122</v>
      </c>
    </row>
    <row r="116" spans="2:8">
      <c r="B116" s="76" t="s">
        <v>1158</v>
      </c>
      <c r="C116" s="166"/>
      <c r="D116" s="146" t="s">
        <v>1115</v>
      </c>
      <c r="E116" s="144" t="s">
        <v>1116</v>
      </c>
      <c r="F116" s="144" t="s">
        <v>483</v>
      </c>
      <c r="G116" s="164" t="s">
        <v>1123</v>
      </c>
    </row>
    <row r="117" spans="2:8">
      <c r="B117" s="76" t="s">
        <v>1158</v>
      </c>
      <c r="C117" s="166"/>
      <c r="D117" s="146" t="s">
        <v>1115</v>
      </c>
      <c r="E117" s="144" t="s">
        <v>1116</v>
      </c>
      <c r="F117" s="144" t="s">
        <v>484</v>
      </c>
      <c r="G117" s="164" t="s">
        <v>1124</v>
      </c>
    </row>
    <row r="118" spans="2:8">
      <c r="B118" s="76" t="s">
        <v>1158</v>
      </c>
      <c r="C118" s="166"/>
      <c r="D118" s="146" t="s">
        <v>1115</v>
      </c>
      <c r="E118" s="144" t="s">
        <v>1116</v>
      </c>
      <c r="F118" s="144" t="s">
        <v>485</v>
      </c>
      <c r="G118" s="164" t="s">
        <v>1125</v>
      </c>
    </row>
    <row r="119" spans="2:8">
      <c r="B119" s="76" t="s">
        <v>1158</v>
      </c>
      <c r="C119" s="166"/>
      <c r="D119" s="146" t="s">
        <v>1115</v>
      </c>
      <c r="E119" s="144" t="s">
        <v>1116</v>
      </c>
      <c r="F119" s="144" t="s">
        <v>486</v>
      </c>
      <c r="G119" s="164" t="s">
        <v>1126</v>
      </c>
    </row>
    <row r="120" spans="2:8">
      <c r="B120" s="76" t="s">
        <v>1158</v>
      </c>
      <c r="C120" s="166"/>
      <c r="D120" s="146" t="s">
        <v>1115</v>
      </c>
      <c r="E120" s="144" t="s">
        <v>1116</v>
      </c>
      <c r="F120" s="144" t="s">
        <v>487</v>
      </c>
      <c r="G120" s="164" t="s">
        <v>1127</v>
      </c>
    </row>
    <row r="121" spans="2:8">
      <c r="B121" s="76" t="s">
        <v>1158</v>
      </c>
      <c r="C121" s="166"/>
      <c r="D121" s="146" t="s">
        <v>1115</v>
      </c>
      <c r="E121" s="144" t="s">
        <v>1116</v>
      </c>
      <c r="F121" s="144" t="s">
        <v>488</v>
      </c>
      <c r="G121" s="164" t="s">
        <v>1128</v>
      </c>
    </row>
    <row r="122" spans="2:8">
      <c r="B122" s="76" t="s">
        <v>1158</v>
      </c>
      <c r="C122" s="166"/>
      <c r="D122" s="146" t="s">
        <v>1115</v>
      </c>
      <c r="E122" s="144" t="s">
        <v>1116</v>
      </c>
      <c r="F122" s="144" t="s">
        <v>489</v>
      </c>
      <c r="G122" s="164" t="s">
        <v>1129</v>
      </c>
    </row>
    <row r="123" spans="2:8">
      <c r="B123" s="76" t="s">
        <v>1158</v>
      </c>
      <c r="C123" s="166"/>
      <c r="D123" s="146" t="s">
        <v>1115</v>
      </c>
      <c r="E123" s="144" t="s">
        <v>1116</v>
      </c>
      <c r="F123" s="144" t="s">
        <v>490</v>
      </c>
      <c r="G123" s="164" t="s">
        <v>1130</v>
      </c>
    </row>
    <row r="124" spans="2:8">
      <c r="B124" s="76" t="s">
        <v>1158</v>
      </c>
      <c r="C124" s="166"/>
      <c r="D124" s="146" t="s">
        <v>1115</v>
      </c>
      <c r="E124" s="144" t="s">
        <v>1116</v>
      </c>
      <c r="F124" s="144" t="s">
        <v>491</v>
      </c>
      <c r="G124" s="164" t="s">
        <v>1131</v>
      </c>
    </row>
    <row r="125" spans="2:8">
      <c r="B125" s="76" t="s">
        <v>1158</v>
      </c>
      <c r="C125" s="166"/>
      <c r="D125" s="171" t="s">
        <v>1115</v>
      </c>
      <c r="E125" s="145" t="s">
        <v>1116</v>
      </c>
      <c r="F125" s="145" t="s">
        <v>492</v>
      </c>
      <c r="G125" s="165" t="s">
        <v>1132</v>
      </c>
      <c r="H125" s="163" t="s">
        <v>1540</v>
      </c>
    </row>
    <row r="126" spans="2:8">
      <c r="B126" s="76" t="s">
        <v>1158</v>
      </c>
      <c r="C126" s="166"/>
      <c r="D126" s="146" t="s">
        <v>1115</v>
      </c>
      <c r="E126" s="144" t="s">
        <v>1116</v>
      </c>
      <c r="F126" s="144" t="s">
        <v>493</v>
      </c>
      <c r="G126" s="164" t="s">
        <v>1133</v>
      </c>
    </row>
    <row r="127" spans="2:8">
      <c r="B127" s="76" t="s">
        <v>1158</v>
      </c>
      <c r="C127" s="166"/>
      <c r="D127" s="146" t="s">
        <v>1134</v>
      </c>
      <c r="E127" s="144" t="s">
        <v>1135</v>
      </c>
      <c r="F127" s="144" t="s">
        <v>494</v>
      </c>
      <c r="G127" s="164" t="s">
        <v>1136</v>
      </c>
    </row>
    <row r="128" spans="2:8">
      <c r="B128" s="76" t="s">
        <v>1158</v>
      </c>
      <c r="C128" s="166"/>
      <c r="D128" s="146" t="s">
        <v>1134</v>
      </c>
      <c r="E128" s="144" t="s">
        <v>1135</v>
      </c>
      <c r="F128" s="144" t="s">
        <v>495</v>
      </c>
      <c r="G128" s="164" t="s">
        <v>1137</v>
      </c>
    </row>
    <row r="129" spans="2:8">
      <c r="B129" s="76" t="s">
        <v>1158</v>
      </c>
      <c r="C129" s="166"/>
      <c r="D129" s="146" t="s">
        <v>1134</v>
      </c>
      <c r="E129" s="144" t="s">
        <v>1135</v>
      </c>
      <c r="F129" s="144" t="s">
        <v>496</v>
      </c>
      <c r="G129" s="164" t="s">
        <v>1138</v>
      </c>
    </row>
    <row r="130" spans="2:8">
      <c r="B130" s="76" t="s">
        <v>1158</v>
      </c>
      <c r="C130" s="166"/>
      <c r="D130" s="171" t="s">
        <v>1134</v>
      </c>
      <c r="E130" s="145" t="s">
        <v>1135</v>
      </c>
      <c r="F130" s="145" t="s">
        <v>497</v>
      </c>
      <c r="G130" s="165" t="s">
        <v>1139</v>
      </c>
      <c r="H130" s="163" t="s">
        <v>1540</v>
      </c>
    </row>
    <row r="131" spans="2:8">
      <c r="B131" s="76" t="s">
        <v>1158</v>
      </c>
      <c r="C131" s="166"/>
      <c r="D131" s="146" t="s">
        <v>1134</v>
      </c>
      <c r="E131" s="144" t="s">
        <v>1135</v>
      </c>
      <c r="F131" s="144" t="s">
        <v>498</v>
      </c>
      <c r="G131" s="164" t="s">
        <v>1140</v>
      </c>
    </row>
    <row r="132" spans="2:8">
      <c r="B132" s="76" t="s">
        <v>1158</v>
      </c>
      <c r="C132" s="166"/>
      <c r="D132" s="146" t="s">
        <v>1141</v>
      </c>
      <c r="E132" s="144" t="s">
        <v>1142</v>
      </c>
      <c r="F132" s="144" t="s">
        <v>499</v>
      </c>
      <c r="G132" s="164" t="s">
        <v>1076</v>
      </c>
    </row>
    <row r="133" spans="2:8">
      <c r="B133" s="76" t="s">
        <v>1158</v>
      </c>
      <c r="C133" s="166"/>
      <c r="D133" s="146" t="s">
        <v>1141</v>
      </c>
      <c r="E133" s="144" t="s">
        <v>1142</v>
      </c>
      <c r="F133" s="144" t="s">
        <v>500</v>
      </c>
      <c r="G133" s="164" t="s">
        <v>1077</v>
      </c>
    </row>
    <row r="134" spans="2:8">
      <c r="B134" s="76" t="s">
        <v>1158</v>
      </c>
      <c r="C134" s="166"/>
      <c r="D134" s="146" t="s">
        <v>1141</v>
      </c>
      <c r="E134" s="144" t="s">
        <v>1142</v>
      </c>
      <c r="F134" s="144" t="s">
        <v>501</v>
      </c>
      <c r="G134" s="164" t="s">
        <v>1143</v>
      </c>
    </row>
    <row r="135" spans="2:8">
      <c r="B135" s="76" t="s">
        <v>1158</v>
      </c>
      <c r="C135" s="166"/>
      <c r="D135" s="171" t="s">
        <v>1141</v>
      </c>
      <c r="E135" s="145" t="s">
        <v>1142</v>
      </c>
      <c r="F135" s="145" t="s">
        <v>502</v>
      </c>
      <c r="G135" s="165" t="s">
        <v>1144</v>
      </c>
      <c r="H135" s="163" t="s">
        <v>1540</v>
      </c>
    </row>
    <row r="136" spans="2:8">
      <c r="B136" s="76" t="s">
        <v>1158</v>
      </c>
      <c r="C136" s="166"/>
      <c r="D136" s="146" t="s">
        <v>1141</v>
      </c>
      <c r="E136" s="144" t="s">
        <v>1142</v>
      </c>
      <c r="F136" s="144" t="s">
        <v>503</v>
      </c>
      <c r="G136" s="164" t="s">
        <v>1145</v>
      </c>
    </row>
    <row r="137" spans="2:8">
      <c r="B137" s="76" t="s">
        <v>1158</v>
      </c>
      <c r="C137" s="166"/>
      <c r="D137" s="146" t="s">
        <v>1146</v>
      </c>
      <c r="E137" s="144" t="s">
        <v>1147</v>
      </c>
      <c r="F137" s="146" t="s">
        <v>504</v>
      </c>
      <c r="G137" s="164" t="s">
        <v>1148</v>
      </c>
    </row>
    <row r="138" spans="2:8">
      <c r="B138" s="76" t="s">
        <v>1158</v>
      </c>
      <c r="C138" s="166"/>
      <c r="D138" s="146" t="s">
        <v>1149</v>
      </c>
      <c r="E138" s="144" t="s">
        <v>1147</v>
      </c>
      <c r="F138" s="146" t="s">
        <v>505</v>
      </c>
      <c r="G138" s="164" t="s">
        <v>1150</v>
      </c>
    </row>
    <row r="139" spans="2:8">
      <c r="B139" s="76" t="s">
        <v>1158</v>
      </c>
      <c r="C139" s="166"/>
      <c r="D139" s="146" t="s">
        <v>1149</v>
      </c>
      <c r="E139" s="144" t="s">
        <v>1147</v>
      </c>
      <c r="F139" s="146" t="s">
        <v>506</v>
      </c>
      <c r="G139" s="164" t="s">
        <v>1151</v>
      </c>
    </row>
    <row r="140" spans="2:8">
      <c r="B140" s="76" t="s">
        <v>1158</v>
      </c>
      <c r="C140" s="166"/>
      <c r="D140" s="146" t="s">
        <v>636</v>
      </c>
      <c r="E140" s="144" t="s">
        <v>1152</v>
      </c>
      <c r="F140" s="146" t="s">
        <v>507</v>
      </c>
      <c r="G140" s="164" t="s">
        <v>1153</v>
      </c>
    </row>
    <row r="141" spans="2:8">
      <c r="B141" s="76" t="s">
        <v>1158</v>
      </c>
      <c r="C141" s="166"/>
      <c r="D141" s="146" t="s">
        <v>636</v>
      </c>
      <c r="E141" s="144" t="s">
        <v>1152</v>
      </c>
      <c r="F141" s="146" t="s">
        <v>508</v>
      </c>
      <c r="G141" s="164" t="s">
        <v>1154</v>
      </c>
    </row>
    <row r="142" spans="2:8">
      <c r="B142" s="76" t="s">
        <v>1158</v>
      </c>
      <c r="C142" s="166"/>
      <c r="D142" s="146" t="s">
        <v>636</v>
      </c>
      <c r="E142" s="144" t="s">
        <v>1152</v>
      </c>
      <c r="F142" s="146" t="s">
        <v>509</v>
      </c>
      <c r="G142" s="164" t="s">
        <v>1155</v>
      </c>
    </row>
    <row r="143" spans="2:8">
      <c r="B143" s="76" t="s">
        <v>1158</v>
      </c>
      <c r="C143" s="166"/>
      <c r="D143" s="146" t="s">
        <v>636</v>
      </c>
      <c r="E143" s="144" t="s">
        <v>1152</v>
      </c>
      <c r="F143" s="146" t="s">
        <v>510</v>
      </c>
      <c r="G143" s="164" t="s">
        <v>1156</v>
      </c>
    </row>
    <row r="144" spans="2:8">
      <c r="B144" s="76" t="s">
        <v>1158</v>
      </c>
      <c r="C144" s="166"/>
      <c r="D144" s="146" t="s">
        <v>636</v>
      </c>
      <c r="E144" s="144" t="s">
        <v>1152</v>
      </c>
      <c r="F144" s="146" t="s">
        <v>511</v>
      </c>
      <c r="G144" s="164" t="s">
        <v>1157</v>
      </c>
    </row>
    <row r="145" spans="2:7">
      <c r="B145" s="77"/>
    </row>
    <row r="146" spans="2:7" ht="11" thickBot="1">
      <c r="B146" s="76" t="s">
        <v>1194</v>
      </c>
      <c r="E146" s="73"/>
      <c r="F146" s="71" t="s">
        <v>1195</v>
      </c>
      <c r="G146" s="71" t="s">
        <v>982</v>
      </c>
    </row>
    <row r="147" spans="2:7">
      <c r="B147" s="76" t="s">
        <v>1194</v>
      </c>
      <c r="E147" s="147" t="s">
        <v>1159</v>
      </c>
      <c r="F147" s="148" t="s">
        <v>592</v>
      </c>
      <c r="G147" s="147" t="s">
        <v>1160</v>
      </c>
    </row>
    <row r="148" spans="2:7">
      <c r="B148" s="76" t="s">
        <v>1194</v>
      </c>
      <c r="E148" s="144" t="s">
        <v>1159</v>
      </c>
      <c r="F148" s="149" t="s">
        <v>593</v>
      </c>
      <c r="G148" s="144" t="s">
        <v>1161</v>
      </c>
    </row>
    <row r="149" spans="2:7">
      <c r="B149" s="76" t="s">
        <v>1194</v>
      </c>
      <c r="E149" s="144" t="s">
        <v>1159</v>
      </c>
      <c r="F149" s="149" t="s">
        <v>594</v>
      </c>
      <c r="G149" s="144" t="s">
        <v>1162</v>
      </c>
    </row>
    <row r="150" spans="2:7">
      <c r="B150" s="76" t="s">
        <v>1194</v>
      </c>
      <c r="E150" s="144" t="s">
        <v>1159</v>
      </c>
      <c r="F150" s="149" t="s">
        <v>595</v>
      </c>
      <c r="G150" s="144" t="s">
        <v>1163</v>
      </c>
    </row>
    <row r="151" spans="2:7">
      <c r="B151" s="76" t="s">
        <v>1194</v>
      </c>
      <c r="E151" s="144" t="s">
        <v>1159</v>
      </c>
      <c r="F151" s="149" t="s">
        <v>596</v>
      </c>
      <c r="G151" s="144" t="s">
        <v>1164</v>
      </c>
    </row>
    <row r="152" spans="2:7">
      <c r="B152" s="76" t="s">
        <v>1194</v>
      </c>
      <c r="E152" s="144" t="s">
        <v>1159</v>
      </c>
      <c r="F152" s="149" t="s">
        <v>597</v>
      </c>
      <c r="G152" s="144" t="s">
        <v>1165</v>
      </c>
    </row>
    <row r="153" spans="2:7">
      <c r="B153" s="78"/>
    </row>
    <row r="154" spans="2:7">
      <c r="B154" s="76" t="s">
        <v>1197</v>
      </c>
      <c r="E154" s="73"/>
      <c r="F154" s="71" t="s">
        <v>1196</v>
      </c>
      <c r="G154" s="71" t="s">
        <v>982</v>
      </c>
    </row>
    <row r="155" spans="2:7">
      <c r="B155" s="76" t="s">
        <v>1197</v>
      </c>
      <c r="E155" s="144" t="s">
        <v>1166</v>
      </c>
      <c r="F155" s="149" t="s">
        <v>627</v>
      </c>
      <c r="G155" s="144" t="s">
        <v>1167</v>
      </c>
    </row>
    <row r="156" spans="2:7">
      <c r="B156" s="76" t="s">
        <v>1197</v>
      </c>
      <c r="E156" s="144" t="s">
        <v>1166</v>
      </c>
      <c r="F156" s="149" t="s">
        <v>628</v>
      </c>
      <c r="G156" s="144" t="s">
        <v>1168</v>
      </c>
    </row>
    <row r="157" spans="2:7">
      <c r="B157" s="76" t="s">
        <v>1197</v>
      </c>
      <c r="E157" s="144" t="s">
        <v>1166</v>
      </c>
      <c r="F157" s="149" t="s">
        <v>629</v>
      </c>
      <c r="G157" s="144" t="s">
        <v>1169</v>
      </c>
    </row>
    <row r="158" spans="2:7">
      <c r="B158" s="76" t="s">
        <v>1197</v>
      </c>
      <c r="E158" s="144" t="s">
        <v>1166</v>
      </c>
      <c r="F158" s="149" t="s">
        <v>630</v>
      </c>
      <c r="G158" s="144" t="s">
        <v>1170</v>
      </c>
    </row>
    <row r="159" spans="2:7">
      <c r="B159" s="76" t="s">
        <v>1197</v>
      </c>
      <c r="E159" s="144" t="s">
        <v>1166</v>
      </c>
      <c r="F159" s="149" t="s">
        <v>631</v>
      </c>
      <c r="G159" s="144" t="s">
        <v>1171</v>
      </c>
    </row>
    <row r="160" spans="2:7">
      <c r="B160" s="76" t="s">
        <v>1197</v>
      </c>
      <c r="E160" s="144" t="s">
        <v>1166</v>
      </c>
      <c r="F160" s="149" t="s">
        <v>632</v>
      </c>
      <c r="G160" s="144" t="s">
        <v>1137</v>
      </c>
    </row>
    <row r="161" spans="2:7">
      <c r="B161" s="76" t="s">
        <v>1197</v>
      </c>
      <c r="E161" s="144" t="s">
        <v>1166</v>
      </c>
      <c r="F161" s="149" t="s">
        <v>633</v>
      </c>
      <c r="G161" s="144" t="s">
        <v>1172</v>
      </c>
    </row>
    <row r="162" spans="2:7">
      <c r="B162" s="76" t="s">
        <v>1197</v>
      </c>
      <c r="E162" s="144" t="s">
        <v>1166</v>
      </c>
      <c r="F162" s="149" t="s">
        <v>634</v>
      </c>
      <c r="G162" s="144" t="s">
        <v>1173</v>
      </c>
    </row>
    <row r="163" spans="2:7">
      <c r="B163" s="76" t="s">
        <v>1197</v>
      </c>
      <c r="E163" s="144" t="s">
        <v>1166</v>
      </c>
      <c r="F163" s="149" t="s">
        <v>635</v>
      </c>
      <c r="G163" s="144" t="s">
        <v>1174</v>
      </c>
    </row>
    <row r="164" spans="2:7">
      <c r="B164" s="76" t="s">
        <v>1197</v>
      </c>
      <c r="E164" s="144" t="s">
        <v>1166</v>
      </c>
      <c r="F164" s="149" t="s">
        <v>636</v>
      </c>
      <c r="G164" s="144" t="s">
        <v>1175</v>
      </c>
    </row>
    <row r="165" spans="2:7">
      <c r="B165" s="77"/>
    </row>
    <row r="166" spans="2:7">
      <c r="B166" s="76" t="s">
        <v>1199</v>
      </c>
      <c r="E166" s="73"/>
      <c r="F166" s="71" t="s">
        <v>1198</v>
      </c>
      <c r="G166" s="71" t="s">
        <v>982</v>
      </c>
    </row>
    <row r="167" spans="2:7">
      <c r="B167" s="76" t="s">
        <v>1199</v>
      </c>
      <c r="E167" s="150" t="s">
        <v>1176</v>
      </c>
      <c r="F167" s="151" t="s">
        <v>647</v>
      </c>
      <c r="G167" s="150" t="s">
        <v>1177</v>
      </c>
    </row>
    <row r="168" spans="2:7">
      <c r="B168" s="76" t="s">
        <v>1199</v>
      </c>
      <c r="E168" s="150" t="s">
        <v>1176</v>
      </c>
      <c r="F168" s="151" t="s">
        <v>648</v>
      </c>
      <c r="G168" s="150" t="s">
        <v>1178</v>
      </c>
    </row>
    <row r="169" spans="2:7">
      <c r="B169" s="76" t="s">
        <v>1199</v>
      </c>
      <c r="E169" s="150" t="s">
        <v>1176</v>
      </c>
      <c r="F169" s="151" t="s">
        <v>587</v>
      </c>
      <c r="G169" s="150" t="s">
        <v>1179</v>
      </c>
    </row>
    <row r="170" spans="2:7">
      <c r="B170" s="76" t="s">
        <v>1199</v>
      </c>
      <c r="E170" s="150" t="s">
        <v>1176</v>
      </c>
      <c r="F170" s="151" t="s">
        <v>649</v>
      </c>
      <c r="G170" s="150" t="s">
        <v>1180</v>
      </c>
    </row>
    <row r="171" spans="2:7">
      <c r="B171" s="76" t="s">
        <v>1199</v>
      </c>
      <c r="E171" s="150" t="s">
        <v>1176</v>
      </c>
      <c r="F171" s="151" t="s">
        <v>650</v>
      </c>
      <c r="G171" s="150" t="s">
        <v>945</v>
      </c>
    </row>
    <row r="172" spans="2:7">
      <c r="B172" s="76" t="s">
        <v>1199</v>
      </c>
      <c r="E172" s="150" t="s">
        <v>1176</v>
      </c>
      <c r="F172" s="151" t="s">
        <v>651</v>
      </c>
      <c r="G172" s="150" t="s">
        <v>1181</v>
      </c>
    </row>
    <row r="173" spans="2:7">
      <c r="B173" s="76" t="s">
        <v>1199</v>
      </c>
      <c r="E173" s="150" t="s">
        <v>1176</v>
      </c>
      <c r="F173" s="151" t="s">
        <v>652</v>
      </c>
      <c r="G173" s="150" t="s">
        <v>915</v>
      </c>
    </row>
    <row r="174" spans="2:7">
      <c r="B174" s="76" t="s">
        <v>1199</v>
      </c>
      <c r="E174" s="150" t="s">
        <v>1176</v>
      </c>
      <c r="F174" s="151" t="s">
        <v>586</v>
      </c>
      <c r="G174" s="150" t="s">
        <v>1182</v>
      </c>
    </row>
    <row r="175" spans="2:7">
      <c r="B175" s="76" t="s">
        <v>1199</v>
      </c>
      <c r="E175" s="150" t="s">
        <v>1176</v>
      </c>
      <c r="F175" s="151" t="s">
        <v>653</v>
      </c>
      <c r="G175" s="150" t="s">
        <v>1183</v>
      </c>
    </row>
    <row r="176" spans="2:7">
      <c r="B176" s="77"/>
    </row>
    <row r="177" spans="2:7">
      <c r="B177" s="76" t="s">
        <v>1201</v>
      </c>
      <c r="E177" s="73"/>
      <c r="F177" s="71" t="s">
        <v>1200</v>
      </c>
      <c r="G177" s="71" t="s">
        <v>982</v>
      </c>
    </row>
    <row r="178" spans="2:7">
      <c r="B178" s="76" t="s">
        <v>1201</v>
      </c>
      <c r="E178" s="144" t="s">
        <v>1184</v>
      </c>
      <c r="F178" s="152" t="s">
        <v>654</v>
      </c>
      <c r="G178" s="72" t="s">
        <v>1185</v>
      </c>
    </row>
    <row r="179" spans="2:7">
      <c r="B179" s="76" t="s">
        <v>1201</v>
      </c>
      <c r="E179" s="144" t="s">
        <v>1184</v>
      </c>
      <c r="F179" s="152" t="s">
        <v>655</v>
      </c>
      <c r="G179" s="72" t="s">
        <v>1186</v>
      </c>
    </row>
    <row r="180" spans="2:7">
      <c r="B180" s="76" t="s">
        <v>1201</v>
      </c>
      <c r="E180" s="144" t="s">
        <v>1184</v>
      </c>
      <c r="F180" s="152" t="s">
        <v>656</v>
      </c>
      <c r="G180" s="72" t="s">
        <v>1187</v>
      </c>
    </row>
    <row r="181" spans="2:7">
      <c r="B181" s="76" t="s">
        <v>1201</v>
      </c>
      <c r="E181" s="144" t="s">
        <v>1184</v>
      </c>
      <c r="F181" s="152" t="s">
        <v>657</v>
      </c>
      <c r="G181" s="72" t="s">
        <v>1188</v>
      </c>
    </row>
    <row r="182" spans="2:7">
      <c r="B182" s="76" t="s">
        <v>1201</v>
      </c>
      <c r="E182" s="144" t="s">
        <v>1184</v>
      </c>
      <c r="F182" s="152" t="s">
        <v>658</v>
      </c>
      <c r="G182" s="72" t="s">
        <v>1189</v>
      </c>
    </row>
    <row r="183" spans="2:7">
      <c r="B183" s="76" t="s">
        <v>1201</v>
      </c>
      <c r="E183" s="144" t="s">
        <v>1184</v>
      </c>
      <c r="F183" s="152" t="s">
        <v>659</v>
      </c>
      <c r="G183" s="72" t="s">
        <v>1190</v>
      </c>
    </row>
    <row r="184" spans="2:7">
      <c r="B184" s="76" t="s">
        <v>1201</v>
      </c>
      <c r="E184" s="144" t="s">
        <v>1184</v>
      </c>
      <c r="F184" s="152" t="s">
        <v>660</v>
      </c>
      <c r="G184" s="72" t="s">
        <v>1191</v>
      </c>
    </row>
    <row r="185" spans="2:7">
      <c r="B185" s="76" t="s">
        <v>1201</v>
      </c>
      <c r="E185" s="144" t="s">
        <v>1184</v>
      </c>
      <c r="F185" s="152" t="s">
        <v>661</v>
      </c>
      <c r="G185" s="72" t="s">
        <v>1192</v>
      </c>
    </row>
    <row r="186" spans="2:7">
      <c r="B186" s="76" t="s">
        <v>1201</v>
      </c>
      <c r="E186" s="144" t="s">
        <v>1184</v>
      </c>
      <c r="F186" s="152" t="s">
        <v>662</v>
      </c>
      <c r="G186" s="72" t="s">
        <v>1193</v>
      </c>
    </row>
    <row r="187" spans="2:7">
      <c r="B187" s="76" t="s">
        <v>1201</v>
      </c>
      <c r="E187" s="144" t="s">
        <v>1184</v>
      </c>
      <c r="F187" s="152" t="s">
        <v>295</v>
      </c>
      <c r="G187" s="72" t="s">
        <v>1183</v>
      </c>
    </row>
    <row r="188" spans="2:7">
      <c r="B188" s="77"/>
    </row>
    <row r="189" spans="2:7" ht="11" thickBot="1">
      <c r="B189" s="76" t="s">
        <v>1627</v>
      </c>
      <c r="E189" s="73"/>
      <c r="F189" s="71" t="s">
        <v>1626</v>
      </c>
      <c r="G189" s="67" t="s">
        <v>853</v>
      </c>
    </row>
    <row r="190" spans="2:7">
      <c r="B190" s="76" t="s">
        <v>1627</v>
      </c>
      <c r="E190" s="147" t="s">
        <v>680</v>
      </c>
      <c r="F190" s="75" t="s">
        <v>29</v>
      </c>
      <c r="G190" s="75" t="s">
        <v>1617</v>
      </c>
    </row>
    <row r="191" spans="2:7">
      <c r="B191" s="76" t="s">
        <v>1627</v>
      </c>
      <c r="E191" s="144" t="s">
        <v>680</v>
      </c>
      <c r="F191" s="75" t="s">
        <v>30</v>
      </c>
      <c r="G191" s="75" t="s">
        <v>1618</v>
      </c>
    </row>
    <row r="192" spans="2:7">
      <c r="B192" s="76" t="s">
        <v>1627</v>
      </c>
      <c r="E192" s="144" t="s">
        <v>680</v>
      </c>
      <c r="F192" s="75" t="s">
        <v>31</v>
      </c>
      <c r="G192" s="75" t="s">
        <v>1619</v>
      </c>
    </row>
    <row r="193" spans="2:7">
      <c r="B193" s="76" t="s">
        <v>1627</v>
      </c>
      <c r="E193" s="144" t="s">
        <v>680</v>
      </c>
      <c r="F193" s="75" t="s">
        <v>32</v>
      </c>
      <c r="G193" s="75" t="s">
        <v>1620</v>
      </c>
    </row>
    <row r="194" spans="2:7">
      <c r="B194" s="76" t="s">
        <v>1627</v>
      </c>
      <c r="E194" s="144" t="s">
        <v>680</v>
      </c>
      <c r="F194" s="75" t="s">
        <v>33</v>
      </c>
      <c r="G194" s="75" t="s">
        <v>1621</v>
      </c>
    </row>
    <row r="195" spans="2:7">
      <c r="B195" s="76" t="s">
        <v>1627</v>
      </c>
      <c r="E195" s="144" t="s">
        <v>680</v>
      </c>
      <c r="F195" s="75" t="s">
        <v>34</v>
      </c>
      <c r="G195" s="75" t="s">
        <v>1622</v>
      </c>
    </row>
    <row r="196" spans="2:7">
      <c r="B196" s="76" t="s">
        <v>1627</v>
      </c>
      <c r="E196" s="144" t="s">
        <v>680</v>
      </c>
      <c r="F196" s="75" t="s">
        <v>35</v>
      </c>
      <c r="G196" s="75" t="s">
        <v>1623</v>
      </c>
    </row>
    <row r="197" spans="2:7">
      <c r="B197" s="76" t="s">
        <v>1627</v>
      </c>
      <c r="E197" s="144" t="s">
        <v>680</v>
      </c>
      <c r="F197" s="75" t="s">
        <v>1436</v>
      </c>
      <c r="G197" s="75" t="s">
        <v>1624</v>
      </c>
    </row>
    <row r="198" spans="2:7">
      <c r="B198" s="76" t="s">
        <v>1627</v>
      </c>
      <c r="E198" s="144" t="s">
        <v>680</v>
      </c>
      <c r="F198" s="75" t="s">
        <v>1437</v>
      </c>
      <c r="G198" s="75" t="s">
        <v>1625</v>
      </c>
    </row>
    <row r="199" spans="2:7">
      <c r="B199" s="153"/>
      <c r="E199" s="156"/>
      <c r="F199" s="154"/>
      <c r="G199" s="154"/>
    </row>
    <row r="200" spans="2:7" ht="21">
      <c r="B200" s="76" t="s">
        <v>1217</v>
      </c>
      <c r="D200" s="67" t="s">
        <v>1205</v>
      </c>
      <c r="E200" s="155" t="s">
        <v>853</v>
      </c>
      <c r="F200" s="67" t="s">
        <v>1206</v>
      </c>
    </row>
    <row r="201" spans="2:7">
      <c r="B201" s="76" t="s">
        <v>1217</v>
      </c>
      <c r="D201" s="75" t="s">
        <v>900</v>
      </c>
      <c r="E201" s="75" t="s">
        <v>1207</v>
      </c>
      <c r="F201" s="75" t="s">
        <v>1208</v>
      </c>
    </row>
    <row r="202" spans="2:7">
      <c r="B202" s="76" t="s">
        <v>1217</v>
      </c>
      <c r="D202" s="75" t="s">
        <v>901</v>
      </c>
      <c r="E202" s="75" t="s">
        <v>1209</v>
      </c>
      <c r="F202" s="75" t="s">
        <v>1607</v>
      </c>
    </row>
    <row r="203" spans="2:7">
      <c r="B203" s="76" t="s">
        <v>1217</v>
      </c>
      <c r="D203" s="75" t="s">
        <v>637</v>
      </c>
      <c r="E203" s="75" t="s">
        <v>1210</v>
      </c>
      <c r="F203" s="75" t="s">
        <v>1607</v>
      </c>
    </row>
    <row r="204" spans="2:7">
      <c r="B204" s="76" t="s">
        <v>1217</v>
      </c>
      <c r="D204" s="75" t="s">
        <v>641</v>
      </c>
      <c r="E204" s="75" t="s">
        <v>1211</v>
      </c>
      <c r="F204" s="75" t="s">
        <v>1691</v>
      </c>
    </row>
    <row r="205" spans="2:7">
      <c r="B205" s="76" t="s">
        <v>1217</v>
      </c>
      <c r="D205" s="75" t="s">
        <v>638</v>
      </c>
      <c r="E205" s="75" t="s">
        <v>1212</v>
      </c>
      <c r="F205" s="75" t="s">
        <v>1691</v>
      </c>
    </row>
    <row r="206" spans="2:7">
      <c r="B206" s="76" t="s">
        <v>1217</v>
      </c>
      <c r="D206" s="75" t="s">
        <v>639</v>
      </c>
      <c r="E206" s="75" t="s">
        <v>1213</v>
      </c>
      <c r="F206" s="75" t="s">
        <v>1214</v>
      </c>
    </row>
    <row r="207" spans="2:7">
      <c r="B207" s="76" t="s">
        <v>1217</v>
      </c>
      <c r="D207" s="75" t="s">
        <v>640</v>
      </c>
      <c r="E207" s="75" t="s">
        <v>1215</v>
      </c>
      <c r="F207" s="75" t="s">
        <v>1216</v>
      </c>
    </row>
  </sheetData>
  <autoFilter ref="B1:B207" xr:uid="{E7C3059E-806E-4888-9D0B-5C1F331A9861}"/>
  <mergeCells count="5">
    <mergeCell ref="D1:I1"/>
    <mergeCell ref="D2:E2"/>
    <mergeCell ref="F2:G2"/>
    <mergeCell ref="H2:I2"/>
    <mergeCell ref="H78:I7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2"/>
  <sheetViews>
    <sheetView workbookViewId="0">
      <pane ySplit="4" topLeftCell="A5" activePane="bottomLeft" state="frozen"/>
      <selection activeCell="C20" sqref="C20"/>
      <selection pane="bottomLeft" activeCell="B58" sqref="B58"/>
    </sheetView>
  </sheetViews>
  <sheetFormatPr baseColWidth="10" defaultColWidth="9.1796875" defaultRowHeight="10.5"/>
  <cols>
    <col min="1" max="1" width="1.81640625" style="3" bestFit="1" customWidth="1"/>
    <col min="2" max="2" width="39.81640625" style="1" bestFit="1" customWidth="1"/>
    <col min="3" max="3" width="3" style="1" bestFit="1" customWidth="1"/>
    <col min="4" max="4" width="6" style="1" bestFit="1" customWidth="1"/>
    <col min="5" max="5" width="2.81640625" style="1" bestFit="1" customWidth="1"/>
    <col min="6" max="6" width="4.453125" style="1" bestFit="1" customWidth="1"/>
    <col min="7" max="7" width="3" style="1" bestFit="1" customWidth="1"/>
    <col min="8" max="8" width="2.81640625" style="1" bestFit="1" customWidth="1"/>
    <col min="9" max="9" width="5.1796875" style="1" bestFit="1" customWidth="1"/>
    <col min="10" max="10" width="8.81640625" style="2" bestFit="1" customWidth="1"/>
    <col min="11" max="11" width="1.81640625" style="2" bestFit="1" customWidth="1"/>
    <col min="12" max="13" width="2.81640625" style="2" bestFit="1" customWidth="1"/>
    <col min="14" max="14" width="1.81640625" style="2" bestFit="1" customWidth="1"/>
    <col min="15" max="16" width="2.81640625" style="2" bestFit="1" customWidth="1"/>
    <col min="17" max="17" width="6.1796875" style="2" bestFit="1" customWidth="1"/>
    <col min="18" max="18" width="4.54296875" style="2" bestFit="1" customWidth="1"/>
    <col min="19" max="19" width="3.81640625" style="2" bestFit="1" customWidth="1"/>
    <col min="20" max="20" width="9.453125" style="2" bestFit="1" customWidth="1"/>
    <col min="21" max="21" width="12" style="2" bestFit="1" customWidth="1"/>
    <col min="22" max="22" width="4.81640625" style="2" customWidth="1"/>
    <col min="23" max="25" width="2.81640625" style="2" bestFit="1" customWidth="1"/>
    <col min="26" max="26" width="11.81640625" style="2" bestFit="1" customWidth="1"/>
    <col min="27" max="27" width="4.1796875" style="2" bestFit="1" customWidth="1"/>
    <col min="28" max="28" width="11.1796875" style="2" bestFit="1" customWidth="1"/>
    <col min="29" max="29" width="3.81640625" style="2" bestFit="1" customWidth="1"/>
    <col min="30" max="30" width="11.1796875" style="2" bestFit="1" customWidth="1"/>
    <col min="31" max="31" width="4.54296875" style="2" bestFit="1" customWidth="1"/>
    <col min="32" max="32" width="13.54296875" style="2" bestFit="1" customWidth="1"/>
    <col min="33" max="33" width="5.81640625" style="2" bestFit="1" customWidth="1"/>
    <col min="34" max="34" width="3.54296875" style="2" bestFit="1" customWidth="1"/>
    <col min="35" max="35" width="4.81640625" style="2" bestFit="1" customWidth="1"/>
    <col min="36" max="36" width="4.1796875" style="2" bestFit="1" customWidth="1"/>
    <col min="37" max="16384" width="9.1796875" style="1"/>
  </cols>
  <sheetData>
    <row r="1" spans="1:36" ht="19" thickBot="1">
      <c r="A1" s="4"/>
      <c r="B1" s="15" t="s">
        <v>854</v>
      </c>
      <c r="C1" s="5"/>
      <c r="D1" s="5"/>
      <c r="E1" s="5"/>
      <c r="F1" s="5"/>
      <c r="G1" s="5"/>
      <c r="H1" s="5"/>
      <c r="I1" s="5"/>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row>
    <row r="2" spans="1:36" s="7" customFormat="1" ht="11" thickBot="1">
      <c r="A2" s="7" t="s">
        <v>293</v>
      </c>
      <c r="B2" s="10" t="s">
        <v>1</v>
      </c>
      <c r="C2" s="262" t="s">
        <v>294</v>
      </c>
      <c r="D2" s="263"/>
      <c r="E2" s="263"/>
      <c r="F2" s="263"/>
      <c r="G2" s="263"/>
      <c r="H2" s="263"/>
      <c r="I2" s="263"/>
      <c r="J2" s="264"/>
      <c r="K2" s="262" t="s">
        <v>646</v>
      </c>
      <c r="L2" s="263"/>
      <c r="M2" s="264"/>
      <c r="N2" s="262" t="s">
        <v>645</v>
      </c>
      <c r="O2" s="263"/>
      <c r="P2" s="263"/>
      <c r="Q2" s="263"/>
      <c r="R2" s="263"/>
      <c r="S2" s="263"/>
      <c r="T2" s="263"/>
      <c r="U2" s="263"/>
      <c r="V2" s="263"/>
      <c r="W2" s="263"/>
      <c r="X2" s="263"/>
      <c r="Y2" s="263"/>
      <c r="Z2" s="263"/>
      <c r="AA2" s="263"/>
      <c r="AB2" s="263"/>
      <c r="AC2" s="263"/>
      <c r="AD2" s="263"/>
      <c r="AE2" s="263"/>
      <c r="AF2" s="263"/>
      <c r="AG2" s="263"/>
      <c r="AH2" s="263"/>
      <c r="AI2" s="263"/>
      <c r="AJ2" s="264"/>
    </row>
    <row r="3" spans="1:36" s="7" customFormat="1" ht="11" thickBot="1">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c r="W3" s="9">
        <v>71</v>
      </c>
      <c r="X3" s="9">
        <v>72</v>
      </c>
      <c r="Y3" s="9">
        <v>75</v>
      </c>
      <c r="Z3" s="9">
        <v>78</v>
      </c>
      <c r="AA3" s="9" t="s">
        <v>895</v>
      </c>
      <c r="AB3" s="9">
        <v>113</v>
      </c>
      <c r="AC3" s="9">
        <v>115</v>
      </c>
      <c r="AD3" s="9">
        <v>125</v>
      </c>
      <c r="AE3" s="9">
        <v>134</v>
      </c>
      <c r="AF3" s="9">
        <v>138</v>
      </c>
      <c r="AG3" s="9">
        <v>146</v>
      </c>
      <c r="AH3" s="9">
        <v>194</v>
      </c>
      <c r="AI3" s="9">
        <v>208</v>
      </c>
      <c r="AJ3" s="9" t="s">
        <v>860</v>
      </c>
    </row>
    <row r="4" spans="1:36" s="7" customFormat="1" ht="11" thickBot="1">
      <c r="A4" s="6"/>
      <c r="B4" s="8" t="s">
        <v>868</v>
      </c>
      <c r="C4" s="9" t="s">
        <v>867</v>
      </c>
      <c r="D4" s="9"/>
      <c r="E4" s="9"/>
      <c r="F4" s="9"/>
      <c r="G4" s="9"/>
      <c r="H4" s="9"/>
      <c r="I4" s="9" t="s">
        <v>866</v>
      </c>
      <c r="J4" s="9" t="s">
        <v>1489</v>
      </c>
      <c r="K4" s="9"/>
      <c r="L4" s="9"/>
      <c r="M4" s="9"/>
      <c r="N4" s="9"/>
      <c r="O4" s="9"/>
      <c r="P4" s="9"/>
      <c r="Q4" s="9"/>
      <c r="R4" s="9" t="s">
        <v>869</v>
      </c>
      <c r="S4" s="9"/>
      <c r="T4" s="9"/>
      <c r="U4" s="9"/>
      <c r="V4" s="9"/>
      <c r="W4" s="9"/>
      <c r="X4" s="9"/>
      <c r="Y4" s="9"/>
      <c r="Z4" s="9"/>
      <c r="AA4" s="9"/>
      <c r="AB4" s="9"/>
      <c r="AC4" s="9"/>
      <c r="AD4" s="9"/>
      <c r="AE4" s="9"/>
      <c r="AF4" s="9"/>
      <c r="AG4" s="9"/>
      <c r="AH4" s="9"/>
      <c r="AI4" s="9"/>
      <c r="AJ4" s="9"/>
    </row>
    <row r="5" spans="1:36" s="13" customFormat="1" ht="11" thickBot="1">
      <c r="A5" s="11" t="s">
        <v>293</v>
      </c>
      <c r="B5" s="224"/>
      <c r="C5" s="225"/>
      <c r="D5" s="225"/>
      <c r="E5" s="225"/>
      <c r="F5" s="225"/>
      <c r="G5" s="226"/>
      <c r="H5" s="226"/>
      <c r="I5" s="225"/>
      <c r="J5" s="225"/>
      <c r="K5" s="225"/>
      <c r="L5" s="226"/>
      <c r="M5" s="225"/>
      <c r="N5" s="226"/>
      <c r="O5" s="226"/>
      <c r="P5" s="226"/>
      <c r="Q5" s="226"/>
      <c r="R5" s="226"/>
      <c r="S5" s="226"/>
      <c r="T5" s="226"/>
      <c r="U5" s="226"/>
      <c r="V5" s="226"/>
      <c r="W5" s="226"/>
      <c r="X5" s="226"/>
      <c r="Y5" s="226"/>
      <c r="Z5" s="226"/>
      <c r="AA5" s="226"/>
      <c r="AB5" s="226"/>
      <c r="AC5" s="226"/>
      <c r="AD5" s="226"/>
      <c r="AE5" s="226"/>
      <c r="AF5" s="226"/>
      <c r="AG5" s="226"/>
      <c r="AH5" s="226"/>
      <c r="AI5" s="226"/>
      <c r="AJ5" s="226"/>
    </row>
    <row r="6" spans="1:36" s="13" customFormat="1">
      <c r="A6" s="11" t="s">
        <v>293</v>
      </c>
      <c r="B6" s="224" t="s">
        <v>267</v>
      </c>
      <c r="C6" s="225" t="s">
        <v>19</v>
      </c>
      <c r="D6" s="225" t="s">
        <v>27</v>
      </c>
      <c r="E6" s="225" t="s">
        <v>29</v>
      </c>
      <c r="F6" s="225">
        <v>2018</v>
      </c>
      <c r="G6" s="226" t="s">
        <v>37</v>
      </c>
      <c r="H6" s="226" t="s">
        <v>29</v>
      </c>
      <c r="I6" s="225" t="s">
        <v>43</v>
      </c>
      <c r="J6" s="225" t="s">
        <v>2</v>
      </c>
      <c r="K6" s="225">
        <v>1</v>
      </c>
      <c r="L6" s="226">
        <v>1</v>
      </c>
      <c r="M6" s="225">
        <v>1</v>
      </c>
      <c r="N6" s="226">
        <v>1</v>
      </c>
      <c r="O6" s="226">
        <v>1</v>
      </c>
      <c r="P6" s="226">
        <v>1</v>
      </c>
      <c r="Q6" s="226" t="s">
        <v>295</v>
      </c>
      <c r="R6" s="226" t="s">
        <v>391</v>
      </c>
      <c r="S6" s="226" t="s">
        <v>512</v>
      </c>
      <c r="T6" s="226" t="s">
        <v>477</v>
      </c>
      <c r="U6" s="226" t="s">
        <v>583</v>
      </c>
      <c r="V6" s="226"/>
      <c r="W6" s="226" t="s">
        <v>586</v>
      </c>
      <c r="X6" s="226" t="s">
        <v>588</v>
      </c>
      <c r="Y6" s="226"/>
      <c r="Z6" s="226" t="s">
        <v>1674</v>
      </c>
      <c r="AA6" s="226" t="s">
        <v>663</v>
      </c>
      <c r="AB6" s="226" t="s">
        <v>592</v>
      </c>
      <c r="AC6" s="226" t="s">
        <v>598</v>
      </c>
      <c r="AD6" s="226" t="s">
        <v>625</v>
      </c>
      <c r="AE6" s="226" t="s">
        <v>627</v>
      </c>
      <c r="AF6" s="226" t="s">
        <v>900</v>
      </c>
      <c r="AG6" s="226" t="s">
        <v>642</v>
      </c>
      <c r="AH6" s="226" t="s">
        <v>647</v>
      </c>
      <c r="AI6" s="226" t="s">
        <v>654</v>
      </c>
      <c r="AJ6" s="226">
        <v>1</v>
      </c>
    </row>
    <row r="7" spans="1:36" s="13" customFormat="1">
      <c r="A7" s="11" t="s">
        <v>293</v>
      </c>
      <c r="B7" s="227" t="s">
        <v>270</v>
      </c>
      <c r="C7" s="226" t="s">
        <v>2</v>
      </c>
      <c r="D7" s="226" t="s">
        <v>1488</v>
      </c>
      <c r="E7" s="226" t="s">
        <v>30</v>
      </c>
      <c r="F7" s="226">
        <v>2019</v>
      </c>
      <c r="G7" s="226" t="s">
        <v>36</v>
      </c>
      <c r="H7" s="226" t="s">
        <v>30</v>
      </c>
      <c r="I7" s="226" t="s">
        <v>44</v>
      </c>
      <c r="J7" s="226" t="s">
        <v>6</v>
      </c>
      <c r="K7" s="226">
        <v>2</v>
      </c>
      <c r="L7" s="226">
        <v>2</v>
      </c>
      <c r="M7" s="226">
        <v>2</v>
      </c>
      <c r="N7" s="226">
        <v>2</v>
      </c>
      <c r="O7" s="226">
        <v>2</v>
      </c>
      <c r="P7" s="226">
        <v>2</v>
      </c>
      <c r="Q7" s="226" t="s">
        <v>296</v>
      </c>
      <c r="R7" s="226" t="s">
        <v>300</v>
      </c>
      <c r="S7" s="226" t="s">
        <v>513</v>
      </c>
      <c r="T7" s="226" t="s">
        <v>478</v>
      </c>
      <c r="U7" s="226" t="s">
        <v>582</v>
      </c>
      <c r="V7" s="226"/>
      <c r="W7" s="226" t="s">
        <v>587</v>
      </c>
      <c r="X7" s="226" t="s">
        <v>589</v>
      </c>
      <c r="Y7" s="226" t="s">
        <v>590</v>
      </c>
      <c r="Z7" s="226" t="s">
        <v>1675</v>
      </c>
      <c r="AA7" s="226" t="s">
        <v>664</v>
      </c>
      <c r="AB7" s="226" t="s">
        <v>593</v>
      </c>
      <c r="AC7" s="226" t="s">
        <v>599</v>
      </c>
      <c r="AD7" s="226" t="s">
        <v>613</v>
      </c>
      <c r="AE7" s="226" t="s">
        <v>628</v>
      </c>
      <c r="AF7" s="226" t="s">
        <v>901</v>
      </c>
      <c r="AG7" s="226" t="s">
        <v>643</v>
      </c>
      <c r="AH7" s="226" t="s">
        <v>648</v>
      </c>
      <c r="AI7" s="226" t="s">
        <v>655</v>
      </c>
      <c r="AJ7" s="226">
        <v>2</v>
      </c>
    </row>
    <row r="8" spans="1:36" s="13" customFormat="1">
      <c r="A8" s="11" t="s">
        <v>293</v>
      </c>
      <c r="B8" s="227" t="s">
        <v>268</v>
      </c>
      <c r="C8" s="226" t="s">
        <v>3</v>
      </c>
      <c r="D8" s="226" t="s">
        <v>28</v>
      </c>
      <c r="E8" s="226" t="s">
        <v>31</v>
      </c>
      <c r="F8" s="226">
        <v>2020</v>
      </c>
      <c r="G8" s="226" t="s">
        <v>41</v>
      </c>
      <c r="H8" s="226" t="s">
        <v>31</v>
      </c>
      <c r="I8" s="226"/>
      <c r="J8" s="226" t="s">
        <v>251</v>
      </c>
      <c r="K8" s="226">
        <v>3</v>
      </c>
      <c r="L8" s="226">
        <v>3</v>
      </c>
      <c r="M8" s="226">
        <v>3</v>
      </c>
      <c r="N8" s="226">
        <v>3</v>
      </c>
      <c r="O8" s="226">
        <v>3</v>
      </c>
      <c r="P8" s="226">
        <v>3</v>
      </c>
      <c r="Q8" s="226" t="s">
        <v>297</v>
      </c>
      <c r="R8" s="226" t="s">
        <v>298</v>
      </c>
      <c r="S8" s="226"/>
      <c r="T8" s="226" t="s">
        <v>479</v>
      </c>
      <c r="U8" s="226" t="s">
        <v>584</v>
      </c>
      <c r="V8" s="226"/>
      <c r="W8" s="226"/>
      <c r="X8" s="226" t="s">
        <v>587</v>
      </c>
      <c r="Y8" s="226" t="s">
        <v>591</v>
      </c>
      <c r="Z8" s="226" t="s">
        <v>855</v>
      </c>
      <c r="AA8" s="226"/>
      <c r="AB8" s="226" t="s">
        <v>594</v>
      </c>
      <c r="AC8" s="226" t="s">
        <v>472</v>
      </c>
      <c r="AD8" s="226" t="s">
        <v>617</v>
      </c>
      <c r="AE8" s="226" t="s">
        <v>629</v>
      </c>
      <c r="AF8" s="226" t="s">
        <v>637</v>
      </c>
      <c r="AG8" s="226" t="s">
        <v>644</v>
      </c>
      <c r="AH8" s="226" t="s">
        <v>587</v>
      </c>
      <c r="AI8" s="226" t="s">
        <v>656</v>
      </c>
      <c r="AJ8" s="226">
        <v>3</v>
      </c>
    </row>
    <row r="9" spans="1:36" s="13" customFormat="1">
      <c r="A9" s="11" t="s">
        <v>293</v>
      </c>
      <c r="B9" s="227" t="s">
        <v>0</v>
      </c>
      <c r="C9" s="226" t="s">
        <v>13</v>
      </c>
      <c r="D9" s="226"/>
      <c r="E9" s="226" t="s">
        <v>32</v>
      </c>
      <c r="F9" s="226">
        <v>2021</v>
      </c>
      <c r="G9" s="226" t="s">
        <v>40</v>
      </c>
      <c r="H9" s="226" t="s">
        <v>32</v>
      </c>
      <c r="I9" s="226"/>
      <c r="J9" s="226" t="s">
        <v>8</v>
      </c>
      <c r="K9" s="226"/>
      <c r="L9" s="226">
        <v>4</v>
      </c>
      <c r="M9" s="226">
        <v>4</v>
      </c>
      <c r="N9" s="226">
        <v>4</v>
      </c>
      <c r="O9" s="226">
        <v>4</v>
      </c>
      <c r="P9" s="226">
        <v>4</v>
      </c>
      <c r="Q9" s="226"/>
      <c r="R9" s="226" t="s">
        <v>301</v>
      </c>
      <c r="S9" s="226"/>
      <c r="T9" s="226" t="s">
        <v>480</v>
      </c>
      <c r="U9" s="226" t="s">
        <v>580</v>
      </c>
      <c r="V9" s="226"/>
      <c r="W9" s="226"/>
      <c r="X9" s="226"/>
      <c r="Y9" s="226"/>
      <c r="Z9" s="226" t="s">
        <v>743</v>
      </c>
      <c r="AA9" s="226"/>
      <c r="AB9" s="226" t="s">
        <v>595</v>
      </c>
      <c r="AC9" s="226"/>
      <c r="AD9" s="226" t="s">
        <v>548</v>
      </c>
      <c r="AE9" s="226" t="s">
        <v>630</v>
      </c>
      <c r="AF9" s="226" t="s">
        <v>641</v>
      </c>
      <c r="AG9" s="11"/>
      <c r="AH9" s="226" t="s">
        <v>649</v>
      </c>
      <c r="AI9" s="226" t="s">
        <v>657</v>
      </c>
      <c r="AJ9" s="226">
        <v>4</v>
      </c>
    </row>
    <row r="10" spans="1:36" s="13" customFormat="1">
      <c r="A10" s="11" t="s">
        <v>293</v>
      </c>
      <c r="B10" s="227" t="s">
        <v>269</v>
      </c>
      <c r="C10" s="226" t="s">
        <v>4</v>
      </c>
      <c r="D10" s="226"/>
      <c r="E10" s="226" t="s">
        <v>33</v>
      </c>
      <c r="F10" s="226">
        <v>2022</v>
      </c>
      <c r="G10" s="226" t="s">
        <v>39</v>
      </c>
      <c r="H10" s="226"/>
      <c r="I10" s="226"/>
      <c r="J10" s="226" t="s">
        <v>16</v>
      </c>
      <c r="K10" s="226"/>
      <c r="L10" s="226">
        <v>5</v>
      </c>
      <c r="M10" s="226">
        <v>5</v>
      </c>
      <c r="N10" s="226">
        <v>5</v>
      </c>
      <c r="O10" s="226">
        <v>5</v>
      </c>
      <c r="P10" s="226">
        <v>5</v>
      </c>
      <c r="Q10" s="226"/>
      <c r="R10" s="226" t="s">
        <v>370</v>
      </c>
      <c r="S10" s="228"/>
      <c r="T10" s="226" t="s">
        <v>481</v>
      </c>
      <c r="U10" s="226" t="s">
        <v>579</v>
      </c>
      <c r="V10" s="226"/>
      <c r="W10" s="226"/>
      <c r="X10" s="226"/>
      <c r="Y10" s="226"/>
      <c r="Z10" s="226" t="s">
        <v>856</v>
      </c>
      <c r="AA10" s="226"/>
      <c r="AB10" s="226" t="s">
        <v>596</v>
      </c>
      <c r="AC10" s="226"/>
      <c r="AD10" s="226" t="s">
        <v>615</v>
      </c>
      <c r="AE10" s="226" t="s">
        <v>631</v>
      </c>
      <c r="AF10" s="226" t="s">
        <v>638</v>
      </c>
      <c r="AG10" s="226"/>
      <c r="AH10" s="226" t="s">
        <v>650</v>
      </c>
      <c r="AI10" s="226" t="s">
        <v>658</v>
      </c>
      <c r="AJ10" s="226">
        <v>5</v>
      </c>
    </row>
    <row r="11" spans="1:36" s="13" customFormat="1">
      <c r="A11" s="11" t="s">
        <v>293</v>
      </c>
      <c r="B11" s="227" t="s">
        <v>291</v>
      </c>
      <c r="C11" s="226" t="s">
        <v>6</v>
      </c>
      <c r="D11" s="226"/>
      <c r="E11" s="226" t="s">
        <v>34</v>
      </c>
      <c r="F11" s="226">
        <v>2023</v>
      </c>
      <c r="G11" s="226" t="s">
        <v>38</v>
      </c>
      <c r="H11" s="226"/>
      <c r="I11" s="226"/>
      <c r="J11" s="226" t="s">
        <v>181</v>
      </c>
      <c r="K11" s="226"/>
      <c r="L11" s="226">
        <v>6</v>
      </c>
      <c r="M11" s="226">
        <v>6</v>
      </c>
      <c r="N11" s="226"/>
      <c r="O11" s="226">
        <v>6</v>
      </c>
      <c r="P11" s="226">
        <v>6</v>
      </c>
      <c r="Q11" s="226"/>
      <c r="R11" s="226" t="s">
        <v>326</v>
      </c>
      <c r="S11" s="226"/>
      <c r="T11" s="228" t="s">
        <v>482</v>
      </c>
      <c r="U11" s="226" t="s">
        <v>581</v>
      </c>
      <c r="V11" s="226"/>
      <c r="W11" s="226"/>
      <c r="X11" s="226"/>
      <c r="Y11" s="226"/>
      <c r="Z11" s="226" t="s">
        <v>857</v>
      </c>
      <c r="AA11" s="228"/>
      <c r="AB11" s="228" t="s">
        <v>597</v>
      </c>
      <c r="AC11" s="226"/>
      <c r="AD11" s="226" t="s">
        <v>614</v>
      </c>
      <c r="AE11" s="228" t="s">
        <v>632</v>
      </c>
      <c r="AF11" s="228" t="s">
        <v>639</v>
      </c>
      <c r="AG11" s="226"/>
      <c r="AH11" s="228" t="s">
        <v>651</v>
      </c>
      <c r="AI11" s="228" t="s">
        <v>659</v>
      </c>
      <c r="AJ11" s="228">
        <v>6</v>
      </c>
    </row>
    <row r="12" spans="1:36" s="13" customFormat="1">
      <c r="A12" s="11" t="s">
        <v>293</v>
      </c>
      <c r="B12" s="227" t="s">
        <v>290</v>
      </c>
      <c r="C12" s="226" t="s">
        <v>5</v>
      </c>
      <c r="D12" s="226"/>
      <c r="E12" s="226" t="s">
        <v>35</v>
      </c>
      <c r="F12" s="226">
        <v>2024</v>
      </c>
      <c r="G12" s="226" t="s">
        <v>1203</v>
      </c>
      <c r="H12" s="226"/>
      <c r="I12" s="226"/>
      <c r="J12" s="226" t="s">
        <v>252</v>
      </c>
      <c r="K12" s="226"/>
      <c r="L12" s="226"/>
      <c r="M12" s="226">
        <v>7</v>
      </c>
      <c r="N12" s="226"/>
      <c r="O12" s="226">
        <v>7</v>
      </c>
      <c r="P12" s="226">
        <v>7</v>
      </c>
      <c r="Q12" s="228"/>
      <c r="R12" s="226" t="s">
        <v>299</v>
      </c>
      <c r="S12" s="228"/>
      <c r="T12" s="226" t="s">
        <v>483</v>
      </c>
      <c r="U12" s="226" t="s">
        <v>555</v>
      </c>
      <c r="V12" s="226"/>
      <c r="W12" s="228"/>
      <c r="X12" s="228"/>
      <c r="Y12" s="228"/>
      <c r="Z12" s="228" t="s">
        <v>858</v>
      </c>
      <c r="AA12" s="226"/>
      <c r="AB12" s="226"/>
      <c r="AC12" s="228"/>
      <c r="AD12" s="226" t="s">
        <v>612</v>
      </c>
      <c r="AE12" s="226" t="s">
        <v>633</v>
      </c>
      <c r="AF12" s="226" t="s">
        <v>640</v>
      </c>
      <c r="AG12" s="228"/>
      <c r="AH12" s="226" t="s">
        <v>652</v>
      </c>
      <c r="AI12" s="226" t="s">
        <v>660</v>
      </c>
      <c r="AJ12" s="226">
        <v>7</v>
      </c>
    </row>
    <row r="13" spans="1:36" s="13" customFormat="1">
      <c r="A13" s="11" t="s">
        <v>293</v>
      </c>
      <c r="B13" s="227" t="s">
        <v>280</v>
      </c>
      <c r="C13" s="226" t="s">
        <v>7</v>
      </c>
      <c r="D13" s="226"/>
      <c r="E13" s="226" t="s">
        <v>1436</v>
      </c>
      <c r="F13" s="226">
        <v>2025</v>
      </c>
      <c r="G13" s="226" t="s">
        <v>42</v>
      </c>
      <c r="H13" s="226"/>
      <c r="I13" s="226"/>
      <c r="J13" s="228"/>
      <c r="K13" s="226"/>
      <c r="L13" s="226"/>
      <c r="M13" s="226">
        <v>8</v>
      </c>
      <c r="N13" s="226"/>
      <c r="O13" s="226">
        <v>8</v>
      </c>
      <c r="P13" s="226">
        <v>8</v>
      </c>
      <c r="Q13" s="226"/>
      <c r="R13" s="226"/>
      <c r="S13" s="226"/>
      <c r="T13" s="226" t="s">
        <v>484</v>
      </c>
      <c r="U13" s="226" t="s">
        <v>554</v>
      </c>
      <c r="V13" s="226"/>
      <c r="W13" s="226"/>
      <c r="X13" s="226"/>
      <c r="Y13" s="226"/>
      <c r="Z13" s="226" t="s">
        <v>859</v>
      </c>
      <c r="AA13" s="226"/>
      <c r="AB13" s="226"/>
      <c r="AC13" s="226"/>
      <c r="AD13" s="226" t="s">
        <v>616</v>
      </c>
      <c r="AE13" s="226" t="s">
        <v>634</v>
      </c>
      <c r="AF13" s="11"/>
      <c r="AG13" s="226"/>
      <c r="AH13" s="226" t="s">
        <v>586</v>
      </c>
      <c r="AI13" s="226" t="s">
        <v>661</v>
      </c>
      <c r="AJ13" s="226">
        <v>8</v>
      </c>
    </row>
    <row r="14" spans="1:36" s="13" customFormat="1">
      <c r="A14" s="11" t="s">
        <v>293</v>
      </c>
      <c r="B14" s="227" t="s">
        <v>292</v>
      </c>
      <c r="C14" s="226" t="s">
        <v>9</v>
      </c>
      <c r="D14" s="226"/>
      <c r="E14" s="226" t="s">
        <v>1437</v>
      </c>
      <c r="F14" s="226">
        <v>2026</v>
      </c>
      <c r="G14" s="226" t="s">
        <v>1202</v>
      </c>
      <c r="H14" s="11"/>
      <c r="I14" s="226"/>
      <c r="J14" s="226" t="s">
        <v>50</v>
      </c>
      <c r="K14" s="226"/>
      <c r="L14" s="226"/>
      <c r="M14" s="226">
        <v>9</v>
      </c>
      <c r="N14" s="226"/>
      <c r="O14" s="226">
        <v>9</v>
      </c>
      <c r="P14" s="226">
        <v>9</v>
      </c>
      <c r="Q14" s="226"/>
      <c r="R14" s="226" t="s">
        <v>455</v>
      </c>
      <c r="S14" s="226"/>
      <c r="T14" s="226" t="s">
        <v>485</v>
      </c>
      <c r="U14" s="226" t="s">
        <v>556</v>
      </c>
      <c r="V14" s="226"/>
      <c r="W14" s="226"/>
      <c r="X14" s="226"/>
      <c r="Y14" s="226"/>
      <c r="Z14" s="226"/>
      <c r="AA14" s="226"/>
      <c r="AB14" s="226"/>
      <c r="AC14" s="226"/>
      <c r="AD14" s="226" t="s">
        <v>618</v>
      </c>
      <c r="AE14" s="226" t="s">
        <v>635</v>
      </c>
      <c r="AF14" s="226"/>
      <c r="AG14" s="226"/>
      <c r="AH14" s="226" t="s">
        <v>653</v>
      </c>
      <c r="AI14" s="226" t="s">
        <v>662</v>
      </c>
      <c r="AJ14" s="226">
        <v>9</v>
      </c>
    </row>
    <row r="15" spans="1:36" s="13" customFormat="1">
      <c r="A15" s="11" t="s">
        <v>293</v>
      </c>
      <c r="B15" s="227" t="s">
        <v>278</v>
      </c>
      <c r="C15" s="226" t="s">
        <v>25</v>
      </c>
      <c r="D15" s="226"/>
      <c r="E15" s="226"/>
      <c r="F15" s="226">
        <v>2027</v>
      </c>
      <c r="G15" s="226"/>
      <c r="H15" s="226"/>
      <c r="I15" s="226"/>
      <c r="J15" s="226" t="s">
        <v>250</v>
      </c>
      <c r="K15" s="226"/>
      <c r="L15" s="226"/>
      <c r="M15" s="226"/>
      <c r="N15" s="226"/>
      <c r="O15" s="226">
        <v>10</v>
      </c>
      <c r="P15" s="226">
        <v>10</v>
      </c>
      <c r="Q15" s="226"/>
      <c r="R15" s="228" t="s">
        <v>302</v>
      </c>
      <c r="S15" s="226"/>
      <c r="T15" s="226" t="s">
        <v>486</v>
      </c>
      <c r="U15" s="226" t="s">
        <v>551</v>
      </c>
      <c r="V15" s="226"/>
      <c r="W15" s="226"/>
      <c r="X15" s="226"/>
      <c r="Y15" s="226"/>
      <c r="Z15" s="226"/>
      <c r="AA15" s="226"/>
      <c r="AB15" s="226"/>
      <c r="AC15" s="226"/>
      <c r="AD15" s="226" t="s">
        <v>626</v>
      </c>
      <c r="AE15" s="226" t="s">
        <v>636</v>
      </c>
      <c r="AF15" s="226"/>
      <c r="AG15" s="226"/>
      <c r="AH15" s="11"/>
      <c r="AI15" s="226" t="s">
        <v>295</v>
      </c>
      <c r="AJ15" s="226">
        <v>10</v>
      </c>
    </row>
    <row r="16" spans="1:36" s="13" customFormat="1">
      <c r="A16" s="11" t="s">
        <v>293</v>
      </c>
      <c r="B16" s="227" t="s">
        <v>289</v>
      </c>
      <c r="C16" s="226" t="s">
        <v>10</v>
      </c>
      <c r="D16" s="226"/>
      <c r="E16" s="226"/>
      <c r="F16" s="226">
        <v>2028</v>
      </c>
      <c r="G16" s="226"/>
      <c r="H16" s="226"/>
      <c r="I16" s="226"/>
      <c r="J16" s="226" t="s">
        <v>45</v>
      </c>
      <c r="K16" s="226"/>
      <c r="L16" s="226"/>
      <c r="M16" s="226"/>
      <c r="N16" s="226"/>
      <c r="O16" s="226">
        <v>11</v>
      </c>
      <c r="P16" s="226">
        <v>11</v>
      </c>
      <c r="Q16" s="226"/>
      <c r="R16" s="226" t="s">
        <v>303</v>
      </c>
      <c r="S16" s="226"/>
      <c r="T16" s="226" t="s">
        <v>487</v>
      </c>
      <c r="U16" s="226" t="s">
        <v>553</v>
      </c>
      <c r="V16" s="226"/>
      <c r="W16" s="226"/>
      <c r="X16" s="226"/>
      <c r="Y16" s="226"/>
      <c r="Z16" s="226"/>
      <c r="AA16" s="226"/>
      <c r="AB16" s="226"/>
      <c r="AC16" s="226"/>
      <c r="AD16" s="226" t="s">
        <v>622</v>
      </c>
      <c r="AE16" s="11"/>
      <c r="AF16" s="226"/>
      <c r="AG16" s="226"/>
      <c r="AH16" s="226"/>
      <c r="AI16" s="226"/>
      <c r="AJ16" s="226">
        <v>11</v>
      </c>
    </row>
    <row r="17" spans="1:36" s="13" customFormat="1">
      <c r="A17" s="11" t="s">
        <v>293</v>
      </c>
      <c r="B17" s="227" t="s">
        <v>286</v>
      </c>
      <c r="C17" s="226" t="s">
        <v>251</v>
      </c>
      <c r="D17" s="226"/>
      <c r="E17" s="226"/>
      <c r="F17" s="226">
        <v>2029</v>
      </c>
      <c r="G17" s="226"/>
      <c r="H17" s="226"/>
      <c r="I17" s="226"/>
      <c r="J17" s="226" t="s">
        <v>54</v>
      </c>
      <c r="K17" s="226"/>
      <c r="L17" s="226"/>
      <c r="M17" s="226"/>
      <c r="N17" s="226"/>
      <c r="O17" s="226">
        <v>12</v>
      </c>
      <c r="P17" s="226">
        <v>12</v>
      </c>
      <c r="Q17" s="226"/>
      <c r="R17" s="226" t="s">
        <v>308</v>
      </c>
      <c r="S17" s="226"/>
      <c r="T17" s="226" t="s">
        <v>488</v>
      </c>
      <c r="U17" s="226" t="s">
        <v>552</v>
      </c>
      <c r="V17" s="226"/>
      <c r="W17" s="226"/>
      <c r="X17" s="226"/>
      <c r="Y17" s="226"/>
      <c r="Z17" s="226"/>
      <c r="AA17" s="226"/>
      <c r="AB17" s="226"/>
      <c r="AC17" s="226"/>
      <c r="AD17" s="226" t="s">
        <v>620</v>
      </c>
      <c r="AE17" s="226"/>
      <c r="AF17" s="226"/>
      <c r="AG17" s="226"/>
      <c r="AH17" s="226"/>
      <c r="AI17" s="226"/>
      <c r="AJ17" s="226">
        <v>12</v>
      </c>
    </row>
    <row r="18" spans="1:36" s="13" customFormat="1">
      <c r="A18" s="11" t="s">
        <v>293</v>
      </c>
      <c r="B18" s="227" t="s">
        <v>287</v>
      </c>
      <c r="C18" s="226" t="s">
        <v>123</v>
      </c>
      <c r="D18" s="226"/>
      <c r="E18" s="226"/>
      <c r="F18" s="226">
        <v>2030</v>
      </c>
      <c r="G18" s="226"/>
      <c r="H18" s="226"/>
      <c r="I18" s="226"/>
      <c r="J18" s="226" t="s">
        <v>52</v>
      </c>
      <c r="K18" s="226"/>
      <c r="L18" s="226"/>
      <c r="M18" s="226"/>
      <c r="N18" s="226"/>
      <c r="O18" s="226">
        <v>13</v>
      </c>
      <c r="P18" s="226">
        <v>13</v>
      </c>
      <c r="Q18" s="226"/>
      <c r="R18" s="226" t="s">
        <v>348</v>
      </c>
      <c r="S18" s="226"/>
      <c r="T18" s="226" t="s">
        <v>489</v>
      </c>
      <c r="U18" s="226" t="s">
        <v>560</v>
      </c>
      <c r="V18" s="226"/>
      <c r="W18" s="226"/>
      <c r="X18" s="226"/>
      <c r="Y18" s="226"/>
      <c r="Z18" s="226"/>
      <c r="AA18" s="226"/>
      <c r="AB18" s="226"/>
      <c r="AC18" s="226"/>
      <c r="AD18" s="226" t="s">
        <v>624</v>
      </c>
      <c r="AE18" s="226"/>
      <c r="AF18" s="226"/>
      <c r="AG18" s="226"/>
      <c r="AH18" s="226"/>
      <c r="AI18" s="226"/>
      <c r="AJ18" s="226"/>
    </row>
    <row r="19" spans="1:36" s="13" customFormat="1">
      <c r="A19" s="11" t="s">
        <v>293</v>
      </c>
      <c r="B19" s="227" t="s">
        <v>285</v>
      </c>
      <c r="C19" s="226" t="s">
        <v>117</v>
      </c>
      <c r="D19" s="226"/>
      <c r="E19" s="226"/>
      <c r="F19" s="226"/>
      <c r="G19" s="226"/>
      <c r="H19" s="226"/>
      <c r="I19" s="226"/>
      <c r="J19" s="226" t="s">
        <v>47</v>
      </c>
      <c r="K19" s="226"/>
      <c r="L19" s="226"/>
      <c r="M19" s="226"/>
      <c r="N19" s="226"/>
      <c r="O19" s="226">
        <v>14</v>
      </c>
      <c r="P19" s="226">
        <v>14</v>
      </c>
      <c r="Q19" s="226"/>
      <c r="R19" s="226" t="s">
        <v>305</v>
      </c>
      <c r="S19" s="226"/>
      <c r="T19" s="226" t="s">
        <v>490</v>
      </c>
      <c r="U19" s="226" t="s">
        <v>561</v>
      </c>
      <c r="V19" s="226"/>
      <c r="W19" s="226"/>
      <c r="X19" s="226"/>
      <c r="Y19" s="226"/>
      <c r="Z19" s="226"/>
      <c r="AA19" s="226"/>
      <c r="AB19" s="226"/>
      <c r="AC19" s="226"/>
      <c r="AD19" s="226" t="s">
        <v>619</v>
      </c>
      <c r="AE19" s="226"/>
      <c r="AF19" s="226"/>
      <c r="AG19" s="226"/>
      <c r="AH19" s="226"/>
      <c r="AI19" s="226"/>
      <c r="AJ19" s="226"/>
    </row>
    <row r="20" spans="1:36" s="13" customFormat="1">
      <c r="A20" s="11" t="s">
        <v>293</v>
      </c>
      <c r="B20" s="227" t="s">
        <v>282</v>
      </c>
      <c r="C20" s="226" t="s">
        <v>11</v>
      </c>
      <c r="D20" s="226"/>
      <c r="E20" s="226"/>
      <c r="F20" s="226"/>
      <c r="G20" s="226"/>
      <c r="H20" s="226"/>
      <c r="I20" s="226"/>
      <c r="J20" s="226" t="s">
        <v>56</v>
      </c>
      <c r="K20" s="226"/>
      <c r="L20" s="226"/>
      <c r="M20" s="226"/>
      <c r="N20" s="226"/>
      <c r="O20" s="226">
        <v>15</v>
      </c>
      <c r="P20" s="226">
        <v>15</v>
      </c>
      <c r="Q20" s="226"/>
      <c r="R20" s="226" t="s">
        <v>307</v>
      </c>
      <c r="S20" s="226"/>
      <c r="T20" s="226" t="s">
        <v>491</v>
      </c>
      <c r="U20" s="226" t="s">
        <v>563</v>
      </c>
      <c r="V20" s="226"/>
      <c r="W20" s="226"/>
      <c r="X20" s="226"/>
      <c r="Y20" s="226"/>
      <c r="Z20" s="226"/>
      <c r="AA20" s="226"/>
      <c r="AB20" s="226"/>
      <c r="AC20" s="226"/>
      <c r="AD20" s="226" t="s">
        <v>621</v>
      </c>
      <c r="AE20" s="226"/>
      <c r="AF20" s="226"/>
      <c r="AG20" s="226"/>
      <c r="AH20" s="226"/>
      <c r="AI20" s="226"/>
      <c r="AJ20" s="226"/>
    </row>
    <row r="21" spans="1:36" s="13" customFormat="1">
      <c r="A21" s="11" t="s">
        <v>293</v>
      </c>
      <c r="B21" s="227" t="s">
        <v>283</v>
      </c>
      <c r="C21" s="226" t="s">
        <v>17</v>
      </c>
      <c r="D21" s="226"/>
      <c r="E21" s="226"/>
      <c r="F21" s="226"/>
      <c r="G21" s="226"/>
      <c r="H21" s="226"/>
      <c r="I21" s="226"/>
      <c r="J21" s="226" t="s">
        <v>182</v>
      </c>
      <c r="K21" s="226"/>
      <c r="L21" s="226"/>
      <c r="M21" s="226"/>
      <c r="N21" s="226"/>
      <c r="O21" s="226">
        <v>16</v>
      </c>
      <c r="P21" s="226">
        <v>16</v>
      </c>
      <c r="Q21" s="226"/>
      <c r="R21" s="226" t="s">
        <v>310</v>
      </c>
      <c r="S21" s="226"/>
      <c r="T21" s="226" t="s">
        <v>493</v>
      </c>
      <c r="U21" s="226" t="s">
        <v>562</v>
      </c>
      <c r="V21" s="226"/>
      <c r="W21" s="226"/>
      <c r="X21" s="226"/>
      <c r="Y21" s="226"/>
      <c r="Z21" s="226"/>
      <c r="AA21" s="226"/>
      <c r="AB21" s="226"/>
      <c r="AC21" s="226"/>
      <c r="AD21" s="226" t="s">
        <v>623</v>
      </c>
      <c r="AE21" s="226"/>
      <c r="AF21" s="226"/>
      <c r="AG21" s="226"/>
      <c r="AH21" s="226"/>
      <c r="AI21" s="226"/>
      <c r="AJ21" s="226"/>
    </row>
    <row r="22" spans="1:36" s="13" customFormat="1">
      <c r="A22" s="11" t="s">
        <v>293</v>
      </c>
      <c r="B22" s="227" t="s">
        <v>275</v>
      </c>
      <c r="C22" s="226" t="s">
        <v>8</v>
      </c>
      <c r="D22" s="226"/>
      <c r="E22" s="226"/>
      <c r="F22" s="226"/>
      <c r="G22" s="226"/>
      <c r="H22" s="226"/>
      <c r="I22" s="226"/>
      <c r="J22" s="226" t="s">
        <v>51</v>
      </c>
      <c r="K22" s="226"/>
      <c r="L22" s="226"/>
      <c r="M22" s="226"/>
      <c r="N22" s="226"/>
      <c r="O22" s="226">
        <v>17</v>
      </c>
      <c r="P22" s="226">
        <v>17</v>
      </c>
      <c r="Q22" s="226"/>
      <c r="R22" s="226" t="s">
        <v>309</v>
      </c>
      <c r="S22" s="226"/>
      <c r="T22" s="226" t="s">
        <v>494</v>
      </c>
      <c r="U22" s="226" t="s">
        <v>568</v>
      </c>
      <c r="V22" s="226"/>
      <c r="W22" s="226"/>
      <c r="X22" s="226"/>
      <c r="Y22" s="226"/>
      <c r="Z22" s="226"/>
      <c r="AA22" s="226"/>
      <c r="AB22" s="226"/>
      <c r="AC22" s="226"/>
      <c r="AD22" s="226" t="s">
        <v>609</v>
      </c>
      <c r="AE22" s="226"/>
      <c r="AF22" s="226"/>
      <c r="AG22" s="226"/>
      <c r="AH22" s="226"/>
      <c r="AI22" s="226"/>
      <c r="AJ22" s="226"/>
    </row>
    <row r="23" spans="1:36" s="13" customFormat="1">
      <c r="A23" s="11" t="s">
        <v>293</v>
      </c>
      <c r="B23" s="227" t="s">
        <v>281</v>
      </c>
      <c r="C23" s="226" t="s">
        <v>132</v>
      </c>
      <c r="D23" s="226"/>
      <c r="E23" s="226"/>
      <c r="F23" s="226"/>
      <c r="G23" s="226"/>
      <c r="H23" s="226"/>
      <c r="I23" s="226"/>
      <c r="J23" s="226" t="s">
        <v>53</v>
      </c>
      <c r="K23" s="226"/>
      <c r="L23" s="226"/>
      <c r="M23" s="226"/>
      <c r="N23" s="226"/>
      <c r="O23" s="226">
        <v>18</v>
      </c>
      <c r="P23" s="226">
        <v>18</v>
      </c>
      <c r="Q23" s="226"/>
      <c r="R23" s="226" t="s">
        <v>311</v>
      </c>
      <c r="S23" s="226"/>
      <c r="T23" s="226" t="s">
        <v>495</v>
      </c>
      <c r="U23" s="226" t="s">
        <v>569</v>
      </c>
      <c r="V23" s="226"/>
      <c r="W23" s="226"/>
      <c r="X23" s="226"/>
      <c r="Y23" s="226"/>
      <c r="Z23" s="226"/>
      <c r="AA23" s="226"/>
      <c r="AB23" s="226"/>
      <c r="AC23" s="226"/>
      <c r="AD23" s="226" t="s">
        <v>605</v>
      </c>
      <c r="AE23" s="226"/>
      <c r="AF23" s="226"/>
      <c r="AG23" s="226"/>
      <c r="AH23" s="226"/>
      <c r="AI23" s="226"/>
      <c r="AJ23" s="226"/>
    </row>
    <row r="24" spans="1:36" s="13" customFormat="1">
      <c r="A24" s="11" t="s">
        <v>293</v>
      </c>
      <c r="B24" s="227" t="s">
        <v>271</v>
      </c>
      <c r="C24" s="226" t="s">
        <v>12</v>
      </c>
      <c r="D24" s="226"/>
      <c r="E24" s="226"/>
      <c r="F24" s="226"/>
      <c r="G24" s="226"/>
      <c r="H24" s="226"/>
      <c r="I24" s="226"/>
      <c r="J24" s="226" t="s">
        <v>55</v>
      </c>
      <c r="K24" s="226"/>
      <c r="L24" s="226"/>
      <c r="M24" s="226"/>
      <c r="N24" s="226"/>
      <c r="O24" s="226">
        <v>19</v>
      </c>
      <c r="P24" s="226">
        <v>19</v>
      </c>
      <c r="Q24" s="226"/>
      <c r="R24" s="226" t="s">
        <v>324</v>
      </c>
      <c r="S24" s="226"/>
      <c r="T24" s="226" t="s">
        <v>496</v>
      </c>
      <c r="U24" s="226" t="s">
        <v>566</v>
      </c>
      <c r="V24" s="226"/>
      <c r="W24" s="226"/>
      <c r="X24" s="226"/>
      <c r="Y24" s="226"/>
      <c r="Z24" s="226"/>
      <c r="AA24" s="226"/>
      <c r="AB24" s="226"/>
      <c r="AC24" s="226"/>
      <c r="AD24" s="226" t="s">
        <v>603</v>
      </c>
      <c r="AE24" s="226"/>
      <c r="AF24" s="226"/>
      <c r="AG24" s="226"/>
      <c r="AH24" s="226"/>
      <c r="AI24" s="226"/>
      <c r="AJ24" s="226"/>
    </row>
    <row r="25" spans="1:36" s="13" customFormat="1">
      <c r="A25" s="11" t="s">
        <v>293</v>
      </c>
      <c r="B25" s="227" t="s">
        <v>272</v>
      </c>
      <c r="C25" s="226" t="s">
        <v>141</v>
      </c>
      <c r="D25" s="226"/>
      <c r="E25" s="226"/>
      <c r="F25" s="226"/>
      <c r="G25" s="226"/>
      <c r="H25" s="226"/>
      <c r="I25" s="226"/>
      <c r="J25" s="226" t="s">
        <v>49</v>
      </c>
      <c r="K25" s="226"/>
      <c r="L25" s="226"/>
      <c r="M25" s="226"/>
      <c r="N25" s="226"/>
      <c r="O25" s="226">
        <v>20</v>
      </c>
      <c r="P25" s="226">
        <v>20</v>
      </c>
      <c r="Q25" s="226"/>
      <c r="R25" s="226" t="s">
        <v>315</v>
      </c>
      <c r="S25" s="226"/>
      <c r="T25" s="226" t="s">
        <v>498</v>
      </c>
      <c r="U25" s="226" t="s">
        <v>567</v>
      </c>
      <c r="V25" s="226"/>
      <c r="W25" s="226"/>
      <c r="X25" s="226"/>
      <c r="Y25" s="226"/>
      <c r="Z25" s="226"/>
      <c r="AA25" s="226"/>
      <c r="AB25" s="226"/>
      <c r="AC25" s="226"/>
      <c r="AD25" s="226" t="s">
        <v>604</v>
      </c>
      <c r="AE25" s="226"/>
      <c r="AF25" s="226"/>
      <c r="AG25" s="226"/>
      <c r="AH25" s="226"/>
      <c r="AI25" s="226"/>
      <c r="AJ25" s="226"/>
    </row>
    <row r="26" spans="1:36" s="13" customFormat="1">
      <c r="A26" s="11" t="s">
        <v>293</v>
      </c>
      <c r="B26" s="227" t="s">
        <v>276</v>
      </c>
      <c r="C26" s="226" t="s">
        <v>155</v>
      </c>
      <c r="D26" s="226"/>
      <c r="E26" s="226"/>
      <c r="F26" s="226"/>
      <c r="G26" s="226"/>
      <c r="H26" s="226"/>
      <c r="I26" s="226"/>
      <c r="J26" s="226" t="s">
        <v>19</v>
      </c>
      <c r="K26" s="226"/>
      <c r="L26" s="226"/>
      <c r="M26" s="226"/>
      <c r="N26" s="226"/>
      <c r="O26" s="226">
        <v>21</v>
      </c>
      <c r="P26" s="226">
        <v>21</v>
      </c>
      <c r="Q26" s="226"/>
      <c r="R26" s="226" t="s">
        <v>314</v>
      </c>
      <c r="S26" s="226"/>
      <c r="T26" s="226" t="s">
        <v>499</v>
      </c>
      <c r="U26" s="226" t="s">
        <v>564</v>
      </c>
      <c r="V26" s="226"/>
      <c r="W26" s="226"/>
      <c r="X26" s="226"/>
      <c r="Y26" s="226"/>
      <c r="Z26" s="226"/>
      <c r="AA26" s="226"/>
      <c r="AB26" s="226"/>
      <c r="AC26" s="226"/>
      <c r="AD26" s="226" t="s">
        <v>600</v>
      </c>
      <c r="AE26" s="226"/>
      <c r="AF26" s="226"/>
      <c r="AG26" s="226"/>
      <c r="AH26" s="226"/>
      <c r="AI26" s="226"/>
      <c r="AJ26" s="226"/>
    </row>
    <row r="27" spans="1:36" s="13" customFormat="1">
      <c r="A27" s="11" t="s">
        <v>293</v>
      </c>
      <c r="B27" s="227" t="s">
        <v>279</v>
      </c>
      <c r="C27" s="226" t="s">
        <v>15</v>
      </c>
      <c r="D27" s="226"/>
      <c r="E27" s="226"/>
      <c r="F27" s="226"/>
      <c r="G27" s="226"/>
      <c r="H27" s="226"/>
      <c r="I27" s="226"/>
      <c r="J27" s="226" t="s">
        <v>58</v>
      </c>
      <c r="K27" s="226"/>
      <c r="L27" s="226"/>
      <c r="M27" s="226"/>
      <c r="N27" s="226"/>
      <c r="O27" s="226">
        <v>22</v>
      </c>
      <c r="P27" s="226">
        <v>22</v>
      </c>
      <c r="Q27" s="226"/>
      <c r="R27" s="226" t="s">
        <v>329</v>
      </c>
      <c r="S27" s="226"/>
      <c r="T27" s="226" t="s">
        <v>500</v>
      </c>
      <c r="U27" s="226" t="s">
        <v>565</v>
      </c>
      <c r="V27" s="226"/>
      <c r="W27" s="226"/>
      <c r="X27" s="226"/>
      <c r="Y27" s="226"/>
      <c r="Z27" s="226"/>
      <c r="AA27" s="226"/>
      <c r="AB27" s="226"/>
      <c r="AC27" s="226"/>
      <c r="AD27" s="226" t="s">
        <v>601</v>
      </c>
      <c r="AE27" s="226"/>
      <c r="AF27" s="226"/>
      <c r="AG27" s="226"/>
      <c r="AH27" s="226"/>
      <c r="AI27" s="226"/>
      <c r="AJ27" s="226"/>
    </row>
    <row r="28" spans="1:36" s="13" customFormat="1">
      <c r="A28" s="11" t="s">
        <v>293</v>
      </c>
      <c r="B28" s="227" t="s">
        <v>274</v>
      </c>
      <c r="C28" s="226" t="s">
        <v>16</v>
      </c>
      <c r="D28" s="226"/>
      <c r="E28" s="226"/>
      <c r="F28" s="226"/>
      <c r="G28" s="226"/>
      <c r="H28" s="226"/>
      <c r="I28" s="226"/>
      <c r="J28" s="226" t="s">
        <v>57</v>
      </c>
      <c r="K28" s="226"/>
      <c r="L28" s="226"/>
      <c r="M28" s="226"/>
      <c r="N28" s="226"/>
      <c r="O28" s="226">
        <v>23</v>
      </c>
      <c r="P28" s="226">
        <v>23</v>
      </c>
      <c r="Q28" s="226"/>
      <c r="R28" s="226" t="s">
        <v>313</v>
      </c>
      <c r="S28" s="226"/>
      <c r="T28" s="226" t="s">
        <v>501</v>
      </c>
      <c r="U28" s="226" t="s">
        <v>547</v>
      </c>
      <c r="V28" s="226"/>
      <c r="W28" s="226"/>
      <c r="X28" s="226"/>
      <c r="Y28" s="226"/>
      <c r="Z28" s="226"/>
      <c r="AA28" s="226"/>
      <c r="AB28" s="226"/>
      <c r="AC28" s="226"/>
      <c r="AD28" s="226" t="s">
        <v>610</v>
      </c>
      <c r="AE28" s="226"/>
      <c r="AF28" s="226"/>
      <c r="AG28" s="226"/>
      <c r="AH28" s="226"/>
      <c r="AI28" s="226"/>
      <c r="AJ28" s="226"/>
    </row>
    <row r="29" spans="1:36" s="13" customFormat="1">
      <c r="A29" s="11" t="s">
        <v>293</v>
      </c>
      <c r="B29" s="227" t="s">
        <v>284</v>
      </c>
      <c r="C29" s="226" t="s">
        <v>14</v>
      </c>
      <c r="D29" s="226"/>
      <c r="E29" s="226"/>
      <c r="F29" s="226"/>
      <c r="G29" s="226"/>
      <c r="H29" s="226"/>
      <c r="I29" s="226"/>
      <c r="J29" s="226" t="s">
        <v>46</v>
      </c>
      <c r="K29" s="226"/>
      <c r="L29" s="226"/>
      <c r="M29" s="226"/>
      <c r="N29" s="226"/>
      <c r="O29" s="226">
        <v>24</v>
      </c>
      <c r="P29" s="226">
        <v>24</v>
      </c>
      <c r="Q29" s="226"/>
      <c r="R29" s="226" t="s">
        <v>330</v>
      </c>
      <c r="S29" s="226"/>
      <c r="T29" s="226" t="s">
        <v>503</v>
      </c>
      <c r="U29" s="226" t="s">
        <v>549</v>
      </c>
      <c r="V29" s="226"/>
      <c r="W29" s="226"/>
      <c r="X29" s="226"/>
      <c r="Y29" s="226"/>
      <c r="Z29" s="226"/>
      <c r="AA29" s="226"/>
      <c r="AB29" s="226"/>
      <c r="AC29" s="226"/>
      <c r="AD29" s="226" t="s">
        <v>608</v>
      </c>
      <c r="AE29" s="226"/>
      <c r="AF29" s="226"/>
      <c r="AG29" s="226"/>
      <c r="AH29" s="226"/>
      <c r="AI29" s="226"/>
      <c r="AJ29" s="226"/>
    </row>
    <row r="30" spans="1:36" s="13" customFormat="1">
      <c r="A30" s="11" t="s">
        <v>293</v>
      </c>
      <c r="B30" s="227" t="s">
        <v>277</v>
      </c>
      <c r="C30" s="226" t="s">
        <v>18</v>
      </c>
      <c r="D30" s="226"/>
      <c r="E30" s="226"/>
      <c r="F30" s="226"/>
      <c r="G30" s="226"/>
      <c r="H30" s="226"/>
      <c r="I30" s="226"/>
      <c r="J30" s="226" t="s">
        <v>59</v>
      </c>
      <c r="K30" s="226"/>
      <c r="L30" s="226"/>
      <c r="M30" s="226"/>
      <c r="N30" s="226"/>
      <c r="O30" s="226">
        <v>25</v>
      </c>
      <c r="P30" s="226">
        <v>25</v>
      </c>
      <c r="Q30" s="226"/>
      <c r="R30" s="226" t="s">
        <v>319</v>
      </c>
      <c r="S30" s="226"/>
      <c r="T30" s="226" t="s">
        <v>504</v>
      </c>
      <c r="U30" s="226" t="s">
        <v>558</v>
      </c>
      <c r="V30" s="226"/>
      <c r="W30" s="226"/>
      <c r="X30" s="226"/>
      <c r="Y30" s="226"/>
      <c r="Z30" s="226"/>
      <c r="AA30" s="226"/>
      <c r="AB30" s="226"/>
      <c r="AC30" s="226"/>
      <c r="AD30" s="228" t="s">
        <v>606</v>
      </c>
      <c r="AE30" s="226"/>
      <c r="AF30" s="226"/>
      <c r="AG30" s="226"/>
      <c r="AH30" s="226"/>
      <c r="AI30" s="226"/>
      <c r="AJ30" s="226"/>
    </row>
    <row r="31" spans="1:36" s="13" customFormat="1">
      <c r="A31" s="11" t="s">
        <v>293</v>
      </c>
      <c r="B31" s="227" t="s">
        <v>288</v>
      </c>
      <c r="C31" s="226" t="s">
        <v>181</v>
      </c>
      <c r="D31" s="226"/>
      <c r="E31" s="226"/>
      <c r="F31" s="226"/>
      <c r="G31" s="226"/>
      <c r="H31" s="226"/>
      <c r="I31" s="226"/>
      <c r="J31" s="226" t="s">
        <v>70</v>
      </c>
      <c r="K31" s="226"/>
      <c r="L31" s="226"/>
      <c r="M31" s="226"/>
      <c r="N31" s="226"/>
      <c r="O31" s="226"/>
      <c r="P31" s="226">
        <v>26</v>
      </c>
      <c r="Q31" s="226"/>
      <c r="R31" s="226" t="s">
        <v>328</v>
      </c>
      <c r="S31" s="226"/>
      <c r="T31" s="226" t="s">
        <v>505</v>
      </c>
      <c r="U31" s="226" t="s">
        <v>557</v>
      </c>
      <c r="V31" s="226"/>
      <c r="W31" s="226"/>
      <c r="X31" s="226"/>
      <c r="Y31" s="226"/>
      <c r="Z31" s="226"/>
      <c r="AA31" s="226"/>
      <c r="AB31" s="226"/>
      <c r="AC31" s="226"/>
      <c r="AD31" s="226" t="s">
        <v>607</v>
      </c>
      <c r="AE31" s="226"/>
      <c r="AF31" s="226"/>
      <c r="AG31" s="226"/>
      <c r="AH31" s="226"/>
      <c r="AI31" s="226"/>
      <c r="AJ31" s="226"/>
    </row>
    <row r="32" spans="1:36" s="13" customFormat="1">
      <c r="A32" s="11" t="s">
        <v>293</v>
      </c>
      <c r="B32" s="227" t="s">
        <v>273</v>
      </c>
      <c r="C32" s="226" t="s">
        <v>191</v>
      </c>
      <c r="D32" s="226"/>
      <c r="E32" s="226"/>
      <c r="F32" s="226"/>
      <c r="G32" s="226"/>
      <c r="H32" s="226"/>
      <c r="I32" s="226"/>
      <c r="J32" s="226" t="s">
        <v>63</v>
      </c>
      <c r="K32" s="226"/>
      <c r="L32" s="226"/>
      <c r="M32" s="226"/>
      <c r="N32" s="226"/>
      <c r="O32" s="226"/>
      <c r="P32" s="226">
        <v>27</v>
      </c>
      <c r="Q32" s="226"/>
      <c r="R32" s="226" t="s">
        <v>322</v>
      </c>
      <c r="S32" s="226"/>
      <c r="T32" s="226" t="s">
        <v>506</v>
      </c>
      <c r="U32" s="226" t="s">
        <v>550</v>
      </c>
      <c r="V32" s="226"/>
      <c r="W32" s="226"/>
      <c r="X32" s="226"/>
      <c r="Y32" s="226"/>
      <c r="Z32" s="226"/>
      <c r="AA32" s="226"/>
      <c r="AB32" s="226"/>
      <c r="AC32" s="226"/>
      <c r="AD32" s="226" t="s">
        <v>611</v>
      </c>
      <c r="AE32" s="226"/>
      <c r="AF32" s="226"/>
      <c r="AG32" s="226"/>
      <c r="AH32" s="226"/>
      <c r="AI32" s="226"/>
      <c r="AJ32" s="226"/>
    </row>
    <row r="33" spans="1:36" s="13" customFormat="1">
      <c r="A33" s="11" t="s">
        <v>293</v>
      </c>
      <c r="B33" s="227"/>
      <c r="C33" s="226" t="s">
        <v>1449</v>
      </c>
      <c r="D33" s="226"/>
      <c r="E33" s="226"/>
      <c r="F33" s="226"/>
      <c r="G33" s="226"/>
      <c r="H33" s="226"/>
      <c r="I33" s="226"/>
      <c r="J33" s="226" t="s">
        <v>62</v>
      </c>
      <c r="K33" s="226"/>
      <c r="L33" s="226"/>
      <c r="M33" s="226"/>
      <c r="N33" s="226"/>
      <c r="O33" s="226"/>
      <c r="P33" s="226">
        <v>28</v>
      </c>
      <c r="Q33" s="226"/>
      <c r="R33" s="226" t="s">
        <v>323</v>
      </c>
      <c r="S33" s="226"/>
      <c r="T33" s="226" t="s">
        <v>507</v>
      </c>
      <c r="U33" s="226" t="s">
        <v>559</v>
      </c>
      <c r="V33" s="226"/>
      <c r="W33" s="226"/>
      <c r="X33" s="226"/>
      <c r="Y33" s="226"/>
      <c r="Z33" s="226"/>
      <c r="AA33" s="226"/>
      <c r="AB33" s="226"/>
      <c r="AC33" s="226"/>
      <c r="AD33" s="226" t="s">
        <v>602</v>
      </c>
      <c r="AE33" s="226"/>
      <c r="AF33" s="226"/>
      <c r="AG33" s="226"/>
      <c r="AH33" s="226"/>
      <c r="AI33" s="226"/>
      <c r="AJ33" s="226"/>
    </row>
    <row r="34" spans="1:36" s="13" customFormat="1">
      <c r="A34" s="11" t="s">
        <v>293</v>
      </c>
      <c r="B34" s="227"/>
      <c r="C34" s="226" t="s">
        <v>21</v>
      </c>
      <c r="D34" s="226"/>
      <c r="E34" s="226"/>
      <c r="F34" s="226"/>
      <c r="G34" s="226"/>
      <c r="H34" s="226"/>
      <c r="I34" s="226"/>
      <c r="J34" s="226" t="s">
        <v>2</v>
      </c>
      <c r="K34" s="226"/>
      <c r="L34" s="226"/>
      <c r="M34" s="226"/>
      <c r="N34" s="226"/>
      <c r="O34" s="226"/>
      <c r="P34" s="226">
        <v>29</v>
      </c>
      <c r="Q34" s="226"/>
      <c r="R34" s="226" t="s">
        <v>327</v>
      </c>
      <c r="S34" s="226"/>
      <c r="T34" s="226" t="s">
        <v>508</v>
      </c>
      <c r="U34" s="226" t="s">
        <v>570</v>
      </c>
      <c r="V34" s="226"/>
      <c r="W34" s="226"/>
      <c r="X34" s="226"/>
      <c r="Y34" s="226"/>
      <c r="Z34" s="226"/>
      <c r="AA34" s="226"/>
      <c r="AB34" s="226"/>
      <c r="AC34" s="226"/>
      <c r="AD34" s="226"/>
      <c r="AE34" s="226"/>
      <c r="AF34" s="226"/>
      <c r="AG34" s="226"/>
      <c r="AH34" s="226"/>
      <c r="AI34" s="226"/>
      <c r="AJ34" s="226"/>
    </row>
    <row r="35" spans="1:36" s="13" customFormat="1">
      <c r="A35" s="11" t="s">
        <v>293</v>
      </c>
      <c r="B35" s="227"/>
      <c r="C35" s="226" t="s">
        <v>22</v>
      </c>
      <c r="D35" s="226"/>
      <c r="E35" s="226"/>
      <c r="F35" s="226"/>
      <c r="G35" s="226"/>
      <c r="H35" s="226"/>
      <c r="I35" s="226"/>
      <c r="J35" s="226" t="s">
        <v>76</v>
      </c>
      <c r="K35" s="226"/>
      <c r="L35" s="226"/>
      <c r="M35" s="226"/>
      <c r="N35" s="226"/>
      <c r="O35" s="226"/>
      <c r="P35" s="226">
        <v>30</v>
      </c>
      <c r="Q35" s="226"/>
      <c r="R35" s="226" t="s">
        <v>312</v>
      </c>
      <c r="S35" s="226"/>
      <c r="T35" s="226" t="s">
        <v>509</v>
      </c>
      <c r="U35" s="226" t="s">
        <v>585</v>
      </c>
      <c r="V35" s="226"/>
      <c r="W35" s="226"/>
      <c r="X35" s="226"/>
      <c r="Y35" s="226"/>
      <c r="Z35" s="226"/>
      <c r="AA35" s="226"/>
      <c r="AB35" s="226"/>
      <c r="AC35" s="226"/>
      <c r="AD35" s="226"/>
      <c r="AE35" s="226"/>
      <c r="AF35" s="226"/>
      <c r="AG35" s="226"/>
      <c r="AH35" s="226"/>
      <c r="AI35" s="226"/>
      <c r="AJ35" s="226"/>
    </row>
    <row r="36" spans="1:36" s="13" customFormat="1">
      <c r="A36" s="11" t="s">
        <v>293</v>
      </c>
      <c r="B36" s="227"/>
      <c r="C36" s="226" t="s">
        <v>26</v>
      </c>
      <c r="D36" s="226"/>
      <c r="E36" s="226"/>
      <c r="F36" s="226"/>
      <c r="G36" s="226"/>
      <c r="H36" s="226"/>
      <c r="I36" s="226"/>
      <c r="J36" s="226" t="s">
        <v>3</v>
      </c>
      <c r="K36" s="226"/>
      <c r="L36" s="226"/>
      <c r="M36" s="226"/>
      <c r="N36" s="226"/>
      <c r="O36" s="226"/>
      <c r="P36" s="226">
        <v>31</v>
      </c>
      <c r="Q36" s="226"/>
      <c r="R36" s="226" t="s">
        <v>321</v>
      </c>
      <c r="S36" s="226"/>
      <c r="T36" s="226" t="s">
        <v>510</v>
      </c>
      <c r="U36" s="226" t="s">
        <v>576</v>
      </c>
      <c r="V36" s="226"/>
      <c r="W36" s="226"/>
      <c r="X36" s="226"/>
      <c r="Y36" s="226"/>
      <c r="Z36" s="226"/>
      <c r="AA36" s="226"/>
      <c r="AB36" s="226"/>
      <c r="AC36" s="226"/>
      <c r="AD36" s="226"/>
      <c r="AE36" s="226"/>
      <c r="AF36" s="226"/>
      <c r="AG36" s="226"/>
      <c r="AH36" s="226"/>
      <c r="AI36" s="226"/>
      <c r="AJ36" s="226"/>
    </row>
    <row r="37" spans="1:36" s="13" customFormat="1">
      <c r="A37" s="11" t="s">
        <v>293</v>
      </c>
      <c r="B37" s="227"/>
      <c r="C37" s="226" t="s">
        <v>23</v>
      </c>
      <c r="D37" s="226"/>
      <c r="E37" s="226"/>
      <c r="F37" s="226"/>
      <c r="G37" s="226"/>
      <c r="H37" s="226"/>
      <c r="I37" s="226"/>
      <c r="J37" s="226" t="s">
        <v>61</v>
      </c>
      <c r="K37" s="226"/>
      <c r="L37" s="226"/>
      <c r="M37" s="226"/>
      <c r="N37" s="226"/>
      <c r="O37" s="226"/>
      <c r="P37" s="226">
        <v>32</v>
      </c>
      <c r="Q37" s="226"/>
      <c r="R37" s="226" t="s">
        <v>325</v>
      </c>
      <c r="S37" s="226"/>
      <c r="T37" s="226" t="s">
        <v>511</v>
      </c>
      <c r="U37" s="226" t="s">
        <v>574</v>
      </c>
      <c r="V37" s="226"/>
      <c r="W37" s="226"/>
      <c r="X37" s="226"/>
      <c r="Y37" s="226"/>
      <c r="Z37" s="226"/>
      <c r="AA37" s="226"/>
      <c r="AB37" s="226"/>
      <c r="AC37" s="226"/>
      <c r="AD37" s="226"/>
      <c r="AE37" s="226"/>
      <c r="AF37" s="226"/>
      <c r="AG37" s="226"/>
      <c r="AH37" s="226"/>
      <c r="AI37" s="226"/>
      <c r="AJ37" s="226"/>
    </row>
    <row r="38" spans="1:36" s="13" customFormat="1">
      <c r="A38" s="11" t="s">
        <v>293</v>
      </c>
      <c r="B38" s="227"/>
      <c r="C38" s="226" t="s">
        <v>24</v>
      </c>
      <c r="D38" s="226"/>
      <c r="E38" s="226"/>
      <c r="F38" s="226"/>
      <c r="G38" s="226"/>
      <c r="H38" s="226"/>
      <c r="I38" s="226"/>
      <c r="J38" s="226" t="s">
        <v>77</v>
      </c>
      <c r="K38" s="226"/>
      <c r="L38" s="226"/>
      <c r="M38" s="226"/>
      <c r="N38" s="226"/>
      <c r="O38" s="226"/>
      <c r="P38" s="226">
        <v>33</v>
      </c>
      <c r="Q38" s="226"/>
      <c r="R38" s="226" t="s">
        <v>316</v>
      </c>
      <c r="S38" s="226"/>
      <c r="T38" s="11"/>
      <c r="U38" s="226" t="s">
        <v>578</v>
      </c>
      <c r="V38" s="226"/>
      <c r="W38" s="226"/>
      <c r="X38" s="226"/>
      <c r="Y38" s="226"/>
      <c r="Z38" s="226"/>
      <c r="AA38" s="226"/>
      <c r="AB38" s="226"/>
      <c r="AC38" s="226"/>
      <c r="AD38" s="226"/>
      <c r="AE38" s="226"/>
      <c r="AF38" s="226"/>
      <c r="AG38" s="226"/>
      <c r="AH38" s="226"/>
      <c r="AI38" s="226"/>
      <c r="AJ38" s="226"/>
    </row>
    <row r="39" spans="1:36" s="13" customFormat="1">
      <c r="A39" s="11" t="s">
        <v>293</v>
      </c>
      <c r="B39" s="227"/>
      <c r="C39" s="226" t="s">
        <v>1450</v>
      </c>
      <c r="D39" s="226"/>
      <c r="E39" s="226"/>
      <c r="F39" s="226"/>
      <c r="G39" s="226"/>
      <c r="H39" s="226"/>
      <c r="I39" s="226"/>
      <c r="J39" s="226" t="s">
        <v>66</v>
      </c>
      <c r="K39" s="226"/>
      <c r="L39" s="226"/>
      <c r="M39" s="226"/>
      <c r="N39" s="226"/>
      <c r="O39" s="226"/>
      <c r="P39" s="226">
        <v>34</v>
      </c>
      <c r="Q39" s="226"/>
      <c r="R39" s="226" t="s">
        <v>317</v>
      </c>
      <c r="S39" s="226"/>
      <c r="T39" s="11"/>
      <c r="U39" s="226" t="s">
        <v>572</v>
      </c>
      <c r="V39" s="226"/>
      <c r="W39" s="226"/>
      <c r="X39" s="226"/>
      <c r="Y39" s="226"/>
      <c r="Z39" s="226"/>
      <c r="AA39" s="226"/>
      <c r="AB39" s="226"/>
      <c r="AC39" s="226"/>
      <c r="AD39" s="226"/>
      <c r="AE39" s="226"/>
      <c r="AF39" s="226"/>
      <c r="AG39" s="226"/>
      <c r="AH39" s="226"/>
      <c r="AI39" s="226"/>
      <c r="AJ39" s="226"/>
    </row>
    <row r="40" spans="1:36" s="13" customFormat="1">
      <c r="A40" s="11" t="s">
        <v>293</v>
      </c>
      <c r="B40" s="227"/>
      <c r="C40" s="226"/>
      <c r="D40" s="226"/>
      <c r="E40" s="226"/>
      <c r="F40" s="226"/>
      <c r="G40" s="226"/>
      <c r="H40" s="226"/>
      <c r="I40" s="226"/>
      <c r="J40" s="226" t="s">
        <v>207</v>
      </c>
      <c r="K40" s="226"/>
      <c r="L40" s="226"/>
      <c r="M40" s="226"/>
      <c r="N40" s="226"/>
      <c r="O40" s="226"/>
      <c r="P40" s="226">
        <v>35</v>
      </c>
      <c r="Q40" s="226"/>
      <c r="R40" s="226" t="s">
        <v>334</v>
      </c>
      <c r="S40" s="226"/>
      <c r="T40" s="11"/>
      <c r="U40" s="226" t="s">
        <v>573</v>
      </c>
      <c r="V40" s="226"/>
      <c r="W40" s="226"/>
      <c r="X40" s="226"/>
      <c r="Y40" s="226"/>
      <c r="Z40" s="226"/>
      <c r="AA40" s="226"/>
      <c r="AB40" s="226"/>
      <c r="AC40" s="226"/>
      <c r="AD40" s="226"/>
      <c r="AE40" s="226"/>
      <c r="AF40" s="226"/>
      <c r="AG40" s="226"/>
      <c r="AH40" s="226"/>
      <c r="AI40" s="226"/>
      <c r="AJ40" s="226"/>
    </row>
    <row r="41" spans="1:36" s="13" customFormat="1">
      <c r="A41" s="11" t="s">
        <v>293</v>
      </c>
      <c r="B41" s="227"/>
      <c r="C41" s="226"/>
      <c r="D41" s="226"/>
      <c r="E41" s="226"/>
      <c r="F41" s="226"/>
      <c r="G41" s="226"/>
      <c r="H41" s="226"/>
      <c r="I41" s="226"/>
      <c r="J41" s="226" t="s">
        <v>67</v>
      </c>
      <c r="K41" s="226"/>
      <c r="L41" s="226"/>
      <c r="M41" s="226"/>
      <c r="N41" s="226"/>
      <c r="O41" s="226"/>
      <c r="P41" s="226">
        <v>36</v>
      </c>
      <c r="Q41" s="226"/>
      <c r="R41" s="226" t="s">
        <v>342</v>
      </c>
      <c r="S41" s="226"/>
      <c r="T41" s="11"/>
      <c r="U41" s="226" t="s">
        <v>571</v>
      </c>
      <c r="V41" s="226"/>
      <c r="W41" s="226"/>
      <c r="X41" s="226"/>
      <c r="Y41" s="226"/>
      <c r="Z41" s="226"/>
      <c r="AA41" s="226"/>
      <c r="AB41" s="226"/>
      <c r="AC41" s="226"/>
      <c r="AD41" s="226"/>
      <c r="AE41" s="226"/>
      <c r="AF41" s="226"/>
      <c r="AG41" s="226"/>
      <c r="AH41" s="226"/>
      <c r="AI41" s="226"/>
      <c r="AJ41" s="226"/>
    </row>
    <row r="42" spans="1:36" s="13" customFormat="1">
      <c r="A42" s="11" t="s">
        <v>293</v>
      </c>
      <c r="B42" s="227"/>
      <c r="C42" s="226"/>
      <c r="D42" s="226"/>
      <c r="E42" s="226"/>
      <c r="F42" s="226"/>
      <c r="G42" s="226"/>
      <c r="H42" s="226"/>
      <c r="I42" s="226"/>
      <c r="J42" s="226" t="s">
        <v>75</v>
      </c>
      <c r="K42" s="226"/>
      <c r="L42" s="226"/>
      <c r="M42" s="226"/>
      <c r="N42" s="226"/>
      <c r="O42" s="226"/>
      <c r="P42" s="226">
        <v>37</v>
      </c>
      <c r="Q42" s="226"/>
      <c r="R42" s="226" t="s">
        <v>441</v>
      </c>
      <c r="S42" s="226"/>
      <c r="T42" s="226"/>
      <c r="U42" s="226" t="s">
        <v>575</v>
      </c>
      <c r="V42" s="226"/>
      <c r="W42" s="226"/>
      <c r="X42" s="226"/>
      <c r="Y42" s="226"/>
      <c r="Z42" s="226"/>
      <c r="AA42" s="226"/>
      <c r="AB42" s="226"/>
      <c r="AC42" s="226"/>
      <c r="AD42" s="226"/>
      <c r="AE42" s="226"/>
      <c r="AF42" s="226"/>
      <c r="AG42" s="226"/>
      <c r="AH42" s="226"/>
      <c r="AI42" s="226"/>
      <c r="AJ42" s="226"/>
    </row>
    <row r="43" spans="1:36" s="13" customFormat="1">
      <c r="A43" s="11" t="s">
        <v>293</v>
      </c>
      <c r="B43" s="227"/>
      <c r="C43" s="226"/>
      <c r="D43" s="226"/>
      <c r="E43" s="226"/>
      <c r="F43" s="226"/>
      <c r="G43" s="226"/>
      <c r="H43" s="226"/>
      <c r="I43" s="226"/>
      <c r="J43" s="226" t="s">
        <v>69</v>
      </c>
      <c r="K43" s="226"/>
      <c r="L43" s="226"/>
      <c r="M43" s="226"/>
      <c r="N43" s="226"/>
      <c r="O43" s="226"/>
      <c r="P43" s="226">
        <v>38</v>
      </c>
      <c r="Q43" s="226"/>
      <c r="R43" s="226" t="s">
        <v>391</v>
      </c>
      <c r="S43" s="226"/>
      <c r="T43" s="226"/>
      <c r="U43" s="226" t="s">
        <v>577</v>
      </c>
      <c r="V43" s="226"/>
      <c r="W43" s="226"/>
      <c r="X43" s="226"/>
      <c r="Y43" s="226"/>
      <c r="Z43" s="226"/>
      <c r="AA43" s="226"/>
      <c r="AB43" s="226"/>
      <c r="AC43" s="226"/>
      <c r="AD43" s="226"/>
      <c r="AE43" s="226"/>
      <c r="AF43" s="226"/>
      <c r="AG43" s="226"/>
      <c r="AH43" s="226"/>
      <c r="AI43" s="226"/>
      <c r="AJ43" s="226"/>
    </row>
    <row r="44" spans="1:36" s="13" customFormat="1">
      <c r="A44" s="11" t="s">
        <v>293</v>
      </c>
      <c r="B44" s="227"/>
      <c r="C44" s="226"/>
      <c r="D44" s="226"/>
      <c r="E44" s="226"/>
      <c r="F44" s="226"/>
      <c r="G44" s="226"/>
      <c r="H44" s="226"/>
      <c r="I44" s="226"/>
      <c r="J44" s="226" t="s">
        <v>73</v>
      </c>
      <c r="K44" s="226"/>
      <c r="L44" s="226"/>
      <c r="M44" s="226"/>
      <c r="N44" s="226"/>
      <c r="O44" s="226"/>
      <c r="P44" s="226">
        <v>39</v>
      </c>
      <c r="Q44" s="226"/>
      <c r="R44" s="226" t="s">
        <v>442</v>
      </c>
      <c r="S44" s="226"/>
      <c r="T44" s="226"/>
      <c r="U44" s="226" t="s">
        <v>534</v>
      </c>
      <c r="V44" s="226"/>
      <c r="W44" s="226"/>
      <c r="X44" s="226"/>
      <c r="Y44" s="226"/>
      <c r="Z44" s="226"/>
      <c r="AA44" s="226"/>
      <c r="AB44" s="226"/>
      <c r="AC44" s="226"/>
      <c r="AD44" s="226"/>
      <c r="AE44" s="226"/>
      <c r="AF44" s="226"/>
      <c r="AG44" s="226"/>
      <c r="AH44" s="226"/>
      <c r="AI44" s="226"/>
      <c r="AJ44" s="226"/>
    </row>
    <row r="45" spans="1:36" s="13" customFormat="1">
      <c r="A45" s="11" t="s">
        <v>293</v>
      </c>
      <c r="B45" s="227"/>
      <c r="C45" s="226"/>
      <c r="D45" s="226"/>
      <c r="E45" s="226"/>
      <c r="F45" s="226"/>
      <c r="G45" s="226"/>
      <c r="H45" s="226"/>
      <c r="I45" s="226"/>
      <c r="J45" s="226" t="s">
        <v>60</v>
      </c>
      <c r="K45" s="226"/>
      <c r="L45" s="226"/>
      <c r="M45" s="226"/>
      <c r="N45" s="226"/>
      <c r="O45" s="226"/>
      <c r="P45" s="226">
        <v>40</v>
      </c>
      <c r="Q45" s="226"/>
      <c r="R45" s="226" t="s">
        <v>337</v>
      </c>
      <c r="S45" s="226"/>
      <c r="T45" s="226"/>
      <c r="U45" s="226" t="s">
        <v>535</v>
      </c>
      <c r="V45" s="226"/>
      <c r="W45" s="226"/>
      <c r="X45" s="226"/>
      <c r="Y45" s="226"/>
      <c r="Z45" s="226"/>
      <c r="AA45" s="226"/>
      <c r="AB45" s="226"/>
      <c r="AC45" s="226"/>
      <c r="AD45" s="226"/>
      <c r="AE45" s="226"/>
      <c r="AF45" s="226"/>
      <c r="AG45" s="226"/>
      <c r="AH45" s="226"/>
      <c r="AI45" s="226"/>
      <c r="AJ45" s="226"/>
    </row>
    <row r="46" spans="1:36" s="13" customFormat="1">
      <c r="A46" s="11" t="s">
        <v>293</v>
      </c>
      <c r="B46" s="227"/>
      <c r="C46" s="226"/>
      <c r="D46" s="226"/>
      <c r="E46" s="226"/>
      <c r="F46" s="226"/>
      <c r="G46" s="226"/>
      <c r="H46" s="226"/>
      <c r="I46" s="226"/>
      <c r="J46" s="226" t="s">
        <v>68</v>
      </c>
      <c r="K46" s="226"/>
      <c r="L46" s="226"/>
      <c r="M46" s="226"/>
      <c r="N46" s="226"/>
      <c r="O46" s="226"/>
      <c r="P46" s="226">
        <v>41</v>
      </c>
      <c r="Q46" s="226"/>
      <c r="R46" s="226" t="s">
        <v>336</v>
      </c>
      <c r="S46" s="226"/>
      <c r="T46" s="226"/>
      <c r="U46" s="226" t="s">
        <v>532</v>
      </c>
      <c r="V46" s="226"/>
      <c r="W46" s="226"/>
      <c r="X46" s="226"/>
      <c r="Y46" s="226"/>
      <c r="Z46" s="226"/>
      <c r="AA46" s="226"/>
      <c r="AB46" s="226"/>
      <c r="AC46" s="226"/>
      <c r="AD46" s="226"/>
      <c r="AE46" s="226"/>
      <c r="AF46" s="226"/>
      <c r="AG46" s="226"/>
      <c r="AH46" s="226"/>
      <c r="AI46" s="226"/>
      <c r="AJ46" s="226"/>
    </row>
    <row r="47" spans="1:36" s="13" customFormat="1">
      <c r="A47" s="11" t="s">
        <v>293</v>
      </c>
      <c r="B47" s="227"/>
      <c r="C47" s="226"/>
      <c r="D47" s="226"/>
      <c r="E47" s="226"/>
      <c r="F47" s="226"/>
      <c r="G47" s="226"/>
      <c r="H47" s="226"/>
      <c r="I47" s="226"/>
      <c r="J47" s="226" t="s">
        <v>72</v>
      </c>
      <c r="K47" s="226"/>
      <c r="L47" s="226"/>
      <c r="M47" s="226"/>
      <c r="N47" s="226"/>
      <c r="O47" s="226"/>
      <c r="P47" s="226">
        <v>42</v>
      </c>
      <c r="Q47" s="226"/>
      <c r="R47" s="226" t="s">
        <v>338</v>
      </c>
      <c r="S47" s="226"/>
      <c r="T47" s="11"/>
      <c r="U47" s="226" t="s">
        <v>533</v>
      </c>
      <c r="V47" s="226"/>
      <c r="W47" s="226"/>
      <c r="X47" s="226"/>
      <c r="Y47" s="226"/>
      <c r="Z47" s="226"/>
      <c r="AA47" s="226"/>
      <c r="AB47" s="226"/>
      <c r="AC47" s="226"/>
      <c r="AD47" s="226"/>
      <c r="AE47" s="226"/>
      <c r="AF47" s="226"/>
      <c r="AG47" s="226"/>
      <c r="AH47" s="226"/>
      <c r="AI47" s="226"/>
      <c r="AJ47" s="226"/>
    </row>
    <row r="48" spans="1:36" s="13" customFormat="1">
      <c r="A48" s="11" t="s">
        <v>293</v>
      </c>
      <c r="B48" s="227"/>
      <c r="C48" s="226"/>
      <c r="D48" s="226"/>
      <c r="E48" s="226"/>
      <c r="F48" s="226"/>
      <c r="G48" s="226"/>
      <c r="H48" s="226"/>
      <c r="I48" s="226"/>
      <c r="J48" s="226" t="s">
        <v>71</v>
      </c>
      <c r="K48" s="226"/>
      <c r="L48" s="226"/>
      <c r="M48" s="226"/>
      <c r="N48" s="226"/>
      <c r="O48" s="226"/>
      <c r="P48" s="226">
        <v>43</v>
      </c>
      <c r="Q48" s="226"/>
      <c r="R48" s="226" t="s">
        <v>339</v>
      </c>
      <c r="S48" s="226"/>
      <c r="T48" s="226"/>
      <c r="U48" s="226" t="s">
        <v>523</v>
      </c>
      <c r="V48" s="226"/>
      <c r="W48" s="226"/>
      <c r="X48" s="226"/>
      <c r="Y48" s="226"/>
      <c r="Z48" s="226"/>
      <c r="AA48" s="226"/>
      <c r="AB48" s="226"/>
      <c r="AC48" s="226"/>
      <c r="AD48" s="226"/>
      <c r="AE48" s="226"/>
      <c r="AF48" s="226"/>
      <c r="AG48" s="226"/>
      <c r="AH48" s="226"/>
      <c r="AI48" s="226"/>
      <c r="AJ48" s="226"/>
    </row>
    <row r="49" spans="1:36" s="13" customFormat="1">
      <c r="A49" s="11" t="s">
        <v>293</v>
      </c>
      <c r="B49" s="227"/>
      <c r="C49" s="226"/>
      <c r="D49" s="226"/>
      <c r="E49" s="226"/>
      <c r="F49" s="226"/>
      <c r="G49" s="226"/>
      <c r="H49" s="226"/>
      <c r="I49" s="226"/>
      <c r="J49" s="226" t="s">
        <v>64</v>
      </c>
      <c r="K49" s="226"/>
      <c r="L49" s="226"/>
      <c r="M49" s="226"/>
      <c r="N49" s="226"/>
      <c r="O49" s="226"/>
      <c r="P49" s="226">
        <v>44</v>
      </c>
      <c r="Q49" s="226"/>
      <c r="R49" s="226" t="s">
        <v>340</v>
      </c>
      <c r="S49" s="226"/>
      <c r="T49" s="226"/>
      <c r="U49" s="226" t="s">
        <v>524</v>
      </c>
      <c r="V49" s="226"/>
      <c r="W49" s="226"/>
      <c r="X49" s="226"/>
      <c r="Y49" s="226"/>
      <c r="Z49" s="226"/>
      <c r="AA49" s="226"/>
      <c r="AB49" s="226"/>
      <c r="AC49" s="226"/>
      <c r="AD49" s="226"/>
      <c r="AE49" s="226"/>
      <c r="AF49" s="226"/>
      <c r="AG49" s="226"/>
      <c r="AH49" s="226"/>
      <c r="AI49" s="226"/>
      <c r="AJ49" s="226"/>
    </row>
    <row r="50" spans="1:36" s="13" customFormat="1">
      <c r="A50" s="11" t="s">
        <v>293</v>
      </c>
      <c r="B50" s="227"/>
      <c r="C50" s="226"/>
      <c r="D50" s="226"/>
      <c r="E50" s="226"/>
      <c r="F50" s="226"/>
      <c r="G50" s="226"/>
      <c r="H50" s="226"/>
      <c r="I50" s="226"/>
      <c r="J50" s="226" t="s">
        <v>65</v>
      </c>
      <c r="K50" s="226"/>
      <c r="L50" s="226"/>
      <c r="M50" s="226"/>
      <c r="N50" s="226"/>
      <c r="O50" s="226"/>
      <c r="P50" s="226">
        <v>45</v>
      </c>
      <c r="Q50" s="226"/>
      <c r="R50" s="226" t="s">
        <v>344</v>
      </c>
      <c r="S50" s="226"/>
      <c r="T50" s="226"/>
      <c r="U50" s="226" t="s">
        <v>521</v>
      </c>
      <c r="V50" s="226"/>
      <c r="W50" s="226"/>
      <c r="X50" s="226"/>
      <c r="Y50" s="226"/>
      <c r="Z50" s="226"/>
      <c r="AA50" s="226"/>
      <c r="AB50" s="226"/>
      <c r="AC50" s="226"/>
      <c r="AD50" s="226"/>
      <c r="AE50" s="226"/>
      <c r="AF50" s="226"/>
      <c r="AG50" s="226"/>
      <c r="AH50" s="226"/>
      <c r="AI50" s="226"/>
      <c r="AJ50" s="226"/>
    </row>
    <row r="51" spans="1:36" s="13" customFormat="1">
      <c r="A51" s="11" t="s">
        <v>293</v>
      </c>
      <c r="B51" s="227"/>
      <c r="C51" s="226"/>
      <c r="D51" s="226"/>
      <c r="E51" s="226"/>
      <c r="F51" s="226"/>
      <c r="G51" s="226"/>
      <c r="H51" s="226"/>
      <c r="I51" s="226"/>
      <c r="J51" s="226" t="s">
        <v>80</v>
      </c>
      <c r="K51" s="226"/>
      <c r="L51" s="226"/>
      <c r="M51" s="226"/>
      <c r="N51" s="226"/>
      <c r="O51" s="226"/>
      <c r="P51" s="226"/>
      <c r="Q51" s="226"/>
      <c r="R51" s="226" t="s">
        <v>347</v>
      </c>
      <c r="S51" s="226"/>
      <c r="T51" s="226"/>
      <c r="U51" s="226" t="s">
        <v>522</v>
      </c>
      <c r="V51" s="226"/>
      <c r="W51" s="226"/>
      <c r="X51" s="226"/>
      <c r="Y51" s="226"/>
      <c r="Z51" s="226"/>
      <c r="AA51" s="226"/>
      <c r="AB51" s="226"/>
      <c r="AC51" s="226"/>
      <c r="AD51" s="226"/>
      <c r="AE51" s="226"/>
      <c r="AF51" s="226"/>
      <c r="AG51" s="226"/>
      <c r="AH51" s="226"/>
      <c r="AI51" s="226"/>
      <c r="AJ51" s="226"/>
    </row>
    <row r="52" spans="1:36" s="13" customFormat="1">
      <c r="A52" s="11" t="s">
        <v>293</v>
      </c>
      <c r="B52" s="227"/>
      <c r="C52" s="226"/>
      <c r="D52" s="226"/>
      <c r="E52" s="226"/>
      <c r="F52" s="226"/>
      <c r="G52" s="226"/>
      <c r="H52" s="226"/>
      <c r="I52" s="226"/>
      <c r="J52" s="226" t="s">
        <v>88</v>
      </c>
      <c r="K52" s="226"/>
      <c r="L52" s="226"/>
      <c r="M52" s="226"/>
      <c r="N52" s="226"/>
      <c r="O52" s="226"/>
      <c r="P52" s="226"/>
      <c r="Q52" s="226"/>
      <c r="R52" s="226" t="s">
        <v>346</v>
      </c>
      <c r="S52" s="226"/>
      <c r="T52" s="226"/>
      <c r="U52" s="226" t="s">
        <v>514</v>
      </c>
      <c r="V52" s="226"/>
      <c r="W52" s="226"/>
      <c r="X52" s="226"/>
      <c r="Y52" s="226"/>
      <c r="Z52" s="226"/>
      <c r="AA52" s="226"/>
      <c r="AB52" s="226"/>
      <c r="AC52" s="226"/>
      <c r="AD52" s="226"/>
      <c r="AE52" s="226"/>
      <c r="AF52" s="226"/>
      <c r="AG52" s="226"/>
      <c r="AH52" s="226"/>
      <c r="AI52" s="226"/>
      <c r="AJ52" s="226"/>
    </row>
    <row r="53" spans="1:36" s="13" customFormat="1">
      <c r="A53" s="11" t="s">
        <v>293</v>
      </c>
      <c r="B53" s="227"/>
      <c r="C53" s="226"/>
      <c r="D53" s="226"/>
      <c r="E53" s="226"/>
      <c r="F53" s="226"/>
      <c r="G53" s="226"/>
      <c r="H53" s="226"/>
      <c r="I53" s="226"/>
      <c r="J53" s="226" t="s">
        <v>92</v>
      </c>
      <c r="K53" s="226"/>
      <c r="L53" s="226"/>
      <c r="M53" s="226"/>
      <c r="N53" s="226"/>
      <c r="O53" s="226"/>
      <c r="P53" s="226"/>
      <c r="Q53" s="226"/>
      <c r="R53" s="226" t="s">
        <v>331</v>
      </c>
      <c r="S53" s="226"/>
      <c r="T53" s="226"/>
      <c r="U53" s="226" t="s">
        <v>515</v>
      </c>
      <c r="V53" s="226"/>
      <c r="W53" s="226"/>
      <c r="X53" s="226"/>
      <c r="Y53" s="226"/>
      <c r="Z53" s="226"/>
      <c r="AA53" s="226"/>
      <c r="AB53" s="226"/>
      <c r="AC53" s="226"/>
      <c r="AD53" s="226"/>
      <c r="AE53" s="226"/>
      <c r="AF53" s="226"/>
      <c r="AG53" s="226"/>
      <c r="AH53" s="226"/>
      <c r="AI53" s="226"/>
      <c r="AJ53" s="226"/>
    </row>
    <row r="54" spans="1:36" s="13" customFormat="1">
      <c r="A54" s="11" t="s">
        <v>293</v>
      </c>
      <c r="B54" s="227"/>
      <c r="C54" s="226"/>
      <c r="D54" s="226"/>
      <c r="E54" s="226"/>
      <c r="F54" s="226"/>
      <c r="G54" s="226"/>
      <c r="H54" s="226"/>
      <c r="I54" s="226"/>
      <c r="J54" s="226" t="s">
        <v>83</v>
      </c>
      <c r="K54" s="226"/>
      <c r="L54" s="226"/>
      <c r="M54" s="226"/>
      <c r="N54" s="226"/>
      <c r="O54" s="226"/>
      <c r="P54" s="226"/>
      <c r="Q54" s="226"/>
      <c r="R54" s="226" t="s">
        <v>349</v>
      </c>
      <c r="S54" s="226"/>
      <c r="T54" s="226"/>
      <c r="U54" s="226" t="s">
        <v>517</v>
      </c>
      <c r="V54" s="226"/>
      <c r="W54" s="226"/>
      <c r="X54" s="226"/>
      <c r="Y54" s="226"/>
      <c r="Z54" s="226"/>
      <c r="AA54" s="226"/>
      <c r="AB54" s="226"/>
      <c r="AC54" s="226"/>
      <c r="AD54" s="226"/>
      <c r="AE54" s="226"/>
      <c r="AF54" s="226"/>
      <c r="AG54" s="226"/>
      <c r="AH54" s="226"/>
      <c r="AI54" s="226"/>
      <c r="AJ54" s="226"/>
    </row>
    <row r="55" spans="1:36" s="13" customFormat="1">
      <c r="A55" s="11" t="s">
        <v>293</v>
      </c>
      <c r="B55" s="227"/>
      <c r="C55" s="226"/>
      <c r="D55" s="226"/>
      <c r="E55" s="226"/>
      <c r="F55" s="226"/>
      <c r="G55" s="226"/>
      <c r="H55" s="226"/>
      <c r="I55" s="226"/>
      <c r="J55" s="226" t="s">
        <v>91</v>
      </c>
      <c r="K55" s="226"/>
      <c r="L55" s="226"/>
      <c r="M55" s="226"/>
      <c r="N55" s="226"/>
      <c r="O55" s="226"/>
      <c r="P55" s="226"/>
      <c r="Q55" s="226"/>
      <c r="R55" s="226" t="s">
        <v>350</v>
      </c>
      <c r="S55" s="226"/>
      <c r="T55" s="226"/>
      <c r="U55" s="226" t="s">
        <v>516</v>
      </c>
      <c r="V55" s="226"/>
      <c r="W55" s="226"/>
      <c r="X55" s="226"/>
      <c r="Y55" s="226"/>
      <c r="Z55" s="226"/>
      <c r="AA55" s="226"/>
      <c r="AB55" s="226"/>
      <c r="AC55" s="226"/>
      <c r="AD55" s="226"/>
      <c r="AE55" s="226"/>
      <c r="AF55" s="226"/>
      <c r="AG55" s="226"/>
      <c r="AH55" s="226"/>
      <c r="AI55" s="226"/>
      <c r="AJ55" s="226"/>
    </row>
    <row r="56" spans="1:36" s="13" customFormat="1">
      <c r="A56" s="11" t="s">
        <v>293</v>
      </c>
      <c r="B56" s="227"/>
      <c r="C56" s="226"/>
      <c r="D56" s="226"/>
      <c r="E56" s="226"/>
      <c r="F56" s="226"/>
      <c r="G56" s="226"/>
      <c r="H56" s="226"/>
      <c r="I56" s="226"/>
      <c r="J56" s="226" t="s">
        <v>232</v>
      </c>
      <c r="K56" s="226"/>
      <c r="L56" s="226"/>
      <c r="M56" s="226"/>
      <c r="N56" s="226"/>
      <c r="O56" s="226"/>
      <c r="P56" s="226"/>
      <c r="Q56" s="226"/>
      <c r="R56" s="226" t="s">
        <v>300</v>
      </c>
      <c r="S56" s="226"/>
      <c r="T56" s="226"/>
      <c r="U56" s="226" t="s">
        <v>518</v>
      </c>
      <c r="V56" s="226"/>
      <c r="W56" s="226"/>
      <c r="X56" s="226"/>
      <c r="Y56" s="226"/>
      <c r="Z56" s="226"/>
      <c r="AA56" s="226"/>
      <c r="AB56" s="226"/>
      <c r="AC56" s="226"/>
      <c r="AD56" s="226"/>
      <c r="AE56" s="226"/>
      <c r="AF56" s="226"/>
      <c r="AG56" s="226"/>
      <c r="AH56" s="226"/>
      <c r="AI56" s="226"/>
      <c r="AJ56" s="226"/>
    </row>
    <row r="57" spans="1:36" s="13" customFormat="1">
      <c r="A57" s="11" t="s">
        <v>293</v>
      </c>
      <c r="B57" s="227"/>
      <c r="C57" s="226"/>
      <c r="D57" s="226"/>
      <c r="E57" s="226"/>
      <c r="F57" s="226"/>
      <c r="G57" s="226"/>
      <c r="H57" s="226"/>
      <c r="I57" s="226"/>
      <c r="J57" s="226" t="s">
        <v>95</v>
      </c>
      <c r="K57" s="226"/>
      <c r="L57" s="226"/>
      <c r="M57" s="226"/>
      <c r="N57" s="226"/>
      <c r="O57" s="226"/>
      <c r="P57" s="226"/>
      <c r="Q57" s="226"/>
      <c r="R57" s="226" t="s">
        <v>351</v>
      </c>
      <c r="S57" s="226"/>
      <c r="T57" s="226"/>
      <c r="U57" s="226" t="s">
        <v>519</v>
      </c>
      <c r="V57" s="226"/>
      <c r="W57" s="226"/>
      <c r="X57" s="226"/>
      <c r="Y57" s="226"/>
      <c r="Z57" s="226"/>
      <c r="AA57" s="226"/>
      <c r="AB57" s="226"/>
      <c r="AC57" s="226"/>
      <c r="AD57" s="226"/>
      <c r="AE57" s="226"/>
      <c r="AF57" s="226"/>
      <c r="AG57" s="226"/>
      <c r="AH57" s="226"/>
      <c r="AI57" s="226"/>
      <c r="AJ57" s="226"/>
    </row>
    <row r="58" spans="1:36" s="13" customFormat="1">
      <c r="A58" s="11" t="s">
        <v>293</v>
      </c>
      <c r="B58" s="227"/>
      <c r="C58" s="226"/>
      <c r="D58" s="226"/>
      <c r="E58" s="226"/>
      <c r="F58" s="226"/>
      <c r="G58" s="226"/>
      <c r="H58" s="226"/>
      <c r="I58" s="226"/>
      <c r="J58" s="226" t="s">
        <v>93</v>
      </c>
      <c r="K58" s="226"/>
      <c r="L58" s="226"/>
      <c r="M58" s="226"/>
      <c r="N58" s="226"/>
      <c r="O58" s="226"/>
      <c r="P58" s="226"/>
      <c r="Q58" s="226"/>
      <c r="R58" s="226" t="s">
        <v>304</v>
      </c>
      <c r="S58" s="226"/>
      <c r="T58" s="226"/>
      <c r="U58" s="226" t="s">
        <v>536</v>
      </c>
      <c r="V58" s="226"/>
      <c r="W58" s="226"/>
      <c r="X58" s="226"/>
      <c r="Y58" s="226"/>
      <c r="Z58" s="226"/>
      <c r="AA58" s="226"/>
      <c r="AB58" s="226"/>
      <c r="AC58" s="226"/>
      <c r="AD58" s="226"/>
      <c r="AE58" s="226"/>
      <c r="AF58" s="226"/>
      <c r="AG58" s="226"/>
      <c r="AH58" s="226"/>
      <c r="AI58" s="226"/>
      <c r="AJ58" s="226"/>
    </row>
    <row r="59" spans="1:36" s="13" customFormat="1">
      <c r="A59" s="11" t="s">
        <v>293</v>
      </c>
      <c r="B59" s="227"/>
      <c r="C59" s="226"/>
      <c r="D59" s="226"/>
      <c r="E59" s="226"/>
      <c r="F59" s="226"/>
      <c r="G59" s="226"/>
      <c r="H59" s="226"/>
      <c r="I59" s="226"/>
      <c r="J59" s="226" t="s">
        <v>85</v>
      </c>
      <c r="K59" s="226"/>
      <c r="L59" s="226"/>
      <c r="M59" s="226"/>
      <c r="N59" s="226"/>
      <c r="O59" s="226"/>
      <c r="P59" s="226"/>
      <c r="Q59" s="226"/>
      <c r="R59" s="226" t="s">
        <v>352</v>
      </c>
      <c r="S59" s="226"/>
      <c r="T59" s="226"/>
      <c r="U59" s="226" t="s">
        <v>537</v>
      </c>
      <c r="V59" s="226"/>
      <c r="W59" s="226"/>
      <c r="X59" s="226"/>
      <c r="Y59" s="226"/>
      <c r="Z59" s="226"/>
      <c r="AA59" s="226"/>
      <c r="AB59" s="226"/>
      <c r="AC59" s="226"/>
      <c r="AD59" s="226"/>
      <c r="AE59" s="226"/>
      <c r="AF59" s="226"/>
      <c r="AG59" s="226"/>
      <c r="AH59" s="226"/>
      <c r="AI59" s="226"/>
      <c r="AJ59" s="226"/>
    </row>
    <row r="60" spans="1:36" s="13" customFormat="1">
      <c r="A60" s="11" t="s">
        <v>293</v>
      </c>
      <c r="B60" s="227"/>
      <c r="C60" s="226"/>
      <c r="D60" s="226"/>
      <c r="E60" s="226"/>
      <c r="F60" s="226"/>
      <c r="G60" s="226"/>
      <c r="H60" s="226"/>
      <c r="I60" s="226"/>
      <c r="J60" s="226" t="s">
        <v>79</v>
      </c>
      <c r="K60" s="226"/>
      <c r="L60" s="226"/>
      <c r="M60" s="226"/>
      <c r="N60" s="226"/>
      <c r="O60" s="226"/>
      <c r="P60" s="226"/>
      <c r="Q60" s="226"/>
      <c r="R60" s="226" t="s">
        <v>354</v>
      </c>
      <c r="S60" s="226"/>
      <c r="T60" s="226"/>
      <c r="U60" s="226" t="s">
        <v>531</v>
      </c>
      <c r="V60" s="226"/>
      <c r="W60" s="226"/>
      <c r="X60" s="226"/>
      <c r="Y60" s="226"/>
      <c r="Z60" s="226"/>
      <c r="AA60" s="226"/>
      <c r="AB60" s="226"/>
      <c r="AC60" s="226"/>
      <c r="AD60" s="226"/>
      <c r="AE60" s="226"/>
      <c r="AF60" s="226"/>
      <c r="AG60" s="226"/>
      <c r="AH60" s="226"/>
      <c r="AI60" s="226"/>
      <c r="AJ60" s="226"/>
    </row>
    <row r="61" spans="1:36" s="13" customFormat="1">
      <c r="A61" s="11" t="s">
        <v>293</v>
      </c>
      <c r="B61" s="227"/>
      <c r="C61" s="226"/>
      <c r="D61" s="226"/>
      <c r="E61" s="226"/>
      <c r="F61" s="226"/>
      <c r="G61" s="226"/>
      <c r="H61" s="226"/>
      <c r="I61" s="226"/>
      <c r="J61" s="226" t="s">
        <v>86</v>
      </c>
      <c r="K61" s="226"/>
      <c r="L61" s="226"/>
      <c r="M61" s="226"/>
      <c r="N61" s="226"/>
      <c r="O61" s="226"/>
      <c r="P61" s="226"/>
      <c r="Q61" s="226"/>
      <c r="R61" s="226" t="s">
        <v>355</v>
      </c>
      <c r="S61" s="226"/>
      <c r="T61" s="226"/>
      <c r="U61" s="226" t="s">
        <v>526</v>
      </c>
      <c r="V61" s="226"/>
      <c r="W61" s="226"/>
      <c r="X61" s="226"/>
      <c r="Y61" s="226"/>
      <c r="Z61" s="226"/>
      <c r="AA61" s="226"/>
      <c r="AB61" s="226"/>
      <c r="AC61" s="226"/>
      <c r="AD61" s="226"/>
      <c r="AE61" s="226"/>
      <c r="AF61" s="226"/>
      <c r="AG61" s="226"/>
      <c r="AH61" s="226"/>
      <c r="AI61" s="226"/>
      <c r="AJ61" s="226"/>
    </row>
    <row r="62" spans="1:36" s="13" customFormat="1">
      <c r="A62" s="11" t="s">
        <v>293</v>
      </c>
      <c r="B62" s="227"/>
      <c r="C62" s="226"/>
      <c r="D62" s="226"/>
      <c r="E62" s="226"/>
      <c r="F62" s="226"/>
      <c r="G62" s="226"/>
      <c r="H62" s="226"/>
      <c r="I62" s="226"/>
      <c r="J62" s="226" t="s">
        <v>89</v>
      </c>
      <c r="K62" s="226"/>
      <c r="L62" s="226"/>
      <c r="M62" s="226"/>
      <c r="N62" s="226"/>
      <c r="O62" s="226"/>
      <c r="P62" s="226"/>
      <c r="Q62" s="226"/>
      <c r="R62" s="226" t="s">
        <v>298</v>
      </c>
      <c r="S62" s="226"/>
      <c r="T62" s="226"/>
      <c r="U62" s="226" t="s">
        <v>525</v>
      </c>
      <c r="V62" s="226"/>
      <c r="W62" s="226"/>
      <c r="X62" s="226"/>
      <c r="Y62" s="226"/>
      <c r="Z62" s="226"/>
      <c r="AA62" s="226"/>
      <c r="AB62" s="226"/>
      <c r="AC62" s="226"/>
      <c r="AD62" s="226"/>
      <c r="AE62" s="226"/>
      <c r="AF62" s="226"/>
      <c r="AG62" s="226"/>
      <c r="AH62" s="226"/>
      <c r="AI62" s="226"/>
      <c r="AJ62" s="226"/>
    </row>
    <row r="63" spans="1:36" s="13" customFormat="1">
      <c r="A63" s="11" t="s">
        <v>293</v>
      </c>
      <c r="B63" s="227"/>
      <c r="C63" s="226"/>
      <c r="D63" s="226"/>
      <c r="E63" s="226"/>
      <c r="F63" s="226"/>
      <c r="G63" s="226"/>
      <c r="H63" s="226"/>
      <c r="I63" s="226"/>
      <c r="J63" s="226" t="s">
        <v>94</v>
      </c>
      <c r="K63" s="226"/>
      <c r="L63" s="226"/>
      <c r="M63" s="226"/>
      <c r="N63" s="226"/>
      <c r="O63" s="226"/>
      <c r="P63" s="226"/>
      <c r="Q63" s="226"/>
      <c r="R63" s="226" t="s">
        <v>357</v>
      </c>
      <c r="S63" s="226"/>
      <c r="T63" s="226"/>
      <c r="U63" s="226" t="s">
        <v>530</v>
      </c>
      <c r="V63" s="226"/>
      <c r="W63" s="226"/>
      <c r="X63" s="226"/>
      <c r="Y63" s="226"/>
      <c r="Z63" s="226"/>
      <c r="AA63" s="226"/>
      <c r="AB63" s="226"/>
      <c r="AC63" s="226"/>
      <c r="AD63" s="226"/>
      <c r="AE63" s="226"/>
      <c r="AF63" s="226"/>
      <c r="AG63" s="226"/>
      <c r="AH63" s="226"/>
      <c r="AI63" s="226"/>
      <c r="AJ63" s="226"/>
    </row>
    <row r="64" spans="1:36" s="13" customFormat="1">
      <c r="A64" s="11" t="s">
        <v>293</v>
      </c>
      <c r="B64" s="227"/>
      <c r="C64" s="226"/>
      <c r="D64" s="226"/>
      <c r="E64" s="226"/>
      <c r="F64" s="226"/>
      <c r="G64" s="226"/>
      <c r="H64" s="226"/>
      <c r="I64" s="226"/>
      <c r="J64" s="226" t="s">
        <v>96</v>
      </c>
      <c r="K64" s="226"/>
      <c r="L64" s="226"/>
      <c r="M64" s="226"/>
      <c r="N64" s="226"/>
      <c r="O64" s="226"/>
      <c r="P64" s="226"/>
      <c r="Q64" s="226"/>
      <c r="R64" s="226" t="s">
        <v>356</v>
      </c>
      <c r="S64" s="226"/>
      <c r="T64" s="226"/>
      <c r="U64" s="226" t="s">
        <v>529</v>
      </c>
      <c r="V64" s="226"/>
      <c r="W64" s="226"/>
      <c r="X64" s="226"/>
      <c r="Y64" s="226"/>
      <c r="Z64" s="226"/>
      <c r="AA64" s="226"/>
      <c r="AB64" s="226"/>
      <c r="AC64" s="226"/>
      <c r="AD64" s="226"/>
      <c r="AE64" s="226"/>
      <c r="AF64" s="226"/>
      <c r="AG64" s="226"/>
      <c r="AH64" s="226"/>
      <c r="AI64" s="226"/>
      <c r="AJ64" s="226"/>
    </row>
    <row r="65" spans="1:36" s="13" customFormat="1">
      <c r="A65" s="11" t="s">
        <v>293</v>
      </c>
      <c r="B65" s="227"/>
      <c r="C65" s="226"/>
      <c r="D65" s="226"/>
      <c r="E65" s="226"/>
      <c r="F65" s="226"/>
      <c r="G65" s="226"/>
      <c r="H65" s="226"/>
      <c r="I65" s="226"/>
      <c r="J65" s="226" t="s">
        <v>81</v>
      </c>
      <c r="K65" s="226"/>
      <c r="L65" s="226"/>
      <c r="M65" s="226"/>
      <c r="N65" s="226"/>
      <c r="O65" s="226"/>
      <c r="P65" s="226"/>
      <c r="Q65" s="226"/>
      <c r="R65" s="226" t="s">
        <v>301</v>
      </c>
      <c r="S65" s="226"/>
      <c r="T65" s="226"/>
      <c r="U65" s="226" t="s">
        <v>528</v>
      </c>
      <c r="V65" s="226"/>
      <c r="W65" s="226"/>
      <c r="X65" s="226"/>
      <c r="Y65" s="226"/>
      <c r="Z65" s="226"/>
      <c r="AA65" s="226"/>
      <c r="AB65" s="226"/>
      <c r="AC65" s="226"/>
      <c r="AD65" s="226"/>
      <c r="AE65" s="226"/>
      <c r="AF65" s="226"/>
      <c r="AG65" s="226"/>
      <c r="AH65" s="226"/>
      <c r="AI65" s="226"/>
      <c r="AJ65" s="226"/>
    </row>
    <row r="66" spans="1:36" s="13" customFormat="1">
      <c r="A66" s="11" t="s">
        <v>293</v>
      </c>
      <c r="B66" s="227"/>
      <c r="C66" s="226"/>
      <c r="D66" s="226"/>
      <c r="E66" s="226"/>
      <c r="F66" s="226"/>
      <c r="G66" s="226"/>
      <c r="H66" s="226"/>
      <c r="I66" s="226"/>
      <c r="J66" s="226" t="s">
        <v>87</v>
      </c>
      <c r="K66" s="226"/>
      <c r="L66" s="226"/>
      <c r="M66" s="226"/>
      <c r="N66" s="226"/>
      <c r="O66" s="226"/>
      <c r="P66" s="226"/>
      <c r="Q66" s="226"/>
      <c r="R66" s="226" t="s">
        <v>360</v>
      </c>
      <c r="S66" s="226"/>
      <c r="T66" s="226"/>
      <c r="U66" s="226" t="s">
        <v>527</v>
      </c>
      <c r="V66" s="226"/>
      <c r="W66" s="226"/>
      <c r="X66" s="226"/>
      <c r="Y66" s="226"/>
      <c r="Z66" s="226"/>
      <c r="AA66" s="226"/>
      <c r="AB66" s="226"/>
      <c r="AC66" s="226"/>
      <c r="AD66" s="226"/>
      <c r="AE66" s="226"/>
      <c r="AF66" s="226"/>
      <c r="AG66" s="226"/>
      <c r="AH66" s="226"/>
      <c r="AI66" s="226"/>
      <c r="AJ66" s="226"/>
    </row>
    <row r="67" spans="1:36" s="13" customFormat="1">
      <c r="A67" s="11" t="s">
        <v>293</v>
      </c>
      <c r="B67" s="227"/>
      <c r="C67" s="226"/>
      <c r="D67" s="226"/>
      <c r="E67" s="226"/>
      <c r="F67" s="226"/>
      <c r="G67" s="226"/>
      <c r="H67" s="226"/>
      <c r="I67" s="226"/>
      <c r="J67" s="226" t="s">
        <v>13</v>
      </c>
      <c r="K67" s="226"/>
      <c r="L67" s="226"/>
      <c r="M67" s="226"/>
      <c r="N67" s="226"/>
      <c r="O67" s="226"/>
      <c r="P67" s="226"/>
      <c r="Q67" s="226"/>
      <c r="R67" s="226" t="s">
        <v>361</v>
      </c>
      <c r="S67" s="226"/>
      <c r="T67" s="226"/>
      <c r="U67" s="226" t="s">
        <v>1632</v>
      </c>
      <c r="V67" s="226"/>
      <c r="W67" s="226"/>
      <c r="X67" s="226"/>
      <c r="Y67" s="226"/>
      <c r="Z67" s="226"/>
      <c r="AA67" s="226"/>
      <c r="AB67" s="226"/>
      <c r="AC67" s="226"/>
      <c r="AD67" s="226"/>
      <c r="AE67" s="226"/>
      <c r="AF67" s="226"/>
      <c r="AG67" s="226"/>
      <c r="AH67" s="226"/>
      <c r="AI67" s="226"/>
      <c r="AJ67" s="226"/>
    </row>
    <row r="68" spans="1:36" s="13" customFormat="1">
      <c r="A68" s="11" t="s">
        <v>293</v>
      </c>
      <c r="B68" s="227"/>
      <c r="C68" s="226"/>
      <c r="D68" s="226"/>
      <c r="E68" s="226"/>
      <c r="F68" s="226"/>
      <c r="G68" s="226"/>
      <c r="H68" s="226"/>
      <c r="I68" s="226"/>
      <c r="J68" s="226" t="s">
        <v>4</v>
      </c>
      <c r="K68" s="226"/>
      <c r="L68" s="226"/>
      <c r="M68" s="226"/>
      <c r="N68" s="226"/>
      <c r="O68" s="226"/>
      <c r="P68" s="226"/>
      <c r="Q68" s="226"/>
      <c r="R68" s="226" t="s">
        <v>362</v>
      </c>
      <c r="S68" s="226"/>
      <c r="T68" s="226"/>
      <c r="U68" s="226" t="s">
        <v>1633</v>
      </c>
      <c r="V68" s="226"/>
      <c r="W68" s="226"/>
      <c r="X68" s="226"/>
      <c r="Y68" s="226"/>
      <c r="Z68" s="226"/>
      <c r="AA68" s="226"/>
      <c r="AB68" s="226"/>
      <c r="AC68" s="226"/>
      <c r="AD68" s="226"/>
      <c r="AE68" s="226"/>
      <c r="AF68" s="226"/>
      <c r="AG68" s="226"/>
      <c r="AH68" s="226"/>
      <c r="AI68" s="226"/>
      <c r="AJ68" s="226"/>
    </row>
    <row r="69" spans="1:36" s="13" customFormat="1">
      <c r="A69" s="11" t="s">
        <v>293</v>
      </c>
      <c r="B69" s="227"/>
      <c r="C69" s="226"/>
      <c r="D69" s="226"/>
      <c r="E69" s="226"/>
      <c r="F69" s="226"/>
      <c r="G69" s="226"/>
      <c r="H69" s="226"/>
      <c r="I69" s="226"/>
      <c r="J69" s="226" t="s">
        <v>6</v>
      </c>
      <c r="K69" s="226"/>
      <c r="L69" s="226"/>
      <c r="M69" s="226"/>
      <c r="N69" s="226"/>
      <c r="O69" s="226"/>
      <c r="P69" s="226"/>
      <c r="Q69" s="226"/>
      <c r="R69" s="226" t="s">
        <v>359</v>
      </c>
      <c r="S69" s="226"/>
      <c r="T69" s="226"/>
      <c r="U69" s="226" t="s">
        <v>542</v>
      </c>
      <c r="V69" s="226"/>
      <c r="W69" s="226"/>
      <c r="X69" s="226"/>
      <c r="Y69" s="226"/>
      <c r="Z69" s="226"/>
      <c r="AA69" s="226"/>
      <c r="AB69" s="226"/>
      <c r="AC69" s="226"/>
      <c r="AD69" s="226"/>
      <c r="AE69" s="226"/>
      <c r="AF69" s="226"/>
      <c r="AG69" s="226"/>
      <c r="AH69" s="226"/>
      <c r="AI69" s="226"/>
      <c r="AJ69" s="226"/>
    </row>
    <row r="70" spans="1:36" s="13" customFormat="1">
      <c r="A70" s="11" t="s">
        <v>293</v>
      </c>
      <c r="B70" s="227"/>
      <c r="C70" s="226"/>
      <c r="D70" s="226"/>
      <c r="E70" s="226"/>
      <c r="F70" s="226"/>
      <c r="G70" s="226"/>
      <c r="H70" s="226"/>
      <c r="I70" s="226"/>
      <c r="J70" s="226" t="s">
        <v>97</v>
      </c>
      <c r="K70" s="226"/>
      <c r="L70" s="226"/>
      <c r="M70" s="226"/>
      <c r="N70" s="226"/>
      <c r="O70" s="226"/>
      <c r="P70" s="226"/>
      <c r="Q70" s="226"/>
      <c r="R70" s="226" t="s">
        <v>364</v>
      </c>
      <c r="S70" s="226"/>
      <c r="T70" s="226"/>
      <c r="U70" s="226" t="s">
        <v>541</v>
      </c>
      <c r="V70" s="226"/>
      <c r="W70" s="226"/>
      <c r="X70" s="226"/>
      <c r="Y70" s="226"/>
      <c r="Z70" s="226"/>
      <c r="AA70" s="226"/>
      <c r="AB70" s="226"/>
      <c r="AC70" s="226"/>
      <c r="AD70" s="226"/>
      <c r="AE70" s="226"/>
      <c r="AF70" s="226"/>
      <c r="AG70" s="226"/>
      <c r="AH70" s="226"/>
      <c r="AI70" s="226"/>
      <c r="AJ70" s="226"/>
    </row>
    <row r="71" spans="1:36" s="13" customFormat="1">
      <c r="A71" s="11" t="s">
        <v>293</v>
      </c>
      <c r="B71" s="227"/>
      <c r="C71" s="226"/>
      <c r="D71" s="226"/>
      <c r="E71" s="226"/>
      <c r="F71" s="226"/>
      <c r="G71" s="226"/>
      <c r="H71" s="226"/>
      <c r="I71" s="226"/>
      <c r="J71" s="226" t="s">
        <v>5</v>
      </c>
      <c r="K71" s="226"/>
      <c r="L71" s="226"/>
      <c r="M71" s="226"/>
      <c r="N71" s="226"/>
      <c r="O71" s="226"/>
      <c r="P71" s="226"/>
      <c r="Q71" s="226"/>
      <c r="R71" s="226" t="s">
        <v>363</v>
      </c>
      <c r="S71" s="226"/>
      <c r="T71" s="226"/>
      <c r="U71" s="226" t="s">
        <v>543</v>
      </c>
      <c r="V71" s="226"/>
      <c r="W71" s="226"/>
      <c r="X71" s="226"/>
      <c r="Y71" s="226"/>
      <c r="Z71" s="226"/>
      <c r="AA71" s="226"/>
      <c r="AB71" s="226"/>
      <c r="AC71" s="226"/>
      <c r="AD71" s="226"/>
      <c r="AE71" s="226"/>
      <c r="AF71" s="226"/>
      <c r="AG71" s="226"/>
      <c r="AH71" s="226"/>
      <c r="AI71" s="226"/>
      <c r="AJ71" s="226"/>
    </row>
    <row r="72" spans="1:36" s="13" customFormat="1">
      <c r="A72" s="11" t="s">
        <v>293</v>
      </c>
      <c r="B72" s="227"/>
      <c r="C72" s="226"/>
      <c r="D72" s="226"/>
      <c r="E72" s="226"/>
      <c r="F72" s="226"/>
      <c r="G72" s="226"/>
      <c r="H72" s="226"/>
      <c r="I72" s="226"/>
      <c r="J72" s="226" t="s">
        <v>98</v>
      </c>
      <c r="K72" s="226"/>
      <c r="L72" s="226"/>
      <c r="M72" s="226"/>
      <c r="N72" s="226"/>
      <c r="O72" s="226"/>
      <c r="P72" s="226"/>
      <c r="Q72" s="226"/>
      <c r="R72" s="226" t="s">
        <v>365</v>
      </c>
      <c r="S72" s="226"/>
      <c r="T72" s="226"/>
      <c r="U72" s="226" t="s">
        <v>540</v>
      </c>
      <c r="V72" s="226"/>
      <c r="W72" s="226"/>
      <c r="X72" s="226"/>
      <c r="Y72" s="226"/>
      <c r="Z72" s="226"/>
      <c r="AA72" s="226"/>
      <c r="AB72" s="226"/>
      <c r="AC72" s="226"/>
      <c r="AD72" s="226"/>
      <c r="AE72" s="226"/>
      <c r="AF72" s="226"/>
      <c r="AG72" s="226"/>
      <c r="AH72" s="226"/>
      <c r="AI72" s="226"/>
      <c r="AJ72" s="226"/>
    </row>
    <row r="73" spans="1:36" s="13" customFormat="1">
      <c r="A73" s="11" t="s">
        <v>293</v>
      </c>
      <c r="B73" s="227"/>
      <c r="C73" s="226"/>
      <c r="D73" s="226"/>
      <c r="E73" s="226"/>
      <c r="F73" s="226"/>
      <c r="G73" s="226"/>
      <c r="H73" s="226"/>
      <c r="I73" s="226"/>
      <c r="J73" s="226" t="s">
        <v>99</v>
      </c>
      <c r="K73" s="226"/>
      <c r="L73" s="226"/>
      <c r="M73" s="226"/>
      <c r="N73" s="226"/>
      <c r="O73" s="226"/>
      <c r="P73" s="226"/>
      <c r="Q73" s="226"/>
      <c r="R73" s="226" t="s">
        <v>368</v>
      </c>
      <c r="S73" s="226"/>
      <c r="T73" s="226"/>
      <c r="U73" s="226" t="s">
        <v>546</v>
      </c>
      <c r="V73" s="226"/>
      <c r="W73" s="226"/>
      <c r="X73" s="226"/>
      <c r="Y73" s="226"/>
      <c r="Z73" s="226"/>
      <c r="AA73" s="226"/>
      <c r="AB73" s="226"/>
      <c r="AC73" s="226"/>
      <c r="AD73" s="226"/>
      <c r="AE73" s="226"/>
      <c r="AF73" s="226"/>
      <c r="AG73" s="226"/>
      <c r="AH73" s="226"/>
      <c r="AI73" s="226"/>
      <c r="AJ73" s="226"/>
    </row>
    <row r="74" spans="1:36" s="13" customFormat="1">
      <c r="A74" s="11" t="s">
        <v>293</v>
      </c>
      <c r="B74" s="227"/>
      <c r="C74" s="226"/>
      <c r="D74" s="226"/>
      <c r="E74" s="226"/>
      <c r="F74" s="226"/>
      <c r="G74" s="226"/>
      <c r="H74" s="226"/>
      <c r="I74" s="226"/>
      <c r="J74" s="226" t="s">
        <v>48</v>
      </c>
      <c r="K74" s="226"/>
      <c r="L74" s="226"/>
      <c r="M74" s="226"/>
      <c r="N74" s="226"/>
      <c r="O74" s="226"/>
      <c r="P74" s="226"/>
      <c r="Q74" s="226"/>
      <c r="R74" s="226" t="s">
        <v>367</v>
      </c>
      <c r="S74" s="226"/>
      <c r="T74" s="226"/>
      <c r="U74" s="226" t="s">
        <v>539</v>
      </c>
      <c r="V74" s="226"/>
      <c r="W74" s="226"/>
      <c r="X74" s="226"/>
      <c r="Y74" s="226"/>
      <c r="Z74" s="226"/>
      <c r="AA74" s="226"/>
      <c r="AB74" s="226"/>
      <c r="AC74" s="226"/>
      <c r="AD74" s="226"/>
      <c r="AE74" s="226"/>
      <c r="AF74" s="226"/>
      <c r="AG74" s="226"/>
      <c r="AH74" s="226"/>
      <c r="AI74" s="226"/>
      <c r="AJ74" s="226"/>
    </row>
    <row r="75" spans="1:36" s="13" customFormat="1">
      <c r="A75" s="11" t="s">
        <v>293</v>
      </c>
      <c r="B75" s="227"/>
      <c r="C75" s="226"/>
      <c r="D75" s="226"/>
      <c r="E75" s="226"/>
      <c r="F75" s="226"/>
      <c r="G75" s="226"/>
      <c r="H75" s="226"/>
      <c r="I75" s="226"/>
      <c r="J75" s="226" t="s">
        <v>100</v>
      </c>
      <c r="K75" s="226"/>
      <c r="L75" s="226"/>
      <c r="M75" s="226"/>
      <c r="N75" s="226"/>
      <c r="O75" s="226"/>
      <c r="P75" s="226"/>
      <c r="Q75" s="226"/>
      <c r="R75" s="226" t="s">
        <v>345</v>
      </c>
      <c r="S75" s="226"/>
      <c r="T75" s="226"/>
      <c r="U75" s="226" t="s">
        <v>538</v>
      </c>
      <c r="V75" s="226"/>
      <c r="W75" s="226"/>
      <c r="X75" s="226"/>
      <c r="Y75" s="226"/>
      <c r="Z75" s="226"/>
      <c r="AA75" s="226"/>
      <c r="AB75" s="226"/>
      <c r="AC75" s="226"/>
      <c r="AD75" s="226"/>
      <c r="AE75" s="226"/>
      <c r="AF75" s="226"/>
      <c r="AG75" s="226"/>
      <c r="AH75" s="226"/>
      <c r="AI75" s="226"/>
      <c r="AJ75" s="226"/>
    </row>
    <row r="76" spans="1:36" s="13" customFormat="1">
      <c r="A76" s="11" t="s">
        <v>293</v>
      </c>
      <c r="B76" s="227"/>
      <c r="C76" s="226"/>
      <c r="D76" s="226"/>
      <c r="E76" s="226"/>
      <c r="F76" s="226"/>
      <c r="G76" s="226"/>
      <c r="H76" s="226"/>
      <c r="I76" s="226"/>
      <c r="J76" s="226" t="s">
        <v>7</v>
      </c>
      <c r="K76" s="226"/>
      <c r="L76" s="226"/>
      <c r="M76" s="226"/>
      <c r="N76" s="226"/>
      <c r="O76" s="226"/>
      <c r="P76" s="226"/>
      <c r="Q76" s="226"/>
      <c r="R76" s="226" t="s">
        <v>366</v>
      </c>
      <c r="S76" s="226"/>
      <c r="T76" s="226"/>
      <c r="U76" s="226" t="s">
        <v>545</v>
      </c>
      <c r="V76" s="226"/>
      <c r="W76" s="226"/>
      <c r="X76" s="226"/>
      <c r="Y76" s="226"/>
      <c r="Z76" s="226"/>
      <c r="AA76" s="226"/>
      <c r="AB76" s="226"/>
      <c r="AC76" s="226"/>
      <c r="AD76" s="226"/>
      <c r="AE76" s="226"/>
      <c r="AF76" s="226"/>
      <c r="AG76" s="226"/>
      <c r="AH76" s="226"/>
      <c r="AI76" s="226"/>
      <c r="AJ76" s="226"/>
    </row>
    <row r="77" spans="1:36" s="13" customFormat="1">
      <c r="A77" s="11" t="s">
        <v>293</v>
      </c>
      <c r="B77" s="227"/>
      <c r="C77" s="226"/>
      <c r="D77" s="226"/>
      <c r="E77" s="226"/>
      <c r="F77" s="226"/>
      <c r="G77" s="226"/>
      <c r="H77" s="226"/>
      <c r="I77" s="226"/>
      <c r="J77" s="226" t="s">
        <v>101</v>
      </c>
      <c r="K77" s="226"/>
      <c r="L77" s="226"/>
      <c r="M77" s="226"/>
      <c r="N77" s="226"/>
      <c r="O77" s="226"/>
      <c r="P77" s="226"/>
      <c r="Q77" s="226"/>
      <c r="R77" s="226" t="s">
        <v>369</v>
      </c>
      <c r="S77" s="226"/>
      <c r="T77" s="226"/>
      <c r="U77" s="226" t="s">
        <v>544</v>
      </c>
      <c r="V77" s="226"/>
      <c r="W77" s="226"/>
      <c r="X77" s="226"/>
      <c r="Y77" s="226"/>
      <c r="Z77" s="226"/>
      <c r="AA77" s="226"/>
      <c r="AB77" s="226"/>
      <c r="AC77" s="226"/>
      <c r="AD77" s="226"/>
      <c r="AE77" s="226"/>
      <c r="AF77" s="226"/>
      <c r="AG77" s="226"/>
      <c r="AH77" s="226"/>
      <c r="AI77" s="226"/>
      <c r="AJ77" s="226"/>
    </row>
    <row r="78" spans="1:36" s="13" customFormat="1">
      <c r="A78" s="11" t="s">
        <v>293</v>
      </c>
      <c r="B78" s="227"/>
      <c r="C78" s="226"/>
      <c r="D78" s="226"/>
      <c r="E78" s="226"/>
      <c r="F78" s="226"/>
      <c r="G78" s="226"/>
      <c r="H78" s="226"/>
      <c r="I78" s="226"/>
      <c r="J78" s="226" t="s">
        <v>262</v>
      </c>
      <c r="K78" s="226"/>
      <c r="L78" s="226"/>
      <c r="M78" s="226"/>
      <c r="N78" s="226"/>
      <c r="O78" s="226"/>
      <c r="P78" s="226"/>
      <c r="Q78" s="226"/>
      <c r="R78" s="226" t="s">
        <v>371</v>
      </c>
      <c r="S78" s="226"/>
      <c r="T78" s="226"/>
      <c r="U78" s="228" t="s">
        <v>520</v>
      </c>
      <c r="V78" s="228"/>
      <c r="W78" s="226"/>
      <c r="X78" s="226"/>
      <c r="Y78" s="226"/>
      <c r="Z78" s="226"/>
      <c r="AA78" s="226"/>
      <c r="AB78" s="226"/>
      <c r="AC78" s="226"/>
      <c r="AD78" s="226"/>
      <c r="AE78" s="226"/>
      <c r="AF78" s="226"/>
      <c r="AG78" s="226"/>
      <c r="AH78" s="226"/>
      <c r="AI78" s="226"/>
      <c r="AJ78" s="226"/>
    </row>
    <row r="79" spans="1:36" s="13" customFormat="1">
      <c r="A79" s="11" t="s">
        <v>293</v>
      </c>
      <c r="B79" s="227"/>
      <c r="C79" s="226"/>
      <c r="D79" s="226"/>
      <c r="E79" s="226"/>
      <c r="F79" s="226"/>
      <c r="G79" s="226"/>
      <c r="H79" s="226"/>
      <c r="I79" s="226"/>
      <c r="J79" s="226" t="s">
        <v>104</v>
      </c>
      <c r="K79" s="226"/>
      <c r="L79" s="226"/>
      <c r="M79" s="226"/>
      <c r="N79" s="226"/>
      <c r="O79" s="226"/>
      <c r="P79" s="226"/>
      <c r="Q79" s="226"/>
      <c r="R79" s="226" t="s">
        <v>375</v>
      </c>
      <c r="S79" s="226"/>
      <c r="T79" s="226"/>
      <c r="U79" s="11"/>
      <c r="V79" s="11"/>
      <c r="W79" s="226"/>
      <c r="X79" s="226"/>
      <c r="Y79" s="226"/>
      <c r="Z79" s="226"/>
      <c r="AA79" s="226"/>
      <c r="AB79" s="226"/>
      <c r="AC79" s="226"/>
      <c r="AD79" s="226"/>
      <c r="AE79" s="226"/>
      <c r="AF79" s="226"/>
      <c r="AG79" s="226"/>
      <c r="AH79" s="226"/>
      <c r="AI79" s="226"/>
      <c r="AJ79" s="226"/>
    </row>
    <row r="80" spans="1:36" s="13" customFormat="1">
      <c r="A80" s="11" t="s">
        <v>293</v>
      </c>
      <c r="B80" s="227"/>
      <c r="C80" s="226"/>
      <c r="D80" s="226"/>
      <c r="E80" s="226"/>
      <c r="F80" s="226"/>
      <c r="G80" s="226"/>
      <c r="H80" s="226"/>
      <c r="I80" s="226"/>
      <c r="J80" s="226" t="s">
        <v>9</v>
      </c>
      <c r="K80" s="226"/>
      <c r="L80" s="226"/>
      <c r="M80" s="226"/>
      <c r="N80" s="226"/>
      <c r="O80" s="226"/>
      <c r="P80" s="226"/>
      <c r="Q80" s="226"/>
      <c r="R80" s="226" t="s">
        <v>320</v>
      </c>
      <c r="S80" s="226"/>
      <c r="T80" s="226"/>
      <c r="U80" s="226"/>
      <c r="V80" s="226"/>
      <c r="W80" s="226"/>
      <c r="X80" s="226"/>
      <c r="Y80" s="226"/>
      <c r="Z80" s="226"/>
      <c r="AA80" s="226"/>
      <c r="AB80" s="226"/>
      <c r="AC80" s="226"/>
      <c r="AD80" s="226"/>
      <c r="AE80" s="226"/>
      <c r="AF80" s="226"/>
      <c r="AG80" s="226"/>
      <c r="AH80" s="226"/>
      <c r="AI80" s="226"/>
      <c r="AJ80" s="226"/>
    </row>
    <row r="81" spans="1:36" s="13" customFormat="1">
      <c r="A81" s="11" t="s">
        <v>293</v>
      </c>
      <c r="B81" s="227"/>
      <c r="C81" s="226"/>
      <c r="D81" s="226"/>
      <c r="E81" s="226"/>
      <c r="F81" s="226"/>
      <c r="G81" s="226"/>
      <c r="H81" s="226"/>
      <c r="I81" s="226"/>
      <c r="J81" s="226" t="s">
        <v>105</v>
      </c>
      <c r="K81" s="226"/>
      <c r="L81" s="226"/>
      <c r="M81" s="226"/>
      <c r="N81" s="226"/>
      <c r="O81" s="226"/>
      <c r="P81" s="226"/>
      <c r="Q81" s="226"/>
      <c r="R81" s="226" t="s">
        <v>374</v>
      </c>
      <c r="S81" s="226"/>
      <c r="T81" s="226"/>
      <c r="U81" s="226"/>
      <c r="V81" s="226"/>
      <c r="W81" s="226"/>
      <c r="X81" s="226"/>
      <c r="Y81" s="226"/>
      <c r="Z81" s="226"/>
      <c r="AA81" s="226"/>
      <c r="AB81" s="226"/>
      <c r="AC81" s="226"/>
      <c r="AD81" s="226"/>
      <c r="AE81" s="226"/>
      <c r="AF81" s="226"/>
      <c r="AG81" s="226"/>
      <c r="AH81" s="226"/>
      <c r="AI81" s="226"/>
      <c r="AJ81" s="226"/>
    </row>
    <row r="82" spans="1:36" s="13" customFormat="1">
      <c r="A82" s="11" t="s">
        <v>293</v>
      </c>
      <c r="B82" s="227"/>
      <c r="C82" s="226"/>
      <c r="D82" s="226"/>
      <c r="E82" s="226"/>
      <c r="F82" s="226"/>
      <c r="G82" s="226"/>
      <c r="H82" s="226"/>
      <c r="I82" s="226"/>
      <c r="J82" s="226" t="s">
        <v>25</v>
      </c>
      <c r="K82" s="226"/>
      <c r="L82" s="226"/>
      <c r="M82" s="226"/>
      <c r="N82" s="226"/>
      <c r="O82" s="226"/>
      <c r="P82" s="226"/>
      <c r="Q82" s="226"/>
      <c r="R82" s="226" t="s">
        <v>373</v>
      </c>
      <c r="S82" s="226"/>
      <c r="T82" s="226"/>
      <c r="U82" s="226"/>
      <c r="V82" s="226"/>
      <c r="W82" s="226"/>
      <c r="X82" s="226"/>
      <c r="Y82" s="226"/>
      <c r="Z82" s="226"/>
      <c r="AA82" s="226"/>
      <c r="AB82" s="226"/>
      <c r="AC82" s="226"/>
      <c r="AD82" s="226"/>
      <c r="AE82" s="226"/>
      <c r="AF82" s="226"/>
      <c r="AG82" s="226"/>
      <c r="AH82" s="226"/>
      <c r="AI82" s="226"/>
      <c r="AJ82" s="226"/>
    </row>
    <row r="83" spans="1:36" s="13" customFormat="1">
      <c r="A83" s="11" t="s">
        <v>293</v>
      </c>
      <c r="B83" s="227"/>
      <c r="C83" s="226"/>
      <c r="D83" s="226"/>
      <c r="E83" s="226"/>
      <c r="F83" s="226"/>
      <c r="G83" s="226"/>
      <c r="H83" s="226"/>
      <c r="I83" s="226"/>
      <c r="J83" s="226" t="s">
        <v>108</v>
      </c>
      <c r="K83" s="226"/>
      <c r="L83" s="226"/>
      <c r="M83" s="226"/>
      <c r="N83" s="226"/>
      <c r="O83" s="226"/>
      <c r="P83" s="226"/>
      <c r="Q83" s="226"/>
      <c r="R83" s="226" t="s">
        <v>370</v>
      </c>
      <c r="S83" s="226"/>
      <c r="T83" s="226"/>
      <c r="U83" s="226"/>
      <c r="V83" s="226"/>
      <c r="W83" s="226"/>
      <c r="X83" s="226"/>
      <c r="Y83" s="226"/>
      <c r="Z83" s="226"/>
      <c r="AA83" s="226"/>
      <c r="AB83" s="226"/>
      <c r="AC83" s="226"/>
      <c r="AD83" s="226"/>
      <c r="AE83" s="226"/>
      <c r="AF83" s="226"/>
      <c r="AG83" s="226"/>
      <c r="AH83" s="226"/>
      <c r="AI83" s="226"/>
      <c r="AJ83" s="226"/>
    </row>
    <row r="84" spans="1:36" s="13" customFormat="1">
      <c r="A84" s="11" t="s">
        <v>293</v>
      </c>
      <c r="B84" s="227"/>
      <c r="C84" s="226"/>
      <c r="D84" s="226"/>
      <c r="E84" s="226"/>
      <c r="F84" s="226"/>
      <c r="G84" s="226"/>
      <c r="H84" s="226"/>
      <c r="I84" s="226"/>
      <c r="J84" s="226" t="s">
        <v>106</v>
      </c>
      <c r="K84" s="226"/>
      <c r="L84" s="226"/>
      <c r="M84" s="226"/>
      <c r="N84" s="226"/>
      <c r="O84" s="226"/>
      <c r="P84" s="226"/>
      <c r="Q84" s="226"/>
      <c r="R84" s="226" t="s">
        <v>376</v>
      </c>
      <c r="S84" s="226"/>
      <c r="T84" s="226"/>
      <c r="U84" s="226"/>
      <c r="V84" s="226"/>
      <c r="W84" s="226"/>
      <c r="X84" s="226"/>
      <c r="Y84" s="226"/>
      <c r="Z84" s="226"/>
      <c r="AA84" s="226"/>
      <c r="AB84" s="226"/>
      <c r="AC84" s="226"/>
      <c r="AD84" s="226"/>
      <c r="AE84" s="226"/>
      <c r="AF84" s="226"/>
      <c r="AG84" s="226"/>
      <c r="AH84" s="226"/>
      <c r="AI84" s="226"/>
      <c r="AJ84" s="226"/>
    </row>
    <row r="85" spans="1:36" s="13" customFormat="1">
      <c r="A85" s="11" t="s">
        <v>293</v>
      </c>
      <c r="B85" s="227"/>
      <c r="C85" s="226"/>
      <c r="D85" s="226"/>
      <c r="E85" s="226"/>
      <c r="F85" s="226"/>
      <c r="G85" s="226"/>
      <c r="H85" s="226"/>
      <c r="I85" s="226"/>
      <c r="J85" s="226" t="s">
        <v>169</v>
      </c>
      <c r="K85" s="226"/>
      <c r="L85" s="226"/>
      <c r="M85" s="226"/>
      <c r="N85" s="226"/>
      <c r="O85" s="226"/>
      <c r="P85" s="226"/>
      <c r="Q85" s="226"/>
      <c r="R85" s="226" t="s">
        <v>378</v>
      </c>
      <c r="S85" s="226"/>
      <c r="T85" s="226"/>
      <c r="U85" s="226"/>
      <c r="V85" s="226"/>
      <c r="W85" s="226"/>
      <c r="X85" s="226"/>
      <c r="Y85" s="226"/>
      <c r="Z85" s="226"/>
      <c r="AA85" s="226"/>
      <c r="AB85" s="226"/>
      <c r="AC85" s="226"/>
      <c r="AD85" s="226"/>
      <c r="AE85" s="226"/>
      <c r="AF85" s="226"/>
      <c r="AG85" s="226"/>
      <c r="AH85" s="226"/>
      <c r="AI85" s="226"/>
      <c r="AJ85" s="226"/>
    </row>
    <row r="86" spans="1:36" s="13" customFormat="1">
      <c r="A86" s="11" t="s">
        <v>293</v>
      </c>
      <c r="B86" s="227"/>
      <c r="C86" s="226"/>
      <c r="D86" s="226"/>
      <c r="E86" s="226"/>
      <c r="F86" s="226"/>
      <c r="G86" s="226"/>
      <c r="H86" s="226"/>
      <c r="I86" s="226"/>
      <c r="J86" s="226" t="s">
        <v>107</v>
      </c>
      <c r="K86" s="226"/>
      <c r="L86" s="226"/>
      <c r="M86" s="226"/>
      <c r="N86" s="226"/>
      <c r="O86" s="226"/>
      <c r="P86" s="226"/>
      <c r="Q86" s="226"/>
      <c r="R86" s="226" t="s">
        <v>377</v>
      </c>
      <c r="S86" s="226"/>
      <c r="T86" s="226"/>
      <c r="U86" s="226"/>
      <c r="V86" s="226"/>
      <c r="W86" s="226"/>
      <c r="X86" s="226"/>
      <c r="Y86" s="226"/>
      <c r="Z86" s="226"/>
      <c r="AA86" s="226"/>
      <c r="AB86" s="226"/>
      <c r="AC86" s="226"/>
      <c r="AD86" s="226"/>
      <c r="AE86" s="226"/>
      <c r="AF86" s="226"/>
      <c r="AG86" s="226"/>
      <c r="AH86" s="226"/>
      <c r="AI86" s="226"/>
      <c r="AJ86" s="226"/>
    </row>
    <row r="87" spans="1:36" s="13" customFormat="1">
      <c r="A87" s="11" t="s">
        <v>293</v>
      </c>
      <c r="B87" s="227"/>
      <c r="C87" s="226"/>
      <c r="D87" s="226"/>
      <c r="E87" s="226"/>
      <c r="F87" s="226"/>
      <c r="G87" s="226"/>
      <c r="H87" s="226"/>
      <c r="I87" s="226"/>
      <c r="J87" s="226" t="s">
        <v>10</v>
      </c>
      <c r="K87" s="226"/>
      <c r="L87" s="226"/>
      <c r="M87" s="226"/>
      <c r="N87" s="226"/>
      <c r="O87" s="226"/>
      <c r="P87" s="226"/>
      <c r="Q87" s="226"/>
      <c r="R87" s="226" t="s">
        <v>380</v>
      </c>
      <c r="S87" s="226"/>
      <c r="T87" s="226"/>
      <c r="U87" s="226"/>
      <c r="V87" s="226"/>
      <c r="W87" s="226"/>
      <c r="X87" s="226"/>
      <c r="Y87" s="226"/>
      <c r="Z87" s="226"/>
      <c r="AA87" s="226"/>
      <c r="AB87" s="226"/>
      <c r="AC87" s="226"/>
      <c r="AD87" s="226"/>
      <c r="AE87" s="226"/>
      <c r="AF87" s="226"/>
      <c r="AG87" s="226"/>
      <c r="AH87" s="226"/>
      <c r="AI87" s="226"/>
      <c r="AJ87" s="226"/>
    </row>
    <row r="88" spans="1:36" s="13" customFormat="1">
      <c r="A88" s="11" t="s">
        <v>293</v>
      </c>
      <c r="B88" s="227"/>
      <c r="C88" s="226"/>
      <c r="D88" s="226"/>
      <c r="E88" s="226"/>
      <c r="F88" s="226"/>
      <c r="G88" s="226"/>
      <c r="H88" s="226"/>
      <c r="I88" s="226"/>
      <c r="J88" s="226" t="s">
        <v>112</v>
      </c>
      <c r="K88" s="226"/>
      <c r="L88" s="226"/>
      <c r="M88" s="226"/>
      <c r="N88" s="226"/>
      <c r="O88" s="226"/>
      <c r="P88" s="226"/>
      <c r="Q88" s="226"/>
      <c r="R88" s="226" t="s">
        <v>384</v>
      </c>
      <c r="S88" s="226"/>
      <c r="T88" s="226"/>
      <c r="U88" s="226"/>
      <c r="V88" s="226"/>
      <c r="W88" s="226"/>
      <c r="X88" s="226"/>
      <c r="Y88" s="226"/>
      <c r="Z88" s="226"/>
      <c r="AA88" s="226"/>
      <c r="AB88" s="226"/>
      <c r="AC88" s="226"/>
      <c r="AD88" s="226"/>
      <c r="AE88" s="226"/>
      <c r="AF88" s="226"/>
      <c r="AG88" s="226"/>
      <c r="AH88" s="226"/>
      <c r="AI88" s="226"/>
      <c r="AJ88" s="226"/>
    </row>
    <row r="89" spans="1:36" s="13" customFormat="1">
      <c r="A89" s="11" t="s">
        <v>293</v>
      </c>
      <c r="B89" s="227"/>
      <c r="C89" s="226"/>
      <c r="D89" s="226"/>
      <c r="E89" s="226"/>
      <c r="F89" s="226"/>
      <c r="G89" s="226"/>
      <c r="H89" s="226"/>
      <c r="I89" s="226"/>
      <c r="J89" s="226" t="s">
        <v>251</v>
      </c>
      <c r="K89" s="226"/>
      <c r="L89" s="226"/>
      <c r="M89" s="226"/>
      <c r="N89" s="226"/>
      <c r="O89" s="226"/>
      <c r="P89" s="226"/>
      <c r="Q89" s="226"/>
      <c r="R89" s="226" t="s">
        <v>332</v>
      </c>
      <c r="S89" s="226"/>
      <c r="T89" s="226"/>
      <c r="U89" s="226"/>
      <c r="V89" s="226"/>
      <c r="W89" s="226"/>
      <c r="X89" s="226"/>
      <c r="Y89" s="226"/>
      <c r="Z89" s="226"/>
      <c r="AA89" s="226"/>
      <c r="AB89" s="226"/>
      <c r="AC89" s="226"/>
      <c r="AD89" s="226"/>
      <c r="AE89" s="226"/>
      <c r="AF89" s="226"/>
      <c r="AG89" s="226"/>
      <c r="AH89" s="226"/>
      <c r="AI89" s="226"/>
      <c r="AJ89" s="226"/>
    </row>
    <row r="90" spans="1:36" s="13" customFormat="1">
      <c r="A90" s="11" t="s">
        <v>293</v>
      </c>
      <c r="B90" s="227"/>
      <c r="C90" s="226"/>
      <c r="D90" s="226"/>
      <c r="E90" s="226"/>
      <c r="F90" s="226"/>
      <c r="G90" s="226"/>
      <c r="H90" s="226"/>
      <c r="I90" s="226"/>
      <c r="J90" s="226" t="s">
        <v>119</v>
      </c>
      <c r="K90" s="226"/>
      <c r="L90" s="226"/>
      <c r="M90" s="226"/>
      <c r="N90" s="226"/>
      <c r="O90" s="226"/>
      <c r="P90" s="226"/>
      <c r="Q90" s="226"/>
      <c r="R90" s="226" t="s">
        <v>341</v>
      </c>
      <c r="S90" s="226"/>
      <c r="T90" s="226"/>
      <c r="U90" s="226"/>
      <c r="V90" s="226"/>
      <c r="W90" s="226"/>
      <c r="X90" s="226"/>
      <c r="Y90" s="226"/>
      <c r="Z90" s="226"/>
      <c r="AA90" s="226"/>
      <c r="AB90" s="226"/>
      <c r="AC90" s="226"/>
      <c r="AD90" s="226"/>
      <c r="AE90" s="226"/>
      <c r="AF90" s="226"/>
      <c r="AG90" s="226"/>
      <c r="AH90" s="226"/>
      <c r="AI90" s="226"/>
      <c r="AJ90" s="226"/>
    </row>
    <row r="91" spans="1:36" s="13" customFormat="1">
      <c r="A91" s="11" t="s">
        <v>293</v>
      </c>
      <c r="B91" s="227"/>
      <c r="C91" s="226"/>
      <c r="D91" s="226"/>
      <c r="E91" s="226"/>
      <c r="F91" s="226"/>
      <c r="G91" s="226"/>
      <c r="H91" s="226"/>
      <c r="I91" s="226"/>
      <c r="J91" s="226" t="s">
        <v>114</v>
      </c>
      <c r="K91" s="226"/>
      <c r="L91" s="226"/>
      <c r="M91" s="226"/>
      <c r="N91" s="226"/>
      <c r="O91" s="226"/>
      <c r="P91" s="226"/>
      <c r="Q91" s="226"/>
      <c r="R91" s="226" t="s">
        <v>381</v>
      </c>
      <c r="S91" s="226"/>
      <c r="T91" s="226"/>
      <c r="U91" s="226"/>
      <c r="V91" s="226"/>
      <c r="W91" s="226"/>
      <c r="X91" s="226"/>
      <c r="Y91" s="226"/>
      <c r="Z91" s="226"/>
      <c r="AA91" s="226"/>
      <c r="AB91" s="226"/>
      <c r="AC91" s="226"/>
      <c r="AD91" s="226"/>
      <c r="AE91" s="226"/>
      <c r="AF91" s="226"/>
      <c r="AG91" s="226"/>
      <c r="AH91" s="226"/>
      <c r="AI91" s="226"/>
      <c r="AJ91" s="226"/>
    </row>
    <row r="92" spans="1:36" s="13" customFormat="1">
      <c r="A92" s="11" t="s">
        <v>293</v>
      </c>
      <c r="B92" s="227"/>
      <c r="C92" s="226"/>
      <c r="D92" s="226"/>
      <c r="E92" s="226"/>
      <c r="F92" s="226"/>
      <c r="G92" s="226"/>
      <c r="H92" s="226"/>
      <c r="I92" s="226"/>
      <c r="J92" s="226" t="s">
        <v>109</v>
      </c>
      <c r="K92" s="226"/>
      <c r="L92" s="226"/>
      <c r="M92" s="226"/>
      <c r="N92" s="226"/>
      <c r="O92" s="226"/>
      <c r="P92" s="226"/>
      <c r="Q92" s="226"/>
      <c r="R92" s="226" t="s">
        <v>382</v>
      </c>
      <c r="S92" s="226"/>
      <c r="T92" s="226"/>
      <c r="U92" s="226"/>
      <c r="V92" s="226"/>
      <c r="W92" s="226"/>
      <c r="X92" s="226"/>
      <c r="Y92" s="226"/>
      <c r="Z92" s="226"/>
      <c r="AA92" s="226"/>
      <c r="AB92" s="226"/>
      <c r="AC92" s="226"/>
      <c r="AD92" s="226"/>
      <c r="AE92" s="226"/>
      <c r="AF92" s="226"/>
      <c r="AG92" s="226"/>
      <c r="AH92" s="226"/>
      <c r="AI92" s="226"/>
      <c r="AJ92" s="226"/>
    </row>
    <row r="93" spans="1:36" s="13" customFormat="1">
      <c r="A93" s="11" t="s">
        <v>293</v>
      </c>
      <c r="B93" s="227"/>
      <c r="C93" s="226"/>
      <c r="D93" s="226"/>
      <c r="E93" s="226"/>
      <c r="F93" s="226"/>
      <c r="G93" s="226"/>
      <c r="H93" s="226"/>
      <c r="I93" s="226"/>
      <c r="J93" s="226" t="s">
        <v>123</v>
      </c>
      <c r="K93" s="226"/>
      <c r="L93" s="226"/>
      <c r="M93" s="226"/>
      <c r="N93" s="226"/>
      <c r="O93" s="226"/>
      <c r="P93" s="226"/>
      <c r="Q93" s="226"/>
      <c r="R93" s="226" t="s">
        <v>383</v>
      </c>
      <c r="S93" s="226"/>
      <c r="T93" s="226"/>
      <c r="U93" s="226"/>
      <c r="V93" s="226"/>
      <c r="W93" s="226"/>
      <c r="X93" s="226"/>
      <c r="Y93" s="226"/>
      <c r="Z93" s="226"/>
      <c r="AA93" s="226"/>
      <c r="AB93" s="226"/>
      <c r="AC93" s="226"/>
      <c r="AD93" s="226"/>
      <c r="AE93" s="226"/>
      <c r="AF93" s="226"/>
      <c r="AG93" s="226"/>
      <c r="AH93" s="226"/>
      <c r="AI93" s="226"/>
      <c r="AJ93" s="226"/>
    </row>
    <row r="94" spans="1:36" s="13" customFormat="1">
      <c r="A94" s="11" t="s">
        <v>293</v>
      </c>
      <c r="B94" s="227"/>
      <c r="C94" s="226"/>
      <c r="D94" s="226"/>
      <c r="E94" s="226"/>
      <c r="F94" s="226"/>
      <c r="G94" s="226"/>
      <c r="H94" s="226"/>
      <c r="I94" s="226"/>
      <c r="J94" s="226" t="s">
        <v>115</v>
      </c>
      <c r="K94" s="226"/>
      <c r="L94" s="226"/>
      <c r="M94" s="226"/>
      <c r="N94" s="226"/>
      <c r="O94" s="226"/>
      <c r="P94" s="226"/>
      <c r="Q94" s="226"/>
      <c r="R94" s="226" t="s">
        <v>335</v>
      </c>
      <c r="S94" s="226"/>
      <c r="T94" s="226"/>
      <c r="U94" s="226"/>
      <c r="V94" s="226"/>
      <c r="W94" s="226"/>
      <c r="X94" s="226"/>
      <c r="Y94" s="226"/>
      <c r="Z94" s="226"/>
      <c r="AA94" s="226"/>
      <c r="AB94" s="226"/>
      <c r="AC94" s="226"/>
      <c r="AD94" s="226"/>
      <c r="AE94" s="226"/>
      <c r="AF94" s="226"/>
      <c r="AG94" s="226"/>
      <c r="AH94" s="226"/>
      <c r="AI94" s="226"/>
      <c r="AJ94" s="226"/>
    </row>
    <row r="95" spans="1:36" s="13" customFormat="1">
      <c r="A95" s="11" t="s">
        <v>293</v>
      </c>
      <c r="B95" s="227"/>
      <c r="C95" s="226"/>
      <c r="D95" s="226"/>
      <c r="E95" s="226"/>
      <c r="F95" s="226"/>
      <c r="G95" s="226"/>
      <c r="H95" s="226"/>
      <c r="I95" s="226"/>
      <c r="J95" s="226" t="s">
        <v>116</v>
      </c>
      <c r="K95" s="226"/>
      <c r="L95" s="226"/>
      <c r="M95" s="226"/>
      <c r="N95" s="226"/>
      <c r="O95" s="226"/>
      <c r="P95" s="226"/>
      <c r="Q95" s="226"/>
      <c r="R95" s="226" t="s">
        <v>379</v>
      </c>
      <c r="S95" s="226"/>
      <c r="T95" s="226"/>
      <c r="U95" s="226"/>
      <c r="V95" s="226"/>
      <c r="W95" s="226"/>
      <c r="X95" s="226"/>
      <c r="Y95" s="226"/>
      <c r="Z95" s="226"/>
      <c r="AA95" s="226"/>
      <c r="AB95" s="226"/>
      <c r="AC95" s="226"/>
      <c r="AD95" s="226"/>
      <c r="AE95" s="226"/>
      <c r="AF95" s="226"/>
      <c r="AG95" s="226"/>
      <c r="AH95" s="226"/>
      <c r="AI95" s="226"/>
      <c r="AJ95" s="226"/>
    </row>
    <row r="96" spans="1:36" s="13" customFormat="1">
      <c r="A96" s="11" t="s">
        <v>293</v>
      </c>
      <c r="B96" s="227"/>
      <c r="C96" s="226"/>
      <c r="D96" s="226"/>
      <c r="E96" s="226"/>
      <c r="F96" s="226"/>
      <c r="G96" s="226"/>
      <c r="H96" s="226"/>
      <c r="I96" s="226"/>
      <c r="J96" s="226" t="s">
        <v>118</v>
      </c>
      <c r="K96" s="226"/>
      <c r="L96" s="226"/>
      <c r="M96" s="226"/>
      <c r="N96" s="226"/>
      <c r="O96" s="226"/>
      <c r="P96" s="226"/>
      <c r="Q96" s="226"/>
      <c r="R96" s="226" t="s">
        <v>385</v>
      </c>
      <c r="S96" s="226"/>
      <c r="T96" s="226"/>
      <c r="U96" s="226"/>
      <c r="V96" s="226"/>
      <c r="W96" s="226"/>
      <c r="X96" s="226"/>
      <c r="Y96" s="226"/>
      <c r="Z96" s="226"/>
      <c r="AA96" s="226"/>
      <c r="AB96" s="226"/>
      <c r="AC96" s="226"/>
      <c r="AD96" s="226"/>
      <c r="AE96" s="226"/>
      <c r="AF96" s="226"/>
      <c r="AG96" s="226"/>
      <c r="AH96" s="226"/>
      <c r="AI96" s="226"/>
      <c r="AJ96" s="226"/>
    </row>
    <row r="97" spans="1:36" s="13" customFormat="1">
      <c r="A97" s="11" t="s">
        <v>293</v>
      </c>
      <c r="B97" s="227"/>
      <c r="C97" s="226"/>
      <c r="D97" s="226"/>
      <c r="E97" s="226"/>
      <c r="F97" s="226"/>
      <c r="G97" s="226"/>
      <c r="H97" s="226"/>
      <c r="I97" s="226"/>
      <c r="J97" s="226" t="s">
        <v>113</v>
      </c>
      <c r="K97" s="226"/>
      <c r="L97" s="226"/>
      <c r="M97" s="226"/>
      <c r="N97" s="226"/>
      <c r="O97" s="226"/>
      <c r="P97" s="226"/>
      <c r="Q97" s="226"/>
      <c r="R97" s="226" t="s">
        <v>386</v>
      </c>
      <c r="S97" s="226"/>
      <c r="T97" s="226"/>
      <c r="U97" s="226"/>
      <c r="V97" s="226"/>
      <c r="W97" s="226"/>
      <c r="X97" s="226"/>
      <c r="Y97" s="226"/>
      <c r="Z97" s="226"/>
      <c r="AA97" s="226"/>
      <c r="AB97" s="226"/>
      <c r="AC97" s="226"/>
      <c r="AD97" s="226"/>
      <c r="AE97" s="226"/>
      <c r="AF97" s="226"/>
      <c r="AG97" s="226"/>
      <c r="AH97" s="226"/>
      <c r="AI97" s="226"/>
      <c r="AJ97" s="226"/>
    </row>
    <row r="98" spans="1:36" s="13" customFormat="1">
      <c r="A98" s="11" t="s">
        <v>293</v>
      </c>
      <c r="B98" s="227"/>
      <c r="C98" s="226"/>
      <c r="D98" s="226"/>
      <c r="E98" s="226"/>
      <c r="F98" s="226"/>
      <c r="G98" s="226"/>
      <c r="H98" s="226"/>
      <c r="I98" s="226"/>
      <c r="J98" s="226" t="s">
        <v>124</v>
      </c>
      <c r="K98" s="226"/>
      <c r="L98" s="226"/>
      <c r="M98" s="226"/>
      <c r="N98" s="226"/>
      <c r="O98" s="226"/>
      <c r="P98" s="226"/>
      <c r="Q98" s="226"/>
      <c r="R98" s="226" t="s">
        <v>436</v>
      </c>
      <c r="S98" s="226"/>
      <c r="T98" s="226"/>
      <c r="U98" s="226"/>
      <c r="V98" s="226"/>
      <c r="W98" s="226"/>
      <c r="X98" s="226"/>
      <c r="Y98" s="226"/>
      <c r="Z98" s="226"/>
      <c r="AA98" s="226"/>
      <c r="AB98" s="226"/>
      <c r="AC98" s="226"/>
      <c r="AD98" s="226"/>
      <c r="AE98" s="226"/>
      <c r="AF98" s="226"/>
      <c r="AG98" s="226"/>
      <c r="AH98" s="226"/>
      <c r="AI98" s="226"/>
      <c r="AJ98" s="226"/>
    </row>
    <row r="99" spans="1:36" s="13" customFormat="1">
      <c r="A99" s="11" t="s">
        <v>293</v>
      </c>
      <c r="B99" s="227"/>
      <c r="C99" s="226"/>
      <c r="D99" s="226"/>
      <c r="E99" s="226"/>
      <c r="F99" s="226"/>
      <c r="G99" s="226"/>
      <c r="H99" s="226"/>
      <c r="I99" s="226"/>
      <c r="J99" s="226" t="s">
        <v>120</v>
      </c>
      <c r="K99" s="226"/>
      <c r="L99" s="226"/>
      <c r="M99" s="226"/>
      <c r="N99" s="226"/>
      <c r="O99" s="226"/>
      <c r="P99" s="226"/>
      <c r="Q99" s="226"/>
      <c r="R99" s="226" t="s">
        <v>389</v>
      </c>
      <c r="S99" s="226"/>
      <c r="T99" s="226"/>
      <c r="U99" s="226"/>
      <c r="V99" s="226"/>
      <c r="W99" s="226"/>
      <c r="X99" s="226"/>
      <c r="Y99" s="226"/>
      <c r="Z99" s="226"/>
      <c r="AA99" s="226"/>
      <c r="AB99" s="226"/>
      <c r="AC99" s="226"/>
      <c r="AD99" s="226"/>
      <c r="AE99" s="226"/>
      <c r="AF99" s="226"/>
      <c r="AG99" s="226"/>
      <c r="AH99" s="226"/>
      <c r="AI99" s="226"/>
      <c r="AJ99" s="226"/>
    </row>
    <row r="100" spans="1:36" s="13" customFormat="1">
      <c r="A100" s="11" t="s">
        <v>293</v>
      </c>
      <c r="B100" s="227"/>
      <c r="C100" s="226"/>
      <c r="D100" s="226"/>
      <c r="E100" s="226"/>
      <c r="F100" s="226"/>
      <c r="G100" s="226"/>
      <c r="H100" s="226"/>
      <c r="I100" s="226"/>
      <c r="J100" s="226" t="s">
        <v>103</v>
      </c>
      <c r="K100" s="226"/>
      <c r="L100" s="226"/>
      <c r="M100" s="226"/>
      <c r="N100" s="226"/>
      <c r="O100" s="226"/>
      <c r="P100" s="226"/>
      <c r="Q100" s="226"/>
      <c r="R100" s="226" t="s">
        <v>387</v>
      </c>
      <c r="S100" s="226"/>
      <c r="T100" s="226"/>
      <c r="U100" s="226"/>
      <c r="V100" s="226"/>
      <c r="W100" s="226"/>
      <c r="X100" s="226"/>
      <c r="Y100" s="226"/>
      <c r="Z100" s="226"/>
      <c r="AA100" s="226"/>
      <c r="AB100" s="226"/>
      <c r="AC100" s="226"/>
      <c r="AD100" s="226"/>
      <c r="AE100" s="226"/>
      <c r="AF100" s="226"/>
      <c r="AG100" s="226"/>
      <c r="AH100" s="226"/>
      <c r="AI100" s="226"/>
      <c r="AJ100" s="226"/>
    </row>
    <row r="101" spans="1:36" s="13" customFormat="1">
      <c r="A101" s="11" t="s">
        <v>293</v>
      </c>
      <c r="B101" s="227"/>
      <c r="C101" s="226"/>
      <c r="D101" s="226"/>
      <c r="E101" s="226"/>
      <c r="F101" s="226"/>
      <c r="G101" s="226"/>
      <c r="H101" s="226"/>
      <c r="I101" s="226"/>
      <c r="J101" s="226" t="s">
        <v>117</v>
      </c>
      <c r="K101" s="226"/>
      <c r="L101" s="226"/>
      <c r="M101" s="226"/>
      <c r="N101" s="226"/>
      <c r="O101" s="226"/>
      <c r="P101" s="226"/>
      <c r="Q101" s="226"/>
      <c r="R101" s="226" t="s">
        <v>390</v>
      </c>
      <c r="S101" s="226"/>
      <c r="T101" s="226"/>
      <c r="U101" s="226"/>
      <c r="V101" s="226"/>
      <c r="W101" s="226"/>
      <c r="X101" s="226"/>
      <c r="Y101" s="226"/>
      <c r="Z101" s="226"/>
      <c r="AA101" s="226"/>
      <c r="AB101" s="226"/>
      <c r="AC101" s="226"/>
      <c r="AD101" s="226"/>
      <c r="AE101" s="226"/>
      <c r="AF101" s="226"/>
      <c r="AG101" s="226"/>
      <c r="AH101" s="226"/>
      <c r="AI101" s="226"/>
      <c r="AJ101" s="226"/>
    </row>
    <row r="102" spans="1:36" s="13" customFormat="1">
      <c r="A102" s="11" t="s">
        <v>293</v>
      </c>
      <c r="B102" s="227"/>
      <c r="C102" s="226"/>
      <c r="D102" s="226"/>
      <c r="E102" s="226"/>
      <c r="F102" s="226"/>
      <c r="G102" s="226"/>
      <c r="H102" s="226"/>
      <c r="I102" s="226"/>
      <c r="J102" s="226" t="s">
        <v>226</v>
      </c>
      <c r="K102" s="226"/>
      <c r="L102" s="226"/>
      <c r="M102" s="226"/>
      <c r="N102" s="226"/>
      <c r="O102" s="226"/>
      <c r="P102" s="226"/>
      <c r="Q102" s="226"/>
      <c r="R102" s="226" t="s">
        <v>405</v>
      </c>
      <c r="S102" s="226"/>
      <c r="T102" s="226"/>
      <c r="U102" s="226"/>
      <c r="V102" s="226"/>
      <c r="W102" s="226"/>
      <c r="X102" s="226"/>
      <c r="Y102" s="226"/>
      <c r="Z102" s="226"/>
      <c r="AA102" s="226"/>
      <c r="AB102" s="226"/>
      <c r="AC102" s="226"/>
      <c r="AD102" s="226"/>
      <c r="AE102" s="226"/>
      <c r="AF102" s="226"/>
      <c r="AG102" s="226"/>
      <c r="AH102" s="226"/>
      <c r="AI102" s="226"/>
      <c r="AJ102" s="226"/>
    </row>
    <row r="103" spans="1:36" s="13" customFormat="1">
      <c r="A103" s="11" t="s">
        <v>293</v>
      </c>
      <c r="B103" s="227"/>
      <c r="C103" s="226"/>
      <c r="D103" s="226"/>
      <c r="E103" s="226"/>
      <c r="F103" s="226"/>
      <c r="G103" s="226"/>
      <c r="H103" s="226"/>
      <c r="I103" s="226"/>
      <c r="J103" s="226" t="s">
        <v>122</v>
      </c>
      <c r="K103" s="226"/>
      <c r="L103" s="226"/>
      <c r="M103" s="226"/>
      <c r="N103" s="226"/>
      <c r="O103" s="226"/>
      <c r="P103" s="226"/>
      <c r="Q103" s="226"/>
      <c r="R103" s="226" t="s">
        <v>403</v>
      </c>
      <c r="S103" s="226"/>
      <c r="T103" s="226"/>
      <c r="U103" s="226"/>
      <c r="V103" s="226"/>
      <c r="W103" s="226"/>
      <c r="X103" s="226"/>
      <c r="Y103" s="226"/>
      <c r="Z103" s="226"/>
      <c r="AA103" s="226"/>
      <c r="AB103" s="226"/>
      <c r="AC103" s="226"/>
      <c r="AD103" s="226"/>
      <c r="AE103" s="226"/>
      <c r="AF103" s="226"/>
      <c r="AG103" s="226"/>
      <c r="AH103" s="226"/>
      <c r="AI103" s="226"/>
      <c r="AJ103" s="226"/>
    </row>
    <row r="104" spans="1:36" s="13" customFormat="1">
      <c r="A104" s="11" t="s">
        <v>293</v>
      </c>
      <c r="B104" s="227"/>
      <c r="C104" s="226"/>
      <c r="D104" s="226"/>
      <c r="E104" s="226"/>
      <c r="F104" s="226"/>
      <c r="G104" s="226"/>
      <c r="H104" s="226"/>
      <c r="I104" s="226"/>
      <c r="J104" s="226" t="s">
        <v>121</v>
      </c>
      <c r="K104" s="226"/>
      <c r="L104" s="226"/>
      <c r="M104" s="226"/>
      <c r="N104" s="226"/>
      <c r="O104" s="226"/>
      <c r="P104" s="226"/>
      <c r="Q104" s="226"/>
      <c r="R104" s="226" t="s">
        <v>394</v>
      </c>
      <c r="S104" s="226"/>
      <c r="T104" s="226"/>
      <c r="U104" s="226"/>
      <c r="V104" s="226"/>
      <c r="W104" s="226"/>
      <c r="X104" s="226"/>
      <c r="Y104" s="226"/>
      <c r="Z104" s="226"/>
      <c r="AA104" s="226"/>
      <c r="AB104" s="226"/>
      <c r="AC104" s="226"/>
      <c r="AD104" s="226"/>
      <c r="AE104" s="226"/>
      <c r="AF104" s="226"/>
      <c r="AG104" s="226"/>
      <c r="AH104" s="226"/>
      <c r="AI104" s="226"/>
      <c r="AJ104" s="226"/>
    </row>
    <row r="105" spans="1:36" s="13" customFormat="1">
      <c r="A105" s="11" t="s">
        <v>293</v>
      </c>
      <c r="B105" s="227"/>
      <c r="C105" s="226"/>
      <c r="D105" s="226"/>
      <c r="E105" s="226"/>
      <c r="F105" s="226"/>
      <c r="G105" s="226"/>
      <c r="H105" s="226"/>
      <c r="I105" s="226"/>
      <c r="J105" s="226" t="s">
        <v>125</v>
      </c>
      <c r="K105" s="226"/>
      <c r="L105" s="226"/>
      <c r="M105" s="226"/>
      <c r="N105" s="226"/>
      <c r="O105" s="226"/>
      <c r="P105" s="226"/>
      <c r="Q105" s="226"/>
      <c r="R105" s="226" t="s">
        <v>393</v>
      </c>
      <c r="S105" s="226"/>
      <c r="T105" s="226"/>
      <c r="U105" s="226"/>
      <c r="V105" s="226"/>
      <c r="W105" s="226"/>
      <c r="X105" s="226"/>
      <c r="Y105" s="226"/>
      <c r="Z105" s="226"/>
      <c r="AA105" s="226"/>
      <c r="AB105" s="226"/>
      <c r="AC105" s="226"/>
      <c r="AD105" s="226"/>
      <c r="AE105" s="226"/>
      <c r="AF105" s="226"/>
      <c r="AG105" s="226"/>
      <c r="AH105" s="226"/>
      <c r="AI105" s="226"/>
      <c r="AJ105" s="226"/>
    </row>
    <row r="106" spans="1:36" s="13" customFormat="1">
      <c r="A106" s="11" t="s">
        <v>293</v>
      </c>
      <c r="B106" s="227"/>
      <c r="C106" s="226"/>
      <c r="D106" s="226"/>
      <c r="E106" s="226"/>
      <c r="F106" s="226"/>
      <c r="G106" s="226"/>
      <c r="H106" s="226"/>
      <c r="I106" s="226"/>
      <c r="J106" s="226" t="s">
        <v>126</v>
      </c>
      <c r="K106" s="226"/>
      <c r="L106" s="226"/>
      <c r="M106" s="226"/>
      <c r="N106" s="226"/>
      <c r="O106" s="226"/>
      <c r="P106" s="226"/>
      <c r="Q106" s="226"/>
      <c r="R106" s="226" t="s">
        <v>407</v>
      </c>
      <c r="S106" s="226"/>
      <c r="T106" s="226"/>
      <c r="U106" s="226"/>
      <c r="V106" s="226"/>
      <c r="W106" s="226"/>
      <c r="X106" s="226"/>
      <c r="Y106" s="226"/>
      <c r="Z106" s="226"/>
      <c r="AA106" s="226"/>
      <c r="AB106" s="226"/>
      <c r="AC106" s="226"/>
      <c r="AD106" s="226"/>
      <c r="AE106" s="226"/>
      <c r="AF106" s="226"/>
      <c r="AG106" s="226"/>
      <c r="AH106" s="226"/>
      <c r="AI106" s="226"/>
      <c r="AJ106" s="226"/>
    </row>
    <row r="107" spans="1:36" s="13" customFormat="1">
      <c r="A107" s="11" t="s">
        <v>293</v>
      </c>
      <c r="B107" s="227"/>
      <c r="C107" s="226"/>
      <c r="D107" s="226"/>
      <c r="E107" s="226"/>
      <c r="F107" s="226"/>
      <c r="G107" s="226"/>
      <c r="H107" s="226"/>
      <c r="I107" s="226"/>
      <c r="J107" s="226" t="s">
        <v>131</v>
      </c>
      <c r="K107" s="226"/>
      <c r="L107" s="226"/>
      <c r="M107" s="226"/>
      <c r="N107" s="226"/>
      <c r="O107" s="226"/>
      <c r="P107" s="226"/>
      <c r="Q107" s="226"/>
      <c r="R107" s="226" t="s">
        <v>404</v>
      </c>
      <c r="S107" s="226"/>
      <c r="T107" s="226"/>
      <c r="U107" s="226"/>
      <c r="V107" s="226"/>
      <c r="W107" s="226"/>
      <c r="X107" s="226"/>
      <c r="Y107" s="226"/>
      <c r="Z107" s="226"/>
      <c r="AA107" s="226"/>
      <c r="AB107" s="226"/>
      <c r="AC107" s="226"/>
      <c r="AD107" s="226"/>
      <c r="AE107" s="226"/>
      <c r="AF107" s="226"/>
      <c r="AG107" s="226"/>
      <c r="AH107" s="226"/>
      <c r="AI107" s="226"/>
      <c r="AJ107" s="226"/>
    </row>
    <row r="108" spans="1:36" s="13" customFormat="1">
      <c r="A108" s="11" t="s">
        <v>293</v>
      </c>
      <c r="B108" s="227"/>
      <c r="C108" s="226"/>
      <c r="D108" s="226"/>
      <c r="E108" s="226"/>
      <c r="F108" s="226"/>
      <c r="G108" s="226"/>
      <c r="H108" s="226"/>
      <c r="I108" s="226"/>
      <c r="J108" s="226" t="s">
        <v>128</v>
      </c>
      <c r="K108" s="226"/>
      <c r="L108" s="226"/>
      <c r="M108" s="226"/>
      <c r="N108" s="226"/>
      <c r="O108" s="226"/>
      <c r="P108" s="226"/>
      <c r="Q108" s="226"/>
      <c r="R108" s="226" t="s">
        <v>392</v>
      </c>
      <c r="S108" s="226"/>
      <c r="T108" s="226"/>
      <c r="U108" s="226"/>
      <c r="V108" s="226"/>
      <c r="W108" s="226"/>
      <c r="X108" s="226"/>
      <c r="Y108" s="226"/>
      <c r="Z108" s="226"/>
      <c r="AA108" s="226"/>
      <c r="AB108" s="226"/>
      <c r="AC108" s="226"/>
      <c r="AD108" s="226"/>
      <c r="AE108" s="226"/>
      <c r="AF108" s="226"/>
      <c r="AG108" s="226"/>
      <c r="AH108" s="226"/>
      <c r="AI108" s="226"/>
      <c r="AJ108" s="226"/>
    </row>
    <row r="109" spans="1:36" s="13" customFormat="1">
      <c r="A109" s="11" t="s">
        <v>293</v>
      </c>
      <c r="B109" s="227"/>
      <c r="C109" s="226"/>
      <c r="D109" s="226"/>
      <c r="E109" s="226"/>
      <c r="F109" s="226"/>
      <c r="G109" s="226"/>
      <c r="H109" s="226"/>
      <c r="I109" s="226"/>
      <c r="J109" s="226" t="s">
        <v>130</v>
      </c>
      <c r="K109" s="226"/>
      <c r="L109" s="226"/>
      <c r="M109" s="226"/>
      <c r="N109" s="226"/>
      <c r="O109" s="226"/>
      <c r="P109" s="226"/>
      <c r="Q109" s="226"/>
      <c r="R109" s="226" t="s">
        <v>398</v>
      </c>
      <c r="S109" s="226"/>
      <c r="T109" s="226"/>
      <c r="U109" s="226"/>
      <c r="V109" s="226"/>
      <c r="W109" s="226"/>
      <c r="X109" s="226"/>
      <c r="Y109" s="226"/>
      <c r="Z109" s="226"/>
      <c r="AA109" s="226"/>
      <c r="AB109" s="226"/>
      <c r="AC109" s="226"/>
      <c r="AD109" s="226"/>
      <c r="AE109" s="226"/>
      <c r="AF109" s="226"/>
      <c r="AG109" s="226"/>
      <c r="AH109" s="226"/>
      <c r="AI109" s="226"/>
      <c r="AJ109" s="226"/>
    </row>
    <row r="110" spans="1:36" s="13" customFormat="1">
      <c r="A110" s="11" t="s">
        <v>293</v>
      </c>
      <c r="B110" s="227"/>
      <c r="C110" s="226"/>
      <c r="D110" s="226"/>
      <c r="E110" s="226"/>
      <c r="F110" s="226"/>
      <c r="G110" s="226"/>
      <c r="H110" s="226"/>
      <c r="I110" s="226"/>
      <c r="J110" s="226" t="s">
        <v>11</v>
      </c>
      <c r="K110" s="226"/>
      <c r="L110" s="226"/>
      <c r="M110" s="226"/>
      <c r="N110" s="226"/>
      <c r="O110" s="226"/>
      <c r="P110" s="226"/>
      <c r="Q110" s="226"/>
      <c r="R110" s="226" t="s">
        <v>399</v>
      </c>
      <c r="S110" s="226"/>
      <c r="T110" s="226"/>
      <c r="U110" s="226"/>
      <c r="V110" s="226"/>
      <c r="W110" s="226"/>
      <c r="X110" s="226"/>
      <c r="Y110" s="226"/>
      <c r="Z110" s="226"/>
      <c r="AA110" s="226"/>
      <c r="AB110" s="226"/>
      <c r="AC110" s="226"/>
      <c r="AD110" s="226"/>
      <c r="AE110" s="226"/>
      <c r="AF110" s="226"/>
      <c r="AG110" s="226"/>
      <c r="AH110" s="226"/>
      <c r="AI110" s="226"/>
      <c r="AJ110" s="226"/>
    </row>
    <row r="111" spans="1:36" s="13" customFormat="1">
      <c r="A111" s="11" t="s">
        <v>293</v>
      </c>
      <c r="B111" s="227"/>
      <c r="C111" s="226"/>
      <c r="D111" s="226"/>
      <c r="E111" s="226"/>
      <c r="F111" s="226"/>
      <c r="G111" s="226"/>
      <c r="H111" s="226"/>
      <c r="I111" s="226"/>
      <c r="J111" s="226" t="s">
        <v>127</v>
      </c>
      <c r="K111" s="226"/>
      <c r="L111" s="226"/>
      <c r="M111" s="226"/>
      <c r="N111" s="226"/>
      <c r="O111" s="226"/>
      <c r="P111" s="226"/>
      <c r="Q111" s="226"/>
      <c r="R111" s="226" t="s">
        <v>397</v>
      </c>
      <c r="S111" s="226"/>
      <c r="T111" s="226"/>
      <c r="U111" s="226"/>
      <c r="V111" s="226"/>
      <c r="W111" s="226"/>
      <c r="X111" s="226"/>
      <c r="Y111" s="226"/>
      <c r="Z111" s="226"/>
      <c r="AA111" s="226"/>
      <c r="AB111" s="226"/>
      <c r="AC111" s="226"/>
      <c r="AD111" s="226"/>
      <c r="AE111" s="226"/>
      <c r="AF111" s="226"/>
      <c r="AG111" s="226"/>
      <c r="AH111" s="226"/>
      <c r="AI111" s="226"/>
      <c r="AJ111" s="226"/>
    </row>
    <row r="112" spans="1:36" s="13" customFormat="1">
      <c r="A112" s="11" t="s">
        <v>293</v>
      </c>
      <c r="B112" s="227"/>
      <c r="C112" s="226"/>
      <c r="D112" s="226"/>
      <c r="E112" s="226"/>
      <c r="F112" s="226"/>
      <c r="G112" s="226"/>
      <c r="H112" s="226"/>
      <c r="I112" s="226"/>
      <c r="J112" s="226" t="s">
        <v>17</v>
      </c>
      <c r="K112" s="226"/>
      <c r="L112" s="226"/>
      <c r="M112" s="226"/>
      <c r="N112" s="226"/>
      <c r="O112" s="226"/>
      <c r="P112" s="226"/>
      <c r="Q112" s="226"/>
      <c r="R112" s="226" t="s">
        <v>395</v>
      </c>
      <c r="S112" s="226"/>
      <c r="T112" s="226"/>
      <c r="U112" s="226"/>
      <c r="V112" s="226"/>
      <c r="W112" s="226"/>
      <c r="X112" s="226"/>
      <c r="Y112" s="226"/>
      <c r="Z112" s="226"/>
      <c r="AA112" s="226"/>
      <c r="AB112" s="226"/>
      <c r="AC112" s="226"/>
      <c r="AD112" s="226"/>
      <c r="AE112" s="226"/>
      <c r="AF112" s="226"/>
      <c r="AG112" s="226"/>
      <c r="AH112" s="226"/>
      <c r="AI112" s="226"/>
      <c r="AJ112" s="226"/>
    </row>
    <row r="113" spans="1:36" s="13" customFormat="1">
      <c r="A113" s="11" t="s">
        <v>293</v>
      </c>
      <c r="B113" s="227"/>
      <c r="C113" s="226"/>
      <c r="D113" s="226"/>
      <c r="E113" s="226"/>
      <c r="F113" s="226"/>
      <c r="G113" s="226"/>
      <c r="H113" s="226"/>
      <c r="I113" s="226"/>
      <c r="J113" s="226" t="s">
        <v>134</v>
      </c>
      <c r="K113" s="226"/>
      <c r="L113" s="226"/>
      <c r="M113" s="226"/>
      <c r="N113" s="226"/>
      <c r="O113" s="226"/>
      <c r="P113" s="226"/>
      <c r="Q113" s="226"/>
      <c r="R113" s="226" t="s">
        <v>401</v>
      </c>
      <c r="S113" s="226"/>
      <c r="T113" s="226"/>
      <c r="U113" s="226"/>
      <c r="V113" s="226"/>
      <c r="W113" s="226"/>
      <c r="X113" s="226"/>
      <c r="Y113" s="226"/>
      <c r="Z113" s="226"/>
      <c r="AA113" s="226"/>
      <c r="AB113" s="226"/>
      <c r="AC113" s="226"/>
      <c r="AD113" s="226"/>
      <c r="AE113" s="226"/>
      <c r="AF113" s="226"/>
      <c r="AG113" s="226"/>
      <c r="AH113" s="226"/>
      <c r="AI113" s="226"/>
      <c r="AJ113" s="226"/>
    </row>
    <row r="114" spans="1:36" s="13" customFormat="1">
      <c r="A114" s="11" t="s">
        <v>293</v>
      </c>
      <c r="B114" s="227"/>
      <c r="C114" s="226"/>
      <c r="D114" s="226"/>
      <c r="E114" s="226"/>
      <c r="F114" s="226"/>
      <c r="G114" s="226"/>
      <c r="H114" s="226"/>
      <c r="I114" s="226"/>
      <c r="J114" s="226" t="s">
        <v>8</v>
      </c>
      <c r="K114" s="226"/>
      <c r="L114" s="226"/>
      <c r="M114" s="226"/>
      <c r="N114" s="226"/>
      <c r="O114" s="226"/>
      <c r="P114" s="226"/>
      <c r="Q114" s="226"/>
      <c r="R114" s="226" t="s">
        <v>402</v>
      </c>
      <c r="S114" s="226"/>
      <c r="T114" s="226"/>
      <c r="U114" s="226"/>
      <c r="V114" s="226"/>
      <c r="W114" s="226"/>
      <c r="X114" s="226"/>
      <c r="Y114" s="226"/>
      <c r="Z114" s="226"/>
      <c r="AA114" s="226"/>
      <c r="AB114" s="226"/>
      <c r="AC114" s="226"/>
      <c r="AD114" s="226"/>
      <c r="AE114" s="226"/>
      <c r="AF114" s="226"/>
      <c r="AG114" s="226"/>
      <c r="AH114" s="226"/>
      <c r="AI114" s="226"/>
      <c r="AJ114" s="226"/>
    </row>
    <row r="115" spans="1:36" s="13" customFormat="1">
      <c r="A115" s="11" t="s">
        <v>293</v>
      </c>
      <c r="B115" s="227"/>
      <c r="C115" s="226"/>
      <c r="D115" s="226"/>
      <c r="E115" s="226"/>
      <c r="F115" s="226"/>
      <c r="G115" s="226"/>
      <c r="H115" s="226"/>
      <c r="I115" s="226"/>
      <c r="J115" s="226" t="s">
        <v>138</v>
      </c>
      <c r="K115" s="226"/>
      <c r="L115" s="226"/>
      <c r="M115" s="226"/>
      <c r="N115" s="226"/>
      <c r="O115" s="226"/>
      <c r="P115" s="226"/>
      <c r="Q115" s="226"/>
      <c r="R115" s="226" t="s">
        <v>396</v>
      </c>
      <c r="S115" s="226"/>
      <c r="T115" s="226"/>
      <c r="U115" s="226"/>
      <c r="V115" s="226"/>
      <c r="W115" s="226"/>
      <c r="X115" s="226"/>
      <c r="Y115" s="226"/>
      <c r="Z115" s="226"/>
      <c r="AA115" s="226"/>
      <c r="AB115" s="226"/>
      <c r="AC115" s="226"/>
      <c r="AD115" s="226"/>
      <c r="AE115" s="226"/>
      <c r="AF115" s="226"/>
      <c r="AG115" s="226"/>
      <c r="AH115" s="226"/>
      <c r="AI115" s="226"/>
      <c r="AJ115" s="226"/>
    </row>
    <row r="116" spans="1:36" s="13" customFormat="1">
      <c r="A116" s="11" t="s">
        <v>293</v>
      </c>
      <c r="B116" s="227"/>
      <c r="C116" s="226"/>
      <c r="D116" s="226"/>
      <c r="E116" s="226"/>
      <c r="F116" s="226"/>
      <c r="G116" s="226"/>
      <c r="H116" s="226"/>
      <c r="I116" s="226"/>
      <c r="J116" s="226" t="s">
        <v>137</v>
      </c>
      <c r="K116" s="226"/>
      <c r="L116" s="226"/>
      <c r="M116" s="226"/>
      <c r="N116" s="226"/>
      <c r="O116" s="226"/>
      <c r="P116" s="226"/>
      <c r="Q116" s="226"/>
      <c r="R116" s="226" t="s">
        <v>406</v>
      </c>
      <c r="S116" s="226"/>
      <c r="T116" s="226"/>
      <c r="U116" s="226"/>
      <c r="V116" s="226"/>
      <c r="W116" s="226"/>
      <c r="X116" s="226"/>
      <c r="Y116" s="226"/>
      <c r="Z116" s="226"/>
      <c r="AA116" s="226"/>
      <c r="AB116" s="226"/>
      <c r="AC116" s="226"/>
      <c r="AD116" s="226"/>
      <c r="AE116" s="226"/>
      <c r="AF116" s="226"/>
      <c r="AG116" s="226"/>
      <c r="AH116" s="226"/>
      <c r="AI116" s="226"/>
      <c r="AJ116" s="226"/>
    </row>
    <row r="117" spans="1:36" s="13" customFormat="1">
      <c r="A117" s="11" t="s">
        <v>293</v>
      </c>
      <c r="B117" s="227"/>
      <c r="C117" s="226"/>
      <c r="D117" s="226"/>
      <c r="E117" s="226"/>
      <c r="F117" s="226"/>
      <c r="G117" s="226"/>
      <c r="H117" s="226"/>
      <c r="I117" s="226"/>
      <c r="J117" s="226" t="s">
        <v>133</v>
      </c>
      <c r="K117" s="226"/>
      <c r="L117" s="226"/>
      <c r="M117" s="226"/>
      <c r="N117" s="226"/>
      <c r="O117" s="226"/>
      <c r="P117" s="226"/>
      <c r="Q117" s="226"/>
      <c r="R117" s="226" t="s">
        <v>408</v>
      </c>
      <c r="S117" s="226"/>
      <c r="T117" s="226"/>
      <c r="U117" s="226"/>
      <c r="V117" s="226"/>
      <c r="W117" s="226"/>
      <c r="X117" s="226"/>
      <c r="Y117" s="226"/>
      <c r="Z117" s="226"/>
      <c r="AA117" s="226"/>
      <c r="AB117" s="226"/>
      <c r="AC117" s="226"/>
      <c r="AD117" s="226"/>
      <c r="AE117" s="226"/>
      <c r="AF117" s="226"/>
      <c r="AG117" s="226"/>
      <c r="AH117" s="226"/>
      <c r="AI117" s="226"/>
      <c r="AJ117" s="226"/>
    </row>
    <row r="118" spans="1:36" s="13" customFormat="1">
      <c r="A118" s="11" t="s">
        <v>293</v>
      </c>
      <c r="B118" s="227"/>
      <c r="C118" s="226"/>
      <c r="D118" s="226"/>
      <c r="E118" s="226"/>
      <c r="F118" s="226"/>
      <c r="G118" s="226"/>
      <c r="H118" s="226"/>
      <c r="I118" s="226"/>
      <c r="J118" s="226" t="s">
        <v>74</v>
      </c>
      <c r="K118" s="226"/>
      <c r="L118" s="226"/>
      <c r="M118" s="226"/>
      <c r="N118" s="226"/>
      <c r="O118" s="226"/>
      <c r="P118" s="226"/>
      <c r="Q118" s="226"/>
      <c r="R118" s="226" t="s">
        <v>411</v>
      </c>
      <c r="S118" s="226"/>
      <c r="T118" s="226"/>
      <c r="U118" s="226"/>
      <c r="V118" s="226"/>
      <c r="W118" s="226"/>
      <c r="X118" s="226"/>
      <c r="Y118" s="226"/>
      <c r="Z118" s="226"/>
      <c r="AA118" s="226"/>
      <c r="AB118" s="226"/>
      <c r="AC118" s="226"/>
      <c r="AD118" s="226"/>
      <c r="AE118" s="226"/>
      <c r="AF118" s="226"/>
      <c r="AG118" s="226"/>
      <c r="AH118" s="226"/>
      <c r="AI118" s="226"/>
      <c r="AJ118" s="226"/>
    </row>
    <row r="119" spans="1:36" s="13" customFormat="1">
      <c r="A119" s="11" t="s">
        <v>293</v>
      </c>
      <c r="B119" s="227"/>
      <c r="C119" s="226"/>
      <c r="D119" s="226"/>
      <c r="E119" s="226"/>
      <c r="F119" s="226"/>
      <c r="G119" s="226"/>
      <c r="H119" s="226"/>
      <c r="I119" s="226"/>
      <c r="J119" s="226" t="s">
        <v>136</v>
      </c>
      <c r="K119" s="226"/>
      <c r="L119" s="226"/>
      <c r="M119" s="226"/>
      <c r="N119" s="226"/>
      <c r="O119" s="226"/>
      <c r="P119" s="226"/>
      <c r="Q119" s="226"/>
      <c r="R119" s="226" t="s">
        <v>410</v>
      </c>
      <c r="S119" s="226"/>
      <c r="T119" s="226"/>
      <c r="U119" s="226"/>
      <c r="V119" s="226"/>
      <c r="W119" s="226"/>
      <c r="X119" s="226"/>
      <c r="Y119" s="226"/>
      <c r="Z119" s="226"/>
      <c r="AA119" s="226"/>
      <c r="AB119" s="226"/>
      <c r="AC119" s="226"/>
      <c r="AD119" s="226"/>
      <c r="AE119" s="226"/>
      <c r="AF119" s="226"/>
      <c r="AG119" s="226"/>
      <c r="AH119" s="226"/>
      <c r="AI119" s="226"/>
      <c r="AJ119" s="226"/>
    </row>
    <row r="120" spans="1:36" s="13" customFormat="1">
      <c r="A120" s="11" t="s">
        <v>293</v>
      </c>
      <c r="B120" s="227"/>
      <c r="C120" s="226"/>
      <c r="D120" s="226"/>
      <c r="E120" s="226"/>
      <c r="F120" s="226"/>
      <c r="G120" s="226"/>
      <c r="H120" s="226"/>
      <c r="I120" s="226"/>
      <c r="J120" s="226" t="s">
        <v>135</v>
      </c>
      <c r="K120" s="226"/>
      <c r="L120" s="226"/>
      <c r="M120" s="226"/>
      <c r="N120" s="226"/>
      <c r="O120" s="226"/>
      <c r="P120" s="226"/>
      <c r="Q120" s="226"/>
      <c r="R120" s="226" t="s">
        <v>326</v>
      </c>
      <c r="S120" s="226"/>
      <c r="T120" s="226"/>
      <c r="U120" s="226"/>
      <c r="V120" s="226"/>
      <c r="W120" s="226"/>
      <c r="X120" s="226"/>
      <c r="Y120" s="226"/>
      <c r="Z120" s="226"/>
      <c r="AA120" s="226"/>
      <c r="AB120" s="226"/>
      <c r="AC120" s="226"/>
      <c r="AD120" s="226"/>
      <c r="AE120" s="226"/>
      <c r="AF120" s="226"/>
      <c r="AG120" s="226"/>
      <c r="AH120" s="226"/>
      <c r="AI120" s="226"/>
      <c r="AJ120" s="226"/>
    </row>
    <row r="121" spans="1:36" s="13" customFormat="1">
      <c r="A121" s="11" t="s">
        <v>293</v>
      </c>
      <c r="B121" s="227"/>
      <c r="C121" s="226"/>
      <c r="D121" s="226"/>
      <c r="E121" s="226"/>
      <c r="F121" s="226"/>
      <c r="G121" s="226"/>
      <c r="H121" s="226"/>
      <c r="I121" s="226"/>
      <c r="J121" s="226" t="s">
        <v>132</v>
      </c>
      <c r="K121" s="226"/>
      <c r="L121" s="226"/>
      <c r="M121" s="226"/>
      <c r="N121" s="226"/>
      <c r="O121" s="226"/>
      <c r="P121" s="226"/>
      <c r="Q121" s="226"/>
      <c r="R121" s="226" t="s">
        <v>409</v>
      </c>
      <c r="S121" s="226"/>
      <c r="T121" s="226"/>
      <c r="U121" s="226"/>
      <c r="V121" s="226"/>
      <c r="W121" s="226"/>
      <c r="X121" s="226"/>
      <c r="Y121" s="226"/>
      <c r="Z121" s="226"/>
      <c r="AA121" s="226"/>
      <c r="AB121" s="226"/>
      <c r="AC121" s="226"/>
      <c r="AD121" s="226"/>
      <c r="AE121" s="226"/>
      <c r="AF121" s="226"/>
      <c r="AG121" s="226"/>
      <c r="AH121" s="226"/>
      <c r="AI121" s="226"/>
      <c r="AJ121" s="226"/>
    </row>
    <row r="122" spans="1:36" s="13" customFormat="1">
      <c r="A122" s="11" t="s">
        <v>293</v>
      </c>
      <c r="B122" s="227"/>
      <c r="C122" s="226"/>
      <c r="D122" s="226"/>
      <c r="E122" s="226"/>
      <c r="F122" s="226"/>
      <c r="G122" s="226"/>
      <c r="H122" s="226"/>
      <c r="I122" s="226"/>
      <c r="J122" s="226" t="s">
        <v>12</v>
      </c>
      <c r="K122" s="226"/>
      <c r="L122" s="226"/>
      <c r="M122" s="226"/>
      <c r="N122" s="226"/>
      <c r="O122" s="226"/>
      <c r="P122" s="226"/>
      <c r="Q122" s="226"/>
      <c r="R122" s="226" t="s">
        <v>343</v>
      </c>
      <c r="S122" s="226"/>
      <c r="T122" s="226"/>
      <c r="U122" s="226"/>
      <c r="V122" s="226"/>
      <c r="W122" s="226"/>
      <c r="X122" s="226"/>
      <c r="Y122" s="226"/>
      <c r="Z122" s="226"/>
      <c r="AA122" s="226"/>
      <c r="AB122" s="226"/>
      <c r="AC122" s="226"/>
      <c r="AD122" s="226"/>
      <c r="AE122" s="226"/>
      <c r="AF122" s="226"/>
      <c r="AG122" s="226"/>
      <c r="AH122" s="226"/>
      <c r="AI122" s="226"/>
      <c r="AJ122" s="226"/>
    </row>
    <row r="123" spans="1:36" s="13" customFormat="1">
      <c r="A123" s="11" t="s">
        <v>293</v>
      </c>
      <c r="B123" s="227"/>
      <c r="C123" s="226"/>
      <c r="D123" s="226"/>
      <c r="E123" s="226"/>
      <c r="F123" s="226"/>
      <c r="G123" s="226"/>
      <c r="H123" s="226"/>
      <c r="I123" s="226"/>
      <c r="J123" s="226" t="s">
        <v>141</v>
      </c>
      <c r="K123" s="226"/>
      <c r="L123" s="226"/>
      <c r="M123" s="226"/>
      <c r="N123" s="226"/>
      <c r="O123" s="226"/>
      <c r="P123" s="226"/>
      <c r="Q123" s="226"/>
      <c r="R123" s="226" t="s">
        <v>412</v>
      </c>
      <c r="S123" s="226"/>
      <c r="T123" s="226"/>
      <c r="U123" s="226"/>
      <c r="V123" s="226"/>
      <c r="W123" s="226"/>
      <c r="X123" s="226"/>
      <c r="Y123" s="226"/>
      <c r="Z123" s="226"/>
      <c r="AA123" s="226"/>
      <c r="AB123" s="226"/>
      <c r="AC123" s="226"/>
      <c r="AD123" s="226"/>
      <c r="AE123" s="226"/>
      <c r="AF123" s="226"/>
      <c r="AG123" s="226"/>
      <c r="AH123" s="226"/>
      <c r="AI123" s="226"/>
      <c r="AJ123" s="226"/>
    </row>
    <row r="124" spans="1:36" s="13" customFormat="1">
      <c r="A124" s="11" t="s">
        <v>293</v>
      </c>
      <c r="B124" s="227"/>
      <c r="C124" s="226"/>
      <c r="D124" s="226"/>
      <c r="E124" s="226"/>
      <c r="F124" s="226"/>
      <c r="G124" s="226"/>
      <c r="H124" s="226"/>
      <c r="I124" s="226"/>
      <c r="J124" s="226" t="s">
        <v>139</v>
      </c>
      <c r="K124" s="226"/>
      <c r="L124" s="226"/>
      <c r="M124" s="226"/>
      <c r="N124" s="226"/>
      <c r="O124" s="226"/>
      <c r="P124" s="226"/>
      <c r="Q124" s="226"/>
      <c r="R124" s="226" t="s">
        <v>414</v>
      </c>
      <c r="S124" s="226"/>
      <c r="T124" s="226"/>
      <c r="U124" s="226"/>
      <c r="V124" s="226"/>
      <c r="W124" s="226"/>
      <c r="X124" s="226"/>
      <c r="Y124" s="226"/>
      <c r="Z124" s="226"/>
      <c r="AA124" s="226"/>
      <c r="AB124" s="226"/>
      <c r="AC124" s="226"/>
      <c r="AD124" s="226"/>
      <c r="AE124" s="226"/>
      <c r="AF124" s="226"/>
      <c r="AG124" s="226"/>
      <c r="AH124" s="226"/>
      <c r="AI124" s="226"/>
      <c r="AJ124" s="226"/>
    </row>
    <row r="125" spans="1:36" s="13" customFormat="1">
      <c r="A125" s="11" t="s">
        <v>293</v>
      </c>
      <c r="B125" s="227"/>
      <c r="C125" s="226"/>
      <c r="D125" s="226"/>
      <c r="E125" s="226"/>
      <c r="F125" s="226"/>
      <c r="G125" s="226"/>
      <c r="H125" s="226"/>
      <c r="I125" s="226"/>
      <c r="J125" s="226" t="s">
        <v>142</v>
      </c>
      <c r="K125" s="226"/>
      <c r="L125" s="226"/>
      <c r="M125" s="226"/>
      <c r="N125" s="226"/>
      <c r="O125" s="226"/>
      <c r="P125" s="226"/>
      <c r="Q125" s="226"/>
      <c r="R125" s="226" t="s">
        <v>417</v>
      </c>
      <c r="S125" s="226"/>
      <c r="T125" s="226"/>
      <c r="U125" s="226"/>
      <c r="V125" s="226"/>
      <c r="W125" s="226"/>
      <c r="X125" s="226"/>
      <c r="Y125" s="226"/>
      <c r="Z125" s="226"/>
      <c r="AA125" s="226"/>
      <c r="AB125" s="226"/>
      <c r="AC125" s="226"/>
      <c r="AD125" s="226"/>
      <c r="AE125" s="226"/>
      <c r="AF125" s="226"/>
      <c r="AG125" s="226"/>
      <c r="AH125" s="226"/>
      <c r="AI125" s="226"/>
      <c r="AJ125" s="226"/>
    </row>
    <row r="126" spans="1:36" s="13" customFormat="1">
      <c r="A126" s="11" t="s">
        <v>293</v>
      </c>
      <c r="B126" s="227"/>
      <c r="C126" s="226"/>
      <c r="D126" s="226"/>
      <c r="E126" s="226"/>
      <c r="F126" s="226"/>
      <c r="G126" s="226"/>
      <c r="H126" s="226"/>
      <c r="I126" s="226"/>
      <c r="J126" s="226" t="s">
        <v>140</v>
      </c>
      <c r="K126" s="226"/>
      <c r="L126" s="226"/>
      <c r="M126" s="226"/>
      <c r="N126" s="226"/>
      <c r="O126" s="226"/>
      <c r="P126" s="226"/>
      <c r="Q126" s="226"/>
      <c r="R126" s="226" t="s">
        <v>415</v>
      </c>
      <c r="S126" s="226"/>
      <c r="T126" s="226"/>
      <c r="U126" s="226"/>
      <c r="V126" s="226"/>
      <c r="W126" s="226"/>
      <c r="X126" s="226"/>
      <c r="Y126" s="226"/>
      <c r="Z126" s="226"/>
      <c r="AA126" s="226"/>
      <c r="AB126" s="226"/>
      <c r="AC126" s="226"/>
      <c r="AD126" s="226"/>
      <c r="AE126" s="226"/>
      <c r="AF126" s="226"/>
      <c r="AG126" s="226"/>
      <c r="AH126" s="226"/>
      <c r="AI126" s="226"/>
      <c r="AJ126" s="226"/>
    </row>
    <row r="127" spans="1:36" s="13" customFormat="1">
      <c r="A127" s="11" t="s">
        <v>293</v>
      </c>
      <c r="B127" s="227"/>
      <c r="C127" s="226"/>
      <c r="D127" s="226"/>
      <c r="E127" s="226"/>
      <c r="F127" s="226"/>
      <c r="G127" s="226"/>
      <c r="H127" s="226"/>
      <c r="I127" s="226"/>
      <c r="J127" s="226" t="s">
        <v>144</v>
      </c>
      <c r="K127" s="226"/>
      <c r="L127" s="226"/>
      <c r="M127" s="226"/>
      <c r="N127" s="226"/>
      <c r="O127" s="226"/>
      <c r="P127" s="226"/>
      <c r="Q127" s="226"/>
      <c r="R127" s="226" t="s">
        <v>418</v>
      </c>
      <c r="S127" s="226"/>
      <c r="T127" s="226"/>
      <c r="U127" s="226"/>
      <c r="V127" s="226"/>
      <c r="W127" s="226"/>
      <c r="X127" s="226"/>
      <c r="Y127" s="226"/>
      <c r="Z127" s="226"/>
      <c r="AA127" s="226"/>
      <c r="AB127" s="226"/>
      <c r="AC127" s="226"/>
      <c r="AD127" s="226"/>
      <c r="AE127" s="226"/>
      <c r="AF127" s="226"/>
      <c r="AG127" s="226"/>
      <c r="AH127" s="226"/>
      <c r="AI127" s="226"/>
      <c r="AJ127" s="226"/>
    </row>
    <row r="128" spans="1:36" s="13" customFormat="1">
      <c r="A128" s="11" t="s">
        <v>293</v>
      </c>
      <c r="B128" s="227"/>
      <c r="C128" s="226"/>
      <c r="D128" s="226"/>
      <c r="E128" s="226"/>
      <c r="F128" s="226"/>
      <c r="G128" s="226"/>
      <c r="H128" s="226"/>
      <c r="I128" s="226"/>
      <c r="J128" s="226" t="s">
        <v>149</v>
      </c>
      <c r="K128" s="226"/>
      <c r="L128" s="226"/>
      <c r="M128" s="226"/>
      <c r="N128" s="226"/>
      <c r="O128" s="226"/>
      <c r="P128" s="226"/>
      <c r="Q128" s="226"/>
      <c r="R128" s="226" t="s">
        <v>413</v>
      </c>
      <c r="S128" s="226"/>
      <c r="T128" s="226"/>
      <c r="U128" s="226"/>
      <c r="V128" s="226"/>
      <c r="W128" s="226"/>
      <c r="X128" s="226"/>
      <c r="Y128" s="226"/>
      <c r="Z128" s="226"/>
      <c r="AA128" s="226"/>
      <c r="AB128" s="226"/>
      <c r="AC128" s="226"/>
      <c r="AD128" s="226"/>
      <c r="AE128" s="226"/>
      <c r="AF128" s="226"/>
      <c r="AG128" s="226"/>
      <c r="AH128" s="226"/>
      <c r="AI128" s="226"/>
      <c r="AJ128" s="226"/>
    </row>
    <row r="129" spans="1:36" s="13" customFormat="1">
      <c r="A129" s="11" t="s">
        <v>293</v>
      </c>
      <c r="B129" s="227"/>
      <c r="C129" s="226"/>
      <c r="D129" s="226"/>
      <c r="E129" s="226"/>
      <c r="F129" s="226"/>
      <c r="G129" s="226"/>
      <c r="H129" s="226"/>
      <c r="I129" s="226"/>
      <c r="J129" s="226" t="s">
        <v>78</v>
      </c>
      <c r="K129" s="226"/>
      <c r="L129" s="226"/>
      <c r="M129" s="226"/>
      <c r="N129" s="226"/>
      <c r="O129" s="226"/>
      <c r="P129" s="226"/>
      <c r="Q129" s="226"/>
      <c r="R129" s="226" t="s">
        <v>419</v>
      </c>
      <c r="S129" s="226"/>
      <c r="T129" s="226"/>
      <c r="U129" s="226"/>
      <c r="V129" s="226"/>
      <c r="W129" s="226"/>
      <c r="X129" s="226"/>
      <c r="Y129" s="226"/>
      <c r="Z129" s="226"/>
      <c r="AA129" s="226"/>
      <c r="AB129" s="226"/>
      <c r="AC129" s="226"/>
      <c r="AD129" s="226"/>
      <c r="AE129" s="226"/>
      <c r="AF129" s="226"/>
      <c r="AG129" s="226"/>
      <c r="AH129" s="226"/>
      <c r="AI129" s="226"/>
      <c r="AJ129" s="226"/>
    </row>
    <row r="130" spans="1:36" s="13" customFormat="1">
      <c r="A130" s="11" t="s">
        <v>293</v>
      </c>
      <c r="B130" s="227"/>
      <c r="C130" s="226"/>
      <c r="D130" s="226"/>
      <c r="E130" s="226"/>
      <c r="F130" s="226"/>
      <c r="G130" s="226"/>
      <c r="H130" s="226"/>
      <c r="I130" s="226"/>
      <c r="J130" s="226" t="s">
        <v>145</v>
      </c>
      <c r="K130" s="226"/>
      <c r="L130" s="226"/>
      <c r="M130" s="226"/>
      <c r="N130" s="226"/>
      <c r="O130" s="226"/>
      <c r="P130" s="226"/>
      <c r="Q130" s="226"/>
      <c r="R130" s="226" t="s">
        <v>416</v>
      </c>
      <c r="S130" s="226"/>
      <c r="T130" s="226"/>
      <c r="U130" s="226"/>
      <c r="V130" s="226"/>
      <c r="W130" s="226"/>
      <c r="X130" s="226"/>
      <c r="Y130" s="226"/>
      <c r="Z130" s="226"/>
      <c r="AA130" s="226"/>
      <c r="AB130" s="226"/>
      <c r="AC130" s="226"/>
      <c r="AD130" s="226"/>
      <c r="AE130" s="226"/>
      <c r="AF130" s="226"/>
      <c r="AG130" s="226"/>
      <c r="AH130" s="226"/>
      <c r="AI130" s="226"/>
      <c r="AJ130" s="226"/>
    </row>
    <row r="131" spans="1:36" s="13" customFormat="1">
      <c r="A131" s="11" t="s">
        <v>293</v>
      </c>
      <c r="B131" s="227"/>
      <c r="C131" s="226"/>
      <c r="D131" s="226"/>
      <c r="E131" s="226"/>
      <c r="F131" s="226"/>
      <c r="G131" s="226"/>
      <c r="H131" s="226"/>
      <c r="I131" s="226"/>
      <c r="J131" s="226" t="s">
        <v>90</v>
      </c>
      <c r="K131" s="226"/>
      <c r="L131" s="226"/>
      <c r="M131" s="226"/>
      <c r="N131" s="226"/>
      <c r="O131" s="226"/>
      <c r="P131" s="226"/>
      <c r="Q131" s="226"/>
      <c r="R131" s="226" t="s">
        <v>420</v>
      </c>
      <c r="S131" s="226"/>
      <c r="T131" s="226"/>
      <c r="U131" s="226"/>
      <c r="V131" s="226"/>
      <c r="W131" s="226"/>
      <c r="X131" s="226"/>
      <c r="Y131" s="226"/>
      <c r="Z131" s="226"/>
      <c r="AA131" s="226"/>
      <c r="AB131" s="226"/>
      <c r="AC131" s="226"/>
      <c r="AD131" s="226"/>
      <c r="AE131" s="226"/>
      <c r="AF131" s="226"/>
      <c r="AG131" s="226"/>
      <c r="AH131" s="226"/>
      <c r="AI131" s="226"/>
      <c r="AJ131" s="226"/>
    </row>
    <row r="132" spans="1:36" s="13" customFormat="1">
      <c r="A132" s="11" t="s">
        <v>293</v>
      </c>
      <c r="B132" s="227"/>
      <c r="C132" s="226"/>
      <c r="D132" s="226"/>
      <c r="E132" s="226"/>
      <c r="F132" s="226"/>
      <c r="G132" s="226"/>
      <c r="H132" s="226"/>
      <c r="I132" s="226"/>
      <c r="J132" s="226" t="s">
        <v>209</v>
      </c>
      <c r="K132" s="226"/>
      <c r="L132" s="226"/>
      <c r="M132" s="226"/>
      <c r="N132" s="226"/>
      <c r="O132" s="226"/>
      <c r="P132" s="226"/>
      <c r="Q132" s="226"/>
      <c r="R132" s="226" t="s">
        <v>421</v>
      </c>
      <c r="S132" s="226"/>
      <c r="T132" s="226"/>
      <c r="U132" s="226"/>
      <c r="V132" s="226"/>
      <c r="W132" s="226"/>
      <c r="X132" s="226"/>
      <c r="Y132" s="226"/>
      <c r="Z132" s="226"/>
      <c r="AA132" s="226"/>
      <c r="AB132" s="226"/>
      <c r="AC132" s="226"/>
      <c r="AD132" s="226"/>
      <c r="AE132" s="226"/>
      <c r="AF132" s="226"/>
      <c r="AG132" s="226"/>
      <c r="AH132" s="226"/>
      <c r="AI132" s="226"/>
      <c r="AJ132" s="226"/>
    </row>
    <row r="133" spans="1:36" s="13" customFormat="1">
      <c r="A133" s="11" t="s">
        <v>293</v>
      </c>
      <c r="B133" s="227"/>
      <c r="C133" s="226"/>
      <c r="D133" s="226"/>
      <c r="E133" s="226"/>
      <c r="F133" s="226"/>
      <c r="G133" s="226"/>
      <c r="H133" s="226"/>
      <c r="I133" s="226"/>
      <c r="J133" s="226" t="s">
        <v>146</v>
      </c>
      <c r="K133" s="226"/>
      <c r="L133" s="226"/>
      <c r="M133" s="226"/>
      <c r="N133" s="226"/>
      <c r="O133" s="226"/>
      <c r="P133" s="226"/>
      <c r="Q133" s="226"/>
      <c r="R133" s="226" t="s">
        <v>428</v>
      </c>
      <c r="S133" s="226"/>
      <c r="T133" s="226"/>
      <c r="U133" s="226"/>
      <c r="V133" s="226"/>
      <c r="W133" s="226"/>
      <c r="X133" s="226"/>
      <c r="Y133" s="226"/>
      <c r="Z133" s="226"/>
      <c r="AA133" s="226"/>
      <c r="AB133" s="226"/>
      <c r="AC133" s="226"/>
      <c r="AD133" s="226"/>
      <c r="AE133" s="226"/>
      <c r="AF133" s="226"/>
      <c r="AG133" s="226"/>
      <c r="AH133" s="226"/>
      <c r="AI133" s="226"/>
      <c r="AJ133" s="226"/>
    </row>
    <row r="134" spans="1:36" s="13" customFormat="1">
      <c r="A134" s="11" t="s">
        <v>293</v>
      </c>
      <c r="B134" s="227"/>
      <c r="C134" s="226"/>
      <c r="D134" s="226"/>
      <c r="E134" s="226"/>
      <c r="F134" s="226"/>
      <c r="G134" s="226"/>
      <c r="H134" s="226"/>
      <c r="I134" s="226"/>
      <c r="J134" s="226" t="s">
        <v>147</v>
      </c>
      <c r="K134" s="226"/>
      <c r="L134" s="226"/>
      <c r="M134" s="226"/>
      <c r="N134" s="226"/>
      <c r="O134" s="226"/>
      <c r="P134" s="226"/>
      <c r="Q134" s="226"/>
      <c r="R134" s="226" t="s">
        <v>422</v>
      </c>
      <c r="S134" s="226"/>
      <c r="T134" s="226"/>
      <c r="U134" s="226"/>
      <c r="V134" s="226"/>
      <c r="W134" s="226"/>
      <c r="X134" s="226"/>
      <c r="Y134" s="226"/>
      <c r="Z134" s="226"/>
      <c r="AA134" s="226"/>
      <c r="AB134" s="226"/>
      <c r="AC134" s="226"/>
      <c r="AD134" s="226"/>
      <c r="AE134" s="226"/>
      <c r="AF134" s="226"/>
      <c r="AG134" s="226"/>
      <c r="AH134" s="226"/>
      <c r="AI134" s="226"/>
      <c r="AJ134" s="226"/>
    </row>
    <row r="135" spans="1:36" s="13" customFormat="1">
      <c r="A135" s="11" t="s">
        <v>293</v>
      </c>
      <c r="B135" s="227"/>
      <c r="C135" s="226"/>
      <c r="D135" s="226"/>
      <c r="E135" s="226"/>
      <c r="F135" s="226"/>
      <c r="G135" s="226"/>
      <c r="H135" s="226"/>
      <c r="I135" s="226"/>
      <c r="J135" s="226" t="s">
        <v>148</v>
      </c>
      <c r="K135" s="226"/>
      <c r="L135" s="226"/>
      <c r="M135" s="226"/>
      <c r="N135" s="226"/>
      <c r="O135" s="226"/>
      <c r="P135" s="226"/>
      <c r="Q135" s="226"/>
      <c r="R135" s="226" t="s">
        <v>423</v>
      </c>
      <c r="S135" s="226"/>
      <c r="T135" s="226"/>
      <c r="U135" s="226"/>
      <c r="V135" s="226"/>
      <c r="W135" s="226"/>
      <c r="X135" s="226"/>
      <c r="Y135" s="226"/>
      <c r="Z135" s="226"/>
      <c r="AA135" s="226"/>
      <c r="AB135" s="226"/>
      <c r="AC135" s="226"/>
      <c r="AD135" s="226"/>
      <c r="AE135" s="226"/>
      <c r="AF135" s="226"/>
      <c r="AG135" s="226"/>
      <c r="AH135" s="226"/>
      <c r="AI135" s="226"/>
      <c r="AJ135" s="226"/>
    </row>
    <row r="136" spans="1:36" s="13" customFormat="1">
      <c r="A136" s="11" t="s">
        <v>293</v>
      </c>
      <c r="B136" s="227"/>
      <c r="C136" s="226"/>
      <c r="D136" s="226"/>
      <c r="E136" s="226"/>
      <c r="F136" s="226"/>
      <c r="G136" s="226"/>
      <c r="H136" s="226"/>
      <c r="I136" s="226"/>
      <c r="J136" s="226" t="s">
        <v>82</v>
      </c>
      <c r="K136" s="226"/>
      <c r="L136" s="226"/>
      <c r="M136" s="226"/>
      <c r="N136" s="226"/>
      <c r="O136" s="226"/>
      <c r="P136" s="226"/>
      <c r="Q136" s="226"/>
      <c r="R136" s="226" t="s">
        <v>427</v>
      </c>
      <c r="S136" s="226"/>
      <c r="T136" s="226"/>
      <c r="U136" s="226"/>
      <c r="V136" s="226"/>
      <c r="W136" s="226"/>
      <c r="X136" s="226"/>
      <c r="Y136" s="226"/>
      <c r="Z136" s="226"/>
      <c r="AA136" s="226"/>
      <c r="AB136" s="226"/>
      <c r="AC136" s="226"/>
      <c r="AD136" s="226"/>
      <c r="AE136" s="226"/>
      <c r="AF136" s="226"/>
      <c r="AG136" s="226"/>
      <c r="AH136" s="226"/>
      <c r="AI136" s="226"/>
      <c r="AJ136" s="226"/>
    </row>
    <row r="137" spans="1:36" s="13" customFormat="1">
      <c r="A137" s="11" t="s">
        <v>293</v>
      </c>
      <c r="B137" s="227"/>
      <c r="C137" s="226"/>
      <c r="D137" s="226"/>
      <c r="E137" s="226"/>
      <c r="F137" s="226"/>
      <c r="G137" s="226"/>
      <c r="H137" s="226"/>
      <c r="I137" s="226"/>
      <c r="J137" s="226" t="s">
        <v>143</v>
      </c>
      <c r="K137" s="226"/>
      <c r="L137" s="226"/>
      <c r="M137" s="226"/>
      <c r="N137" s="226"/>
      <c r="O137" s="226"/>
      <c r="P137" s="226"/>
      <c r="Q137" s="226"/>
      <c r="R137" s="226" t="s">
        <v>433</v>
      </c>
      <c r="S137" s="226"/>
      <c r="T137" s="226"/>
      <c r="U137" s="226"/>
      <c r="V137" s="226"/>
      <c r="W137" s="226"/>
      <c r="X137" s="226"/>
      <c r="Y137" s="226"/>
      <c r="Z137" s="226"/>
      <c r="AA137" s="226"/>
      <c r="AB137" s="226"/>
      <c r="AC137" s="226"/>
      <c r="AD137" s="226"/>
      <c r="AE137" s="226"/>
      <c r="AF137" s="226"/>
      <c r="AG137" s="226"/>
      <c r="AH137" s="226"/>
      <c r="AI137" s="226"/>
      <c r="AJ137" s="226"/>
    </row>
    <row r="138" spans="1:36" s="13" customFormat="1">
      <c r="A138" s="11" t="s">
        <v>293</v>
      </c>
      <c r="B138" s="227"/>
      <c r="C138" s="226"/>
      <c r="D138" s="226"/>
      <c r="E138" s="226"/>
      <c r="F138" s="226"/>
      <c r="G138" s="226"/>
      <c r="H138" s="226"/>
      <c r="I138" s="226"/>
      <c r="J138" s="226" t="s">
        <v>150</v>
      </c>
      <c r="K138" s="226"/>
      <c r="L138" s="226"/>
      <c r="M138" s="226"/>
      <c r="N138" s="226"/>
      <c r="O138" s="226"/>
      <c r="P138" s="226"/>
      <c r="Q138" s="226"/>
      <c r="R138" s="226" t="s">
        <v>429</v>
      </c>
      <c r="S138" s="226"/>
      <c r="T138" s="226"/>
      <c r="U138" s="226"/>
      <c r="V138" s="226"/>
      <c r="W138" s="226"/>
      <c r="X138" s="226"/>
      <c r="Y138" s="226"/>
      <c r="Z138" s="226"/>
      <c r="AA138" s="226"/>
      <c r="AB138" s="226"/>
      <c r="AC138" s="226"/>
      <c r="AD138" s="226"/>
      <c r="AE138" s="226"/>
      <c r="AF138" s="226"/>
      <c r="AG138" s="226"/>
      <c r="AH138" s="226"/>
      <c r="AI138" s="226"/>
      <c r="AJ138" s="226"/>
    </row>
    <row r="139" spans="1:36" s="13" customFormat="1">
      <c r="A139" s="11" t="s">
        <v>293</v>
      </c>
      <c r="B139" s="227"/>
      <c r="C139" s="226"/>
      <c r="D139" s="226"/>
      <c r="E139" s="226"/>
      <c r="F139" s="226"/>
      <c r="G139" s="226"/>
      <c r="H139" s="226"/>
      <c r="I139" s="226"/>
      <c r="J139" s="226" t="s">
        <v>151</v>
      </c>
      <c r="K139" s="226"/>
      <c r="L139" s="226"/>
      <c r="M139" s="226"/>
      <c r="N139" s="226"/>
      <c r="O139" s="226"/>
      <c r="P139" s="226"/>
      <c r="Q139" s="226"/>
      <c r="R139" s="226" t="s">
        <v>437</v>
      </c>
      <c r="S139" s="226"/>
      <c r="T139" s="226"/>
      <c r="U139" s="226"/>
      <c r="V139" s="226"/>
      <c r="W139" s="226"/>
      <c r="X139" s="226"/>
      <c r="Y139" s="226"/>
      <c r="Z139" s="226"/>
      <c r="AA139" s="226"/>
      <c r="AB139" s="226"/>
      <c r="AC139" s="226"/>
      <c r="AD139" s="226"/>
      <c r="AE139" s="226"/>
      <c r="AF139" s="226"/>
      <c r="AG139" s="226"/>
      <c r="AH139" s="226"/>
      <c r="AI139" s="226"/>
      <c r="AJ139" s="226"/>
    </row>
    <row r="140" spans="1:36" s="13" customFormat="1">
      <c r="A140" s="11" t="s">
        <v>293</v>
      </c>
      <c r="B140" s="227"/>
      <c r="C140" s="226"/>
      <c r="D140" s="226"/>
      <c r="E140" s="226"/>
      <c r="F140" s="226"/>
      <c r="G140" s="226"/>
      <c r="H140" s="226"/>
      <c r="I140" s="226"/>
      <c r="J140" s="226" t="s">
        <v>210</v>
      </c>
      <c r="K140" s="226"/>
      <c r="L140" s="226"/>
      <c r="M140" s="226"/>
      <c r="N140" s="226"/>
      <c r="O140" s="226"/>
      <c r="P140" s="226"/>
      <c r="Q140" s="226"/>
      <c r="R140" s="226" t="s">
        <v>440</v>
      </c>
      <c r="S140" s="226"/>
      <c r="T140" s="226"/>
      <c r="U140" s="226"/>
      <c r="V140" s="226"/>
      <c r="W140" s="226"/>
      <c r="X140" s="226"/>
      <c r="Y140" s="226"/>
      <c r="Z140" s="226"/>
      <c r="AA140" s="226"/>
      <c r="AB140" s="226"/>
      <c r="AC140" s="226"/>
      <c r="AD140" s="226"/>
      <c r="AE140" s="226"/>
      <c r="AF140" s="226"/>
      <c r="AG140" s="226"/>
      <c r="AH140" s="226"/>
      <c r="AI140" s="226"/>
      <c r="AJ140" s="226"/>
    </row>
    <row r="141" spans="1:36" s="13" customFormat="1">
      <c r="A141" s="11" t="s">
        <v>293</v>
      </c>
      <c r="B141" s="227"/>
      <c r="C141" s="226"/>
      <c r="D141" s="226"/>
      <c r="E141" s="226"/>
      <c r="F141" s="226"/>
      <c r="G141" s="226"/>
      <c r="H141" s="226"/>
      <c r="I141" s="226"/>
      <c r="J141" s="226" t="s">
        <v>155</v>
      </c>
      <c r="K141" s="226"/>
      <c r="L141" s="226"/>
      <c r="M141" s="226"/>
      <c r="N141" s="226"/>
      <c r="O141" s="226"/>
      <c r="P141" s="226"/>
      <c r="Q141" s="226"/>
      <c r="R141" s="226" t="s">
        <v>431</v>
      </c>
      <c r="S141" s="226"/>
      <c r="T141" s="226"/>
      <c r="U141" s="226"/>
      <c r="V141" s="226"/>
      <c r="W141" s="226"/>
      <c r="X141" s="226"/>
      <c r="Y141" s="226"/>
      <c r="Z141" s="226"/>
      <c r="AA141" s="226"/>
      <c r="AB141" s="226"/>
      <c r="AC141" s="226"/>
      <c r="AD141" s="226"/>
      <c r="AE141" s="226"/>
      <c r="AF141" s="226"/>
      <c r="AG141" s="226"/>
      <c r="AH141" s="226"/>
      <c r="AI141" s="226"/>
      <c r="AJ141" s="226"/>
    </row>
    <row r="142" spans="1:36" s="13" customFormat="1">
      <c r="A142" s="11" t="s">
        <v>293</v>
      </c>
      <c r="B142" s="227"/>
      <c r="C142" s="226"/>
      <c r="D142" s="226"/>
      <c r="E142" s="226"/>
      <c r="F142" s="226"/>
      <c r="G142" s="226"/>
      <c r="H142" s="226"/>
      <c r="I142" s="226"/>
      <c r="J142" s="226" t="s">
        <v>227</v>
      </c>
      <c r="K142" s="226"/>
      <c r="L142" s="226"/>
      <c r="M142" s="226"/>
      <c r="N142" s="226"/>
      <c r="O142" s="226"/>
      <c r="P142" s="226"/>
      <c r="Q142" s="226"/>
      <c r="R142" s="226" t="s">
        <v>424</v>
      </c>
      <c r="S142" s="226"/>
      <c r="T142" s="226"/>
      <c r="U142" s="226"/>
      <c r="V142" s="226"/>
      <c r="W142" s="226"/>
      <c r="X142" s="226"/>
      <c r="Y142" s="226"/>
      <c r="Z142" s="226"/>
      <c r="AA142" s="226"/>
      <c r="AB142" s="226"/>
      <c r="AC142" s="226"/>
      <c r="AD142" s="226"/>
      <c r="AE142" s="226"/>
      <c r="AF142" s="226"/>
      <c r="AG142" s="226"/>
      <c r="AH142" s="226"/>
      <c r="AI142" s="226"/>
      <c r="AJ142" s="226"/>
    </row>
    <row r="143" spans="1:36" s="13" customFormat="1">
      <c r="A143" s="11" t="s">
        <v>293</v>
      </c>
      <c r="B143" s="227"/>
      <c r="C143" s="226"/>
      <c r="D143" s="226"/>
      <c r="E143" s="226"/>
      <c r="F143" s="226"/>
      <c r="G143" s="226"/>
      <c r="H143" s="226"/>
      <c r="I143" s="226"/>
      <c r="J143" s="226" t="s">
        <v>153</v>
      </c>
      <c r="K143" s="226"/>
      <c r="L143" s="226"/>
      <c r="M143" s="226"/>
      <c r="N143" s="226"/>
      <c r="O143" s="226"/>
      <c r="P143" s="226"/>
      <c r="Q143" s="226"/>
      <c r="R143" s="226" t="s">
        <v>430</v>
      </c>
      <c r="S143" s="226"/>
      <c r="T143" s="226"/>
      <c r="U143" s="226"/>
      <c r="V143" s="226"/>
      <c r="W143" s="226"/>
      <c r="X143" s="226"/>
      <c r="Y143" s="226"/>
      <c r="Z143" s="226"/>
      <c r="AA143" s="226"/>
      <c r="AB143" s="226"/>
      <c r="AC143" s="226"/>
      <c r="AD143" s="226"/>
      <c r="AE143" s="226"/>
      <c r="AF143" s="226"/>
      <c r="AG143" s="226"/>
      <c r="AH143" s="226"/>
      <c r="AI143" s="226"/>
      <c r="AJ143" s="226"/>
    </row>
    <row r="144" spans="1:36" s="13" customFormat="1">
      <c r="A144" s="11" t="s">
        <v>293</v>
      </c>
      <c r="B144" s="227"/>
      <c r="C144" s="226"/>
      <c r="D144" s="226"/>
      <c r="E144" s="226"/>
      <c r="F144" s="226"/>
      <c r="G144" s="226"/>
      <c r="H144" s="226"/>
      <c r="I144" s="226"/>
      <c r="J144" s="226" t="s">
        <v>152</v>
      </c>
      <c r="K144" s="226"/>
      <c r="L144" s="226"/>
      <c r="M144" s="226"/>
      <c r="N144" s="226"/>
      <c r="O144" s="226"/>
      <c r="P144" s="226"/>
      <c r="Q144" s="226"/>
      <c r="R144" s="226" t="s">
        <v>434</v>
      </c>
      <c r="S144" s="226"/>
      <c r="T144" s="226"/>
      <c r="U144" s="226"/>
      <c r="V144" s="226"/>
      <c r="W144" s="226"/>
      <c r="X144" s="226"/>
      <c r="Y144" s="226"/>
      <c r="Z144" s="226"/>
      <c r="AA144" s="226"/>
      <c r="AB144" s="226"/>
      <c r="AC144" s="226"/>
      <c r="AD144" s="226"/>
      <c r="AE144" s="226"/>
      <c r="AF144" s="226"/>
      <c r="AG144" s="226"/>
      <c r="AH144" s="226"/>
      <c r="AI144" s="226"/>
      <c r="AJ144" s="226"/>
    </row>
    <row r="145" spans="1:36" s="13" customFormat="1">
      <c r="A145" s="11" t="s">
        <v>293</v>
      </c>
      <c r="B145" s="227"/>
      <c r="C145" s="226"/>
      <c r="D145" s="226"/>
      <c r="E145" s="226"/>
      <c r="F145" s="226"/>
      <c r="G145" s="226"/>
      <c r="H145" s="226"/>
      <c r="I145" s="226"/>
      <c r="J145" s="226" t="s">
        <v>15</v>
      </c>
      <c r="K145" s="226"/>
      <c r="L145" s="226"/>
      <c r="M145" s="226"/>
      <c r="N145" s="226"/>
      <c r="O145" s="226"/>
      <c r="P145" s="226"/>
      <c r="Q145" s="226"/>
      <c r="R145" s="226" t="s">
        <v>438</v>
      </c>
      <c r="S145" s="226"/>
      <c r="T145" s="226"/>
      <c r="U145" s="226"/>
      <c r="V145" s="226"/>
      <c r="W145" s="226"/>
      <c r="X145" s="226"/>
      <c r="Y145" s="226"/>
      <c r="Z145" s="226"/>
      <c r="AA145" s="226"/>
      <c r="AB145" s="226"/>
      <c r="AC145" s="226"/>
      <c r="AD145" s="226"/>
      <c r="AE145" s="226"/>
      <c r="AF145" s="226"/>
      <c r="AG145" s="226"/>
      <c r="AH145" s="226"/>
      <c r="AI145" s="226"/>
      <c r="AJ145" s="226"/>
    </row>
    <row r="146" spans="1:36" s="13" customFormat="1">
      <c r="A146" s="11" t="s">
        <v>293</v>
      </c>
      <c r="B146" s="227"/>
      <c r="C146" s="226"/>
      <c r="D146" s="226"/>
      <c r="E146" s="226"/>
      <c r="F146" s="226"/>
      <c r="G146" s="226"/>
      <c r="H146" s="226"/>
      <c r="I146" s="226"/>
      <c r="J146" s="226" t="s">
        <v>16</v>
      </c>
      <c r="K146" s="226"/>
      <c r="L146" s="226"/>
      <c r="M146" s="226"/>
      <c r="N146" s="226"/>
      <c r="O146" s="226"/>
      <c r="P146" s="226"/>
      <c r="Q146" s="226"/>
      <c r="R146" s="226" t="s">
        <v>435</v>
      </c>
      <c r="S146" s="226"/>
      <c r="T146" s="226"/>
      <c r="U146" s="226"/>
      <c r="V146" s="226"/>
      <c r="W146" s="226"/>
      <c r="X146" s="226"/>
      <c r="Y146" s="226"/>
      <c r="Z146" s="226"/>
      <c r="AA146" s="226"/>
      <c r="AB146" s="226"/>
      <c r="AC146" s="226"/>
      <c r="AD146" s="226"/>
      <c r="AE146" s="226"/>
      <c r="AF146" s="226"/>
      <c r="AG146" s="226"/>
      <c r="AH146" s="226"/>
      <c r="AI146" s="226"/>
      <c r="AJ146" s="226"/>
    </row>
    <row r="147" spans="1:36" s="13" customFormat="1">
      <c r="A147" s="11" t="s">
        <v>293</v>
      </c>
      <c r="B147" s="227"/>
      <c r="C147" s="226"/>
      <c r="D147" s="226"/>
      <c r="E147" s="226"/>
      <c r="F147" s="226"/>
      <c r="G147" s="226"/>
      <c r="H147" s="226"/>
      <c r="I147" s="226"/>
      <c r="J147" s="226" t="s">
        <v>14</v>
      </c>
      <c r="K147" s="226"/>
      <c r="L147" s="226"/>
      <c r="M147" s="226"/>
      <c r="N147" s="226"/>
      <c r="O147" s="226"/>
      <c r="P147" s="226"/>
      <c r="Q147" s="226"/>
      <c r="R147" s="226" t="s">
        <v>426</v>
      </c>
      <c r="S147" s="226"/>
      <c r="T147" s="226"/>
      <c r="U147" s="226"/>
      <c r="V147" s="226"/>
      <c r="W147" s="226"/>
      <c r="X147" s="226"/>
      <c r="Y147" s="226"/>
      <c r="Z147" s="226"/>
      <c r="AA147" s="226"/>
      <c r="AB147" s="226"/>
      <c r="AC147" s="226"/>
      <c r="AD147" s="226"/>
      <c r="AE147" s="226"/>
      <c r="AF147" s="226"/>
      <c r="AG147" s="226"/>
      <c r="AH147" s="226"/>
      <c r="AI147" s="226"/>
      <c r="AJ147" s="226"/>
    </row>
    <row r="148" spans="1:36" s="13" customFormat="1">
      <c r="A148" s="11" t="s">
        <v>293</v>
      </c>
      <c r="B148" s="227"/>
      <c r="C148" s="226"/>
      <c r="D148" s="226"/>
      <c r="E148" s="226"/>
      <c r="F148" s="226"/>
      <c r="G148" s="226"/>
      <c r="H148" s="226"/>
      <c r="I148" s="226"/>
      <c r="J148" s="226" t="s">
        <v>154</v>
      </c>
      <c r="K148" s="226"/>
      <c r="L148" s="226"/>
      <c r="M148" s="226"/>
      <c r="N148" s="226"/>
      <c r="O148" s="226"/>
      <c r="P148" s="226"/>
      <c r="Q148" s="226"/>
      <c r="R148" s="226" t="s">
        <v>353</v>
      </c>
      <c r="S148" s="226"/>
      <c r="T148" s="226"/>
      <c r="U148" s="226"/>
      <c r="V148" s="226"/>
      <c r="W148" s="226"/>
      <c r="X148" s="226"/>
      <c r="Y148" s="226"/>
      <c r="Z148" s="226"/>
      <c r="AA148" s="226"/>
      <c r="AB148" s="226"/>
      <c r="AC148" s="226"/>
      <c r="AD148" s="226"/>
      <c r="AE148" s="226"/>
      <c r="AF148" s="226"/>
      <c r="AG148" s="226"/>
      <c r="AH148" s="226"/>
      <c r="AI148" s="226"/>
      <c r="AJ148" s="226"/>
    </row>
    <row r="149" spans="1:36" s="13" customFormat="1">
      <c r="A149" s="11" t="s">
        <v>293</v>
      </c>
      <c r="B149" s="227"/>
      <c r="C149" s="226"/>
      <c r="D149" s="226"/>
      <c r="E149" s="226"/>
      <c r="F149" s="226"/>
      <c r="G149" s="226"/>
      <c r="H149" s="226"/>
      <c r="I149" s="226"/>
      <c r="J149" s="226" t="s">
        <v>175</v>
      </c>
      <c r="K149" s="226"/>
      <c r="L149" s="226"/>
      <c r="M149" s="226"/>
      <c r="N149" s="226"/>
      <c r="O149" s="226"/>
      <c r="P149" s="226"/>
      <c r="Q149" s="226"/>
      <c r="R149" s="226" t="s">
        <v>443</v>
      </c>
      <c r="S149" s="226"/>
      <c r="T149" s="226"/>
      <c r="U149" s="226"/>
      <c r="V149" s="226"/>
      <c r="W149" s="226"/>
      <c r="X149" s="226"/>
      <c r="Y149" s="226"/>
      <c r="Z149" s="226"/>
      <c r="AA149" s="226"/>
      <c r="AB149" s="226"/>
      <c r="AC149" s="226"/>
      <c r="AD149" s="226"/>
      <c r="AE149" s="226"/>
      <c r="AF149" s="226"/>
      <c r="AG149" s="226"/>
      <c r="AH149" s="226"/>
      <c r="AI149" s="226"/>
      <c r="AJ149" s="226"/>
    </row>
    <row r="150" spans="1:36" s="13" customFormat="1">
      <c r="A150" s="11" t="s">
        <v>293</v>
      </c>
      <c r="B150" s="227"/>
      <c r="C150" s="226"/>
      <c r="D150" s="226"/>
      <c r="E150" s="226"/>
      <c r="F150" s="226"/>
      <c r="G150" s="226"/>
      <c r="H150" s="226"/>
      <c r="I150" s="226"/>
      <c r="J150" s="226" t="s">
        <v>171</v>
      </c>
      <c r="K150" s="226"/>
      <c r="L150" s="226"/>
      <c r="M150" s="226"/>
      <c r="N150" s="226"/>
      <c r="O150" s="226"/>
      <c r="P150" s="226"/>
      <c r="Q150" s="226"/>
      <c r="R150" s="226" t="s">
        <v>439</v>
      </c>
      <c r="S150" s="226"/>
      <c r="T150" s="226"/>
      <c r="U150" s="226"/>
      <c r="V150" s="226"/>
      <c r="W150" s="226"/>
      <c r="X150" s="226"/>
      <c r="Y150" s="226"/>
      <c r="Z150" s="226"/>
      <c r="AA150" s="226"/>
      <c r="AB150" s="226"/>
      <c r="AC150" s="226"/>
      <c r="AD150" s="226"/>
      <c r="AE150" s="226"/>
      <c r="AF150" s="226"/>
      <c r="AG150" s="226"/>
      <c r="AH150" s="226"/>
      <c r="AI150" s="226"/>
      <c r="AJ150" s="226"/>
    </row>
    <row r="151" spans="1:36" s="13" customFormat="1">
      <c r="A151" s="11" t="s">
        <v>293</v>
      </c>
      <c r="B151" s="227"/>
      <c r="C151" s="226"/>
      <c r="D151" s="226"/>
      <c r="E151" s="226"/>
      <c r="F151" s="226"/>
      <c r="G151" s="226"/>
      <c r="H151" s="226"/>
      <c r="I151" s="226"/>
      <c r="J151" s="226" t="s">
        <v>170</v>
      </c>
      <c r="K151" s="226"/>
      <c r="L151" s="226"/>
      <c r="M151" s="226"/>
      <c r="N151" s="226"/>
      <c r="O151" s="226"/>
      <c r="P151" s="226"/>
      <c r="Q151" s="226"/>
      <c r="R151" s="226" t="s">
        <v>447</v>
      </c>
      <c r="S151" s="226"/>
      <c r="T151" s="226"/>
      <c r="U151" s="226"/>
      <c r="V151" s="226"/>
      <c r="W151" s="226"/>
      <c r="X151" s="226"/>
      <c r="Y151" s="226"/>
      <c r="Z151" s="226"/>
      <c r="AA151" s="226"/>
      <c r="AB151" s="226"/>
      <c r="AC151" s="226"/>
      <c r="AD151" s="226"/>
      <c r="AE151" s="226"/>
      <c r="AF151" s="226"/>
      <c r="AG151" s="226"/>
      <c r="AH151" s="226"/>
      <c r="AI151" s="226"/>
      <c r="AJ151" s="226"/>
    </row>
    <row r="152" spans="1:36" s="13" customFormat="1">
      <c r="A152" s="11" t="s">
        <v>293</v>
      </c>
      <c r="B152" s="227"/>
      <c r="C152" s="226"/>
      <c r="D152" s="226"/>
      <c r="E152" s="226"/>
      <c r="F152" s="226"/>
      <c r="G152" s="226"/>
      <c r="H152" s="226"/>
      <c r="I152" s="226"/>
      <c r="J152" s="226" t="s">
        <v>173</v>
      </c>
      <c r="K152" s="226"/>
      <c r="L152" s="226"/>
      <c r="M152" s="226"/>
      <c r="N152" s="226"/>
      <c r="O152" s="226"/>
      <c r="P152" s="226"/>
      <c r="Q152" s="226"/>
      <c r="R152" s="226" t="s">
        <v>445</v>
      </c>
      <c r="S152" s="226"/>
      <c r="T152" s="226"/>
      <c r="U152" s="226"/>
      <c r="V152" s="226"/>
      <c r="W152" s="226"/>
      <c r="X152" s="226"/>
      <c r="Y152" s="226"/>
      <c r="Z152" s="226"/>
      <c r="AA152" s="226"/>
      <c r="AB152" s="226"/>
      <c r="AC152" s="226"/>
      <c r="AD152" s="226"/>
      <c r="AE152" s="226"/>
      <c r="AF152" s="226"/>
      <c r="AG152" s="226"/>
      <c r="AH152" s="226"/>
      <c r="AI152" s="226"/>
      <c r="AJ152" s="226"/>
    </row>
    <row r="153" spans="1:36" s="13" customFormat="1">
      <c r="A153" s="11" t="s">
        <v>293</v>
      </c>
      <c r="B153" s="227"/>
      <c r="C153" s="226"/>
      <c r="D153" s="226"/>
      <c r="E153" s="226"/>
      <c r="F153" s="226"/>
      <c r="G153" s="226"/>
      <c r="H153" s="226"/>
      <c r="I153" s="226"/>
      <c r="J153" s="226" t="s">
        <v>211</v>
      </c>
      <c r="K153" s="226"/>
      <c r="L153" s="226"/>
      <c r="M153" s="226"/>
      <c r="N153" s="226"/>
      <c r="O153" s="226"/>
      <c r="P153" s="226"/>
      <c r="Q153" s="226"/>
      <c r="R153" s="226" t="s">
        <v>452</v>
      </c>
      <c r="S153" s="226"/>
      <c r="T153" s="226"/>
      <c r="U153" s="226"/>
      <c r="V153" s="226"/>
      <c r="W153" s="226"/>
      <c r="X153" s="226"/>
      <c r="Y153" s="226"/>
      <c r="Z153" s="226"/>
      <c r="AA153" s="226"/>
      <c r="AB153" s="226"/>
      <c r="AC153" s="226"/>
      <c r="AD153" s="226"/>
      <c r="AE153" s="226"/>
      <c r="AF153" s="226"/>
      <c r="AG153" s="226"/>
      <c r="AH153" s="226"/>
      <c r="AI153" s="226"/>
      <c r="AJ153" s="226"/>
    </row>
    <row r="154" spans="1:36" s="13" customFormat="1">
      <c r="A154" s="11" t="s">
        <v>293</v>
      </c>
      <c r="B154" s="227"/>
      <c r="C154" s="226"/>
      <c r="D154" s="226"/>
      <c r="E154" s="226"/>
      <c r="F154" s="226"/>
      <c r="G154" s="226"/>
      <c r="H154" s="226"/>
      <c r="I154" s="226"/>
      <c r="J154" s="226" t="s">
        <v>158</v>
      </c>
      <c r="K154" s="226"/>
      <c r="L154" s="226"/>
      <c r="M154" s="226"/>
      <c r="N154" s="226"/>
      <c r="O154" s="226"/>
      <c r="P154" s="226"/>
      <c r="Q154" s="226"/>
      <c r="R154" s="226" t="s">
        <v>450</v>
      </c>
      <c r="S154" s="226"/>
      <c r="T154" s="226"/>
      <c r="U154" s="226"/>
      <c r="V154" s="226"/>
      <c r="W154" s="226"/>
      <c r="X154" s="226"/>
      <c r="Y154" s="226"/>
      <c r="Z154" s="226"/>
      <c r="AA154" s="226"/>
      <c r="AB154" s="226"/>
      <c r="AC154" s="226"/>
      <c r="AD154" s="226"/>
      <c r="AE154" s="226"/>
      <c r="AF154" s="226"/>
      <c r="AG154" s="226"/>
      <c r="AH154" s="226"/>
      <c r="AI154" s="226"/>
      <c r="AJ154" s="226"/>
    </row>
    <row r="155" spans="1:36" s="13" customFormat="1">
      <c r="A155" s="11" t="s">
        <v>293</v>
      </c>
      <c r="B155" s="227"/>
      <c r="C155" s="226"/>
      <c r="D155" s="226"/>
      <c r="E155" s="226"/>
      <c r="F155" s="226"/>
      <c r="G155" s="226"/>
      <c r="H155" s="226"/>
      <c r="I155" s="226"/>
      <c r="J155" s="226" t="s">
        <v>163</v>
      </c>
      <c r="K155" s="226"/>
      <c r="L155" s="226"/>
      <c r="M155" s="226"/>
      <c r="N155" s="226"/>
      <c r="O155" s="226"/>
      <c r="P155" s="226"/>
      <c r="Q155" s="226"/>
      <c r="R155" s="226" t="s">
        <v>448</v>
      </c>
      <c r="S155" s="226"/>
      <c r="T155" s="226"/>
      <c r="U155" s="226"/>
      <c r="V155" s="226"/>
      <c r="W155" s="226"/>
      <c r="X155" s="226"/>
      <c r="Y155" s="226"/>
      <c r="Z155" s="226"/>
      <c r="AA155" s="226"/>
      <c r="AB155" s="226"/>
      <c r="AC155" s="226"/>
      <c r="AD155" s="226"/>
      <c r="AE155" s="226"/>
      <c r="AF155" s="226"/>
      <c r="AG155" s="226"/>
      <c r="AH155" s="226"/>
      <c r="AI155" s="226"/>
      <c r="AJ155" s="226"/>
    </row>
    <row r="156" spans="1:36" s="13" customFormat="1">
      <c r="A156" s="11" t="s">
        <v>293</v>
      </c>
      <c r="B156" s="227"/>
      <c r="C156" s="226"/>
      <c r="D156" s="226"/>
      <c r="E156" s="226"/>
      <c r="F156" s="226"/>
      <c r="G156" s="226"/>
      <c r="H156" s="226"/>
      <c r="I156" s="226"/>
      <c r="J156" s="226" t="s">
        <v>157</v>
      </c>
      <c r="K156" s="226"/>
      <c r="L156" s="226"/>
      <c r="M156" s="226"/>
      <c r="N156" s="226"/>
      <c r="O156" s="226"/>
      <c r="P156" s="226"/>
      <c r="Q156" s="226"/>
      <c r="R156" s="226" t="s">
        <v>451</v>
      </c>
      <c r="S156" s="226"/>
      <c r="T156" s="226"/>
      <c r="U156" s="226"/>
      <c r="V156" s="226"/>
      <c r="W156" s="226"/>
      <c r="X156" s="226"/>
      <c r="Y156" s="226"/>
      <c r="Z156" s="226"/>
      <c r="AA156" s="226"/>
      <c r="AB156" s="226"/>
      <c r="AC156" s="226"/>
      <c r="AD156" s="226"/>
      <c r="AE156" s="226"/>
      <c r="AF156" s="226"/>
      <c r="AG156" s="226"/>
      <c r="AH156" s="226"/>
      <c r="AI156" s="226"/>
      <c r="AJ156" s="226"/>
    </row>
    <row r="157" spans="1:36" s="13" customFormat="1">
      <c r="A157" s="11" t="s">
        <v>293</v>
      </c>
      <c r="B157" s="227"/>
      <c r="C157" s="226"/>
      <c r="D157" s="226"/>
      <c r="E157" s="226"/>
      <c r="F157" s="226"/>
      <c r="G157" s="226"/>
      <c r="H157" s="226"/>
      <c r="I157" s="226"/>
      <c r="J157" s="226" t="s">
        <v>162</v>
      </c>
      <c r="K157" s="226"/>
      <c r="L157" s="226"/>
      <c r="M157" s="226"/>
      <c r="N157" s="226"/>
      <c r="O157" s="226"/>
      <c r="P157" s="226"/>
      <c r="Q157" s="226"/>
      <c r="R157" s="226" t="s">
        <v>449</v>
      </c>
      <c r="S157" s="226"/>
      <c r="T157" s="226"/>
      <c r="U157" s="226"/>
      <c r="V157" s="226"/>
      <c r="W157" s="226"/>
      <c r="X157" s="226"/>
      <c r="Y157" s="226"/>
      <c r="Z157" s="226"/>
      <c r="AA157" s="226"/>
      <c r="AB157" s="226"/>
      <c r="AC157" s="226"/>
      <c r="AD157" s="226"/>
      <c r="AE157" s="226"/>
      <c r="AF157" s="226"/>
      <c r="AG157" s="226"/>
      <c r="AH157" s="226"/>
      <c r="AI157" s="226"/>
      <c r="AJ157" s="226"/>
    </row>
    <row r="158" spans="1:36" s="13" customFormat="1">
      <c r="A158" s="11" t="s">
        <v>293</v>
      </c>
      <c r="B158" s="227"/>
      <c r="C158" s="226"/>
      <c r="D158" s="226"/>
      <c r="E158" s="226"/>
      <c r="F158" s="226"/>
      <c r="G158" s="226"/>
      <c r="H158" s="226"/>
      <c r="I158" s="226"/>
      <c r="J158" s="226" t="s">
        <v>177</v>
      </c>
      <c r="K158" s="226"/>
      <c r="L158" s="226"/>
      <c r="M158" s="226"/>
      <c r="N158" s="226"/>
      <c r="O158" s="226"/>
      <c r="P158" s="226"/>
      <c r="Q158" s="226"/>
      <c r="R158" s="226" t="s">
        <v>444</v>
      </c>
      <c r="S158" s="226"/>
      <c r="T158" s="226"/>
      <c r="U158" s="226"/>
      <c r="V158" s="226"/>
      <c r="W158" s="226"/>
      <c r="X158" s="226"/>
      <c r="Y158" s="226"/>
      <c r="Z158" s="226"/>
      <c r="AA158" s="226"/>
      <c r="AB158" s="226"/>
      <c r="AC158" s="226"/>
      <c r="AD158" s="226"/>
      <c r="AE158" s="226"/>
      <c r="AF158" s="226"/>
      <c r="AG158" s="226"/>
      <c r="AH158" s="226"/>
      <c r="AI158" s="226"/>
      <c r="AJ158" s="226"/>
    </row>
    <row r="159" spans="1:36" s="13" customFormat="1">
      <c r="A159" s="11" t="s">
        <v>293</v>
      </c>
      <c r="B159" s="227"/>
      <c r="C159" s="226"/>
      <c r="D159" s="226"/>
      <c r="E159" s="226"/>
      <c r="F159" s="226"/>
      <c r="G159" s="226"/>
      <c r="H159" s="226"/>
      <c r="I159" s="226"/>
      <c r="J159" s="226" t="s">
        <v>172</v>
      </c>
      <c r="K159" s="226"/>
      <c r="L159" s="226"/>
      <c r="M159" s="226"/>
      <c r="N159" s="226"/>
      <c r="O159" s="226"/>
      <c r="P159" s="226"/>
      <c r="Q159" s="226"/>
      <c r="R159" s="226" t="s">
        <v>446</v>
      </c>
      <c r="S159" s="226"/>
      <c r="T159" s="226"/>
      <c r="U159" s="226"/>
      <c r="V159" s="226"/>
      <c r="W159" s="226"/>
      <c r="X159" s="226"/>
      <c r="Y159" s="226"/>
      <c r="Z159" s="226"/>
      <c r="AA159" s="226"/>
      <c r="AB159" s="226"/>
      <c r="AC159" s="226"/>
      <c r="AD159" s="226"/>
      <c r="AE159" s="226"/>
      <c r="AF159" s="226"/>
      <c r="AG159" s="226"/>
      <c r="AH159" s="226"/>
      <c r="AI159" s="226"/>
      <c r="AJ159" s="226"/>
    </row>
    <row r="160" spans="1:36" s="13" customFormat="1">
      <c r="A160" s="11" t="s">
        <v>293</v>
      </c>
      <c r="B160" s="227"/>
      <c r="C160" s="226"/>
      <c r="D160" s="226"/>
      <c r="E160" s="226"/>
      <c r="F160" s="226"/>
      <c r="G160" s="226"/>
      <c r="H160" s="226"/>
      <c r="I160" s="226"/>
      <c r="J160" s="226" t="s">
        <v>156</v>
      </c>
      <c r="K160" s="226"/>
      <c r="L160" s="226"/>
      <c r="M160" s="226"/>
      <c r="N160" s="226"/>
      <c r="O160" s="226"/>
      <c r="P160" s="226"/>
      <c r="Q160" s="226"/>
      <c r="R160" s="226" t="s">
        <v>454</v>
      </c>
      <c r="S160" s="226"/>
      <c r="T160" s="226"/>
      <c r="U160" s="226"/>
      <c r="V160" s="226"/>
      <c r="W160" s="226"/>
      <c r="X160" s="226"/>
      <c r="Y160" s="226"/>
      <c r="Z160" s="226"/>
      <c r="AA160" s="226"/>
      <c r="AB160" s="226"/>
      <c r="AC160" s="226"/>
      <c r="AD160" s="226"/>
      <c r="AE160" s="226"/>
      <c r="AF160" s="226"/>
      <c r="AG160" s="226"/>
      <c r="AH160" s="226"/>
      <c r="AI160" s="226"/>
      <c r="AJ160" s="226"/>
    </row>
    <row r="161" spans="1:36" s="13" customFormat="1">
      <c r="A161" s="11" t="s">
        <v>293</v>
      </c>
      <c r="B161" s="227"/>
      <c r="C161" s="226"/>
      <c r="D161" s="226"/>
      <c r="E161" s="226"/>
      <c r="F161" s="226"/>
      <c r="G161" s="226"/>
      <c r="H161" s="226"/>
      <c r="I161" s="226"/>
      <c r="J161" s="226" t="s">
        <v>190</v>
      </c>
      <c r="K161" s="226"/>
      <c r="L161" s="226"/>
      <c r="M161" s="226"/>
      <c r="N161" s="226"/>
      <c r="O161" s="226"/>
      <c r="P161" s="226"/>
      <c r="Q161" s="226"/>
      <c r="R161" s="226" t="s">
        <v>453</v>
      </c>
      <c r="S161" s="226"/>
      <c r="T161" s="226"/>
      <c r="U161" s="226"/>
      <c r="V161" s="226"/>
      <c r="W161" s="226"/>
      <c r="X161" s="226"/>
      <c r="Y161" s="226"/>
      <c r="Z161" s="226"/>
      <c r="AA161" s="226"/>
      <c r="AB161" s="226"/>
      <c r="AC161" s="226"/>
      <c r="AD161" s="226"/>
      <c r="AE161" s="226"/>
      <c r="AF161" s="226"/>
      <c r="AG161" s="226"/>
      <c r="AH161" s="226"/>
      <c r="AI161" s="226"/>
      <c r="AJ161" s="226"/>
    </row>
    <row r="162" spans="1:36" s="13" customFormat="1">
      <c r="A162" s="11" t="s">
        <v>293</v>
      </c>
      <c r="B162" s="227"/>
      <c r="C162" s="226"/>
      <c r="D162" s="226"/>
      <c r="E162" s="226"/>
      <c r="F162" s="226"/>
      <c r="G162" s="226"/>
      <c r="H162" s="226"/>
      <c r="I162" s="226"/>
      <c r="J162" s="226" t="s">
        <v>164</v>
      </c>
      <c r="K162" s="226"/>
      <c r="L162" s="226"/>
      <c r="M162" s="226"/>
      <c r="N162" s="226"/>
      <c r="O162" s="226"/>
      <c r="P162" s="226"/>
      <c r="Q162" s="226"/>
      <c r="R162" s="226" t="s">
        <v>299</v>
      </c>
      <c r="S162" s="226"/>
      <c r="T162" s="226"/>
      <c r="U162" s="226"/>
      <c r="V162" s="226"/>
      <c r="W162" s="226"/>
      <c r="X162" s="226"/>
      <c r="Y162" s="226"/>
      <c r="Z162" s="226"/>
      <c r="AA162" s="226"/>
      <c r="AB162" s="226"/>
      <c r="AC162" s="226"/>
      <c r="AD162" s="226"/>
      <c r="AE162" s="226"/>
      <c r="AF162" s="226"/>
      <c r="AG162" s="226"/>
      <c r="AH162" s="226"/>
      <c r="AI162" s="226"/>
      <c r="AJ162" s="226"/>
    </row>
    <row r="163" spans="1:36" s="13" customFormat="1">
      <c r="A163" s="11" t="s">
        <v>293</v>
      </c>
      <c r="B163" s="227"/>
      <c r="C163" s="226"/>
      <c r="D163" s="226"/>
      <c r="E163" s="226"/>
      <c r="F163" s="226"/>
      <c r="G163" s="226"/>
      <c r="H163" s="226"/>
      <c r="I163" s="226"/>
      <c r="J163" s="226" t="s">
        <v>165</v>
      </c>
      <c r="K163" s="226"/>
      <c r="L163" s="226"/>
      <c r="M163" s="226"/>
      <c r="N163" s="226"/>
      <c r="O163" s="226"/>
      <c r="P163" s="226"/>
      <c r="Q163" s="226"/>
      <c r="R163" s="226" t="s">
        <v>456</v>
      </c>
      <c r="S163" s="226"/>
      <c r="T163" s="226"/>
      <c r="U163" s="226"/>
      <c r="V163" s="226"/>
      <c r="W163" s="226"/>
      <c r="X163" s="226"/>
      <c r="Y163" s="226"/>
      <c r="Z163" s="226"/>
      <c r="AA163" s="226"/>
      <c r="AB163" s="226"/>
      <c r="AC163" s="226"/>
      <c r="AD163" s="226"/>
      <c r="AE163" s="226"/>
      <c r="AF163" s="226"/>
      <c r="AG163" s="226"/>
      <c r="AH163" s="226"/>
      <c r="AI163" s="226"/>
      <c r="AJ163" s="226"/>
    </row>
    <row r="164" spans="1:36" s="13" customFormat="1">
      <c r="A164" s="11" t="s">
        <v>293</v>
      </c>
      <c r="B164" s="227"/>
      <c r="C164" s="226"/>
      <c r="D164" s="226"/>
      <c r="E164" s="226"/>
      <c r="F164" s="226"/>
      <c r="G164" s="226"/>
      <c r="H164" s="226"/>
      <c r="I164" s="226"/>
      <c r="J164" s="226" t="s">
        <v>174</v>
      </c>
      <c r="K164" s="226"/>
      <c r="L164" s="226"/>
      <c r="M164" s="226"/>
      <c r="N164" s="226"/>
      <c r="O164" s="226"/>
      <c r="P164" s="226"/>
      <c r="Q164" s="226"/>
      <c r="R164" s="226" t="s">
        <v>458</v>
      </c>
      <c r="S164" s="226"/>
      <c r="T164" s="226"/>
      <c r="U164" s="226"/>
      <c r="V164" s="226"/>
      <c r="W164" s="226"/>
      <c r="X164" s="226"/>
      <c r="Y164" s="226"/>
      <c r="Z164" s="226"/>
      <c r="AA164" s="226"/>
      <c r="AB164" s="226"/>
      <c r="AC164" s="226"/>
      <c r="AD164" s="226"/>
      <c r="AE164" s="226"/>
      <c r="AF164" s="226"/>
      <c r="AG164" s="226"/>
      <c r="AH164" s="226"/>
      <c r="AI164" s="226"/>
      <c r="AJ164" s="226"/>
    </row>
    <row r="165" spans="1:36" s="13" customFormat="1">
      <c r="A165" s="11" t="s">
        <v>293</v>
      </c>
      <c r="B165" s="227"/>
      <c r="C165" s="226"/>
      <c r="D165" s="226"/>
      <c r="E165" s="226"/>
      <c r="F165" s="226"/>
      <c r="G165" s="226"/>
      <c r="H165" s="226"/>
      <c r="I165" s="226"/>
      <c r="J165" s="226" t="s">
        <v>18</v>
      </c>
      <c r="K165" s="226"/>
      <c r="L165" s="226"/>
      <c r="M165" s="226"/>
      <c r="N165" s="226"/>
      <c r="O165" s="226"/>
      <c r="P165" s="226"/>
      <c r="Q165" s="226"/>
      <c r="R165" s="226" t="s">
        <v>457</v>
      </c>
      <c r="S165" s="226"/>
      <c r="T165" s="226"/>
      <c r="U165" s="226"/>
      <c r="V165" s="226"/>
      <c r="W165" s="226"/>
      <c r="X165" s="226"/>
      <c r="Y165" s="226"/>
      <c r="Z165" s="226"/>
      <c r="AA165" s="226"/>
      <c r="AB165" s="226"/>
      <c r="AC165" s="226"/>
      <c r="AD165" s="226"/>
      <c r="AE165" s="226"/>
      <c r="AF165" s="226"/>
      <c r="AG165" s="226"/>
      <c r="AH165" s="226"/>
      <c r="AI165" s="226"/>
      <c r="AJ165" s="226"/>
    </row>
    <row r="166" spans="1:36" s="13" customFormat="1">
      <c r="A166" s="11" t="s">
        <v>293</v>
      </c>
      <c r="B166" s="227"/>
      <c r="C166" s="226"/>
      <c r="D166" s="226"/>
      <c r="E166" s="226"/>
      <c r="F166" s="226"/>
      <c r="G166" s="226"/>
      <c r="H166" s="226"/>
      <c r="I166" s="226"/>
      <c r="J166" s="226" t="s">
        <v>166</v>
      </c>
      <c r="K166" s="226"/>
      <c r="L166" s="226"/>
      <c r="M166" s="226"/>
      <c r="N166" s="226"/>
      <c r="O166" s="226"/>
      <c r="P166" s="226"/>
      <c r="Q166" s="226"/>
      <c r="R166" s="226" t="s">
        <v>459</v>
      </c>
      <c r="S166" s="226"/>
      <c r="T166" s="226"/>
      <c r="U166" s="226"/>
      <c r="V166" s="226"/>
      <c r="W166" s="226"/>
      <c r="X166" s="226"/>
      <c r="Y166" s="226"/>
      <c r="Z166" s="226"/>
      <c r="AA166" s="226"/>
      <c r="AB166" s="226"/>
      <c r="AC166" s="226"/>
      <c r="AD166" s="226"/>
      <c r="AE166" s="226"/>
      <c r="AF166" s="226"/>
      <c r="AG166" s="226"/>
      <c r="AH166" s="226"/>
      <c r="AI166" s="226"/>
      <c r="AJ166" s="226"/>
    </row>
    <row r="167" spans="1:36" s="13" customFormat="1">
      <c r="A167" s="11" t="s">
        <v>293</v>
      </c>
      <c r="B167" s="227"/>
      <c r="C167" s="226"/>
      <c r="D167" s="226"/>
      <c r="E167" s="226"/>
      <c r="F167" s="226"/>
      <c r="G167" s="226"/>
      <c r="H167" s="226"/>
      <c r="I167" s="226"/>
      <c r="J167" s="226" t="s">
        <v>161</v>
      </c>
      <c r="K167" s="226"/>
      <c r="L167" s="226"/>
      <c r="M167" s="226"/>
      <c r="N167" s="226"/>
      <c r="O167" s="226"/>
      <c r="P167" s="226"/>
      <c r="Q167" s="226"/>
      <c r="R167" s="226" t="s">
        <v>460</v>
      </c>
      <c r="S167" s="226"/>
      <c r="T167" s="226"/>
      <c r="U167" s="226"/>
      <c r="V167" s="226"/>
      <c r="W167" s="226"/>
      <c r="X167" s="226"/>
      <c r="Y167" s="226"/>
      <c r="Z167" s="226"/>
      <c r="AA167" s="226"/>
      <c r="AB167" s="226"/>
      <c r="AC167" s="226"/>
      <c r="AD167" s="226"/>
      <c r="AE167" s="226"/>
      <c r="AF167" s="226"/>
      <c r="AG167" s="226"/>
      <c r="AH167" s="226"/>
      <c r="AI167" s="226"/>
      <c r="AJ167" s="226"/>
    </row>
    <row r="168" spans="1:36" s="13" customFormat="1">
      <c r="A168" s="11" t="s">
        <v>293</v>
      </c>
      <c r="B168" s="227"/>
      <c r="C168" s="226"/>
      <c r="D168" s="226"/>
      <c r="E168" s="226"/>
      <c r="F168" s="226"/>
      <c r="G168" s="226"/>
      <c r="H168" s="226"/>
      <c r="I168" s="226"/>
      <c r="J168" s="226" t="s">
        <v>159</v>
      </c>
      <c r="K168" s="226"/>
      <c r="L168" s="226"/>
      <c r="M168" s="226"/>
      <c r="N168" s="226"/>
      <c r="O168" s="226"/>
      <c r="P168" s="226"/>
      <c r="Q168" s="226"/>
      <c r="R168" s="226" t="s">
        <v>462</v>
      </c>
      <c r="S168" s="226"/>
      <c r="T168" s="226"/>
      <c r="U168" s="226"/>
      <c r="V168" s="226"/>
      <c r="W168" s="226"/>
      <c r="X168" s="226"/>
      <c r="Y168" s="226"/>
      <c r="Z168" s="226"/>
      <c r="AA168" s="226"/>
      <c r="AB168" s="226"/>
      <c r="AC168" s="226"/>
      <c r="AD168" s="226"/>
      <c r="AE168" s="226"/>
      <c r="AF168" s="226"/>
      <c r="AG168" s="226"/>
      <c r="AH168" s="226"/>
      <c r="AI168" s="226"/>
      <c r="AJ168" s="226"/>
    </row>
    <row r="169" spans="1:36" s="13" customFormat="1">
      <c r="A169" s="11" t="s">
        <v>293</v>
      </c>
      <c r="B169" s="227"/>
      <c r="C169" s="226"/>
      <c r="D169" s="226"/>
      <c r="E169" s="226"/>
      <c r="F169" s="226"/>
      <c r="G169" s="226"/>
      <c r="H169" s="226"/>
      <c r="I169" s="226"/>
      <c r="J169" s="226" t="s">
        <v>168</v>
      </c>
      <c r="K169" s="226"/>
      <c r="L169" s="226"/>
      <c r="M169" s="226"/>
      <c r="N169" s="226"/>
      <c r="O169" s="226"/>
      <c r="P169" s="226"/>
      <c r="Q169" s="226"/>
      <c r="R169" s="226" t="s">
        <v>463</v>
      </c>
      <c r="S169" s="226"/>
      <c r="T169" s="226"/>
      <c r="U169" s="226"/>
      <c r="V169" s="226"/>
      <c r="W169" s="226"/>
      <c r="X169" s="226"/>
      <c r="Y169" s="226"/>
      <c r="Z169" s="226"/>
      <c r="AA169" s="226"/>
      <c r="AB169" s="226"/>
      <c r="AC169" s="226"/>
      <c r="AD169" s="226"/>
      <c r="AE169" s="226"/>
      <c r="AF169" s="226"/>
      <c r="AG169" s="226"/>
      <c r="AH169" s="226"/>
      <c r="AI169" s="226"/>
      <c r="AJ169" s="226"/>
    </row>
    <row r="170" spans="1:36" s="13" customFormat="1">
      <c r="A170" s="11" t="s">
        <v>293</v>
      </c>
      <c r="B170" s="227"/>
      <c r="C170" s="226"/>
      <c r="D170" s="226"/>
      <c r="E170" s="226"/>
      <c r="F170" s="226"/>
      <c r="G170" s="226"/>
      <c r="H170" s="226"/>
      <c r="I170" s="226"/>
      <c r="J170" s="226" t="s">
        <v>160</v>
      </c>
      <c r="K170" s="226"/>
      <c r="L170" s="226"/>
      <c r="M170" s="226"/>
      <c r="N170" s="226"/>
      <c r="O170" s="226"/>
      <c r="P170" s="226"/>
      <c r="Q170" s="226"/>
      <c r="R170" s="226" t="s">
        <v>461</v>
      </c>
      <c r="S170" s="226"/>
      <c r="T170" s="226"/>
      <c r="U170" s="226"/>
      <c r="V170" s="226"/>
      <c r="W170" s="226"/>
      <c r="X170" s="226"/>
      <c r="Y170" s="226"/>
      <c r="Z170" s="226"/>
      <c r="AA170" s="226"/>
      <c r="AB170" s="226"/>
      <c r="AC170" s="226"/>
      <c r="AD170" s="226"/>
      <c r="AE170" s="226"/>
      <c r="AF170" s="226"/>
      <c r="AG170" s="226"/>
      <c r="AH170" s="226"/>
      <c r="AI170" s="226"/>
      <c r="AJ170" s="226"/>
    </row>
    <row r="171" spans="1:36" s="13" customFormat="1">
      <c r="A171" s="11" t="s">
        <v>293</v>
      </c>
      <c r="B171" s="227"/>
      <c r="C171" s="226"/>
      <c r="D171" s="226"/>
      <c r="E171" s="226"/>
      <c r="F171" s="226"/>
      <c r="G171" s="226"/>
      <c r="H171" s="226"/>
      <c r="I171" s="226"/>
      <c r="J171" s="226" t="s">
        <v>176</v>
      </c>
      <c r="K171" s="226"/>
      <c r="L171" s="226"/>
      <c r="M171" s="226"/>
      <c r="N171" s="226"/>
      <c r="O171" s="226"/>
      <c r="P171" s="226"/>
      <c r="Q171" s="226"/>
      <c r="R171" s="226" t="s">
        <v>425</v>
      </c>
      <c r="S171" s="226"/>
      <c r="T171" s="226"/>
      <c r="U171" s="226"/>
      <c r="V171" s="226"/>
      <c r="W171" s="226"/>
      <c r="X171" s="226"/>
      <c r="Y171" s="226"/>
      <c r="Z171" s="226"/>
      <c r="AA171" s="226"/>
      <c r="AB171" s="226"/>
      <c r="AC171" s="226"/>
      <c r="AD171" s="226"/>
      <c r="AE171" s="226"/>
      <c r="AF171" s="226"/>
      <c r="AG171" s="226"/>
      <c r="AH171" s="226"/>
      <c r="AI171" s="226"/>
      <c r="AJ171" s="226"/>
    </row>
    <row r="172" spans="1:36" s="13" customFormat="1">
      <c r="A172" s="11" t="s">
        <v>293</v>
      </c>
      <c r="B172" s="227"/>
      <c r="C172" s="226"/>
      <c r="D172" s="226"/>
      <c r="E172" s="226"/>
      <c r="F172" s="226"/>
      <c r="G172" s="226"/>
      <c r="H172" s="226"/>
      <c r="I172" s="226"/>
      <c r="J172" s="226" t="s">
        <v>178</v>
      </c>
      <c r="K172" s="226"/>
      <c r="L172" s="226"/>
      <c r="M172" s="226"/>
      <c r="N172" s="226"/>
      <c r="O172" s="226"/>
      <c r="P172" s="226"/>
      <c r="Q172" s="226"/>
      <c r="R172" s="226" t="s">
        <v>333</v>
      </c>
      <c r="S172" s="226"/>
      <c r="T172" s="226"/>
      <c r="U172" s="226"/>
      <c r="V172" s="226"/>
      <c r="W172" s="226"/>
      <c r="X172" s="226"/>
      <c r="Y172" s="226"/>
      <c r="Z172" s="226"/>
      <c r="AA172" s="226"/>
      <c r="AB172" s="226"/>
      <c r="AC172" s="226"/>
      <c r="AD172" s="226"/>
      <c r="AE172" s="226"/>
      <c r="AF172" s="226"/>
      <c r="AG172" s="226"/>
      <c r="AH172" s="226"/>
      <c r="AI172" s="226"/>
      <c r="AJ172" s="226"/>
    </row>
    <row r="173" spans="1:36" s="13" customFormat="1">
      <c r="A173" s="11" t="s">
        <v>293</v>
      </c>
      <c r="B173" s="227"/>
      <c r="C173" s="226"/>
      <c r="D173" s="226"/>
      <c r="E173" s="226"/>
      <c r="F173" s="226"/>
      <c r="G173" s="226"/>
      <c r="H173" s="226"/>
      <c r="I173" s="226"/>
      <c r="J173" s="226" t="s">
        <v>183</v>
      </c>
      <c r="K173" s="226"/>
      <c r="L173" s="226"/>
      <c r="M173" s="226"/>
      <c r="N173" s="226"/>
      <c r="O173" s="226"/>
      <c r="P173" s="226"/>
      <c r="Q173" s="226"/>
      <c r="R173" s="226" t="s">
        <v>476</v>
      </c>
      <c r="S173" s="226"/>
      <c r="T173" s="226"/>
      <c r="U173" s="226"/>
      <c r="V173" s="226"/>
      <c r="W173" s="226"/>
      <c r="X173" s="226"/>
      <c r="Y173" s="226"/>
      <c r="Z173" s="226"/>
      <c r="AA173" s="226"/>
      <c r="AB173" s="226"/>
      <c r="AC173" s="226"/>
      <c r="AD173" s="226"/>
      <c r="AE173" s="226"/>
      <c r="AF173" s="226"/>
      <c r="AG173" s="226"/>
      <c r="AH173" s="226"/>
      <c r="AI173" s="226"/>
      <c r="AJ173" s="226"/>
    </row>
    <row r="174" spans="1:36" s="13" customFormat="1">
      <c r="A174" s="11" t="s">
        <v>293</v>
      </c>
      <c r="B174" s="227"/>
      <c r="C174" s="226"/>
      <c r="D174" s="226"/>
      <c r="E174" s="226"/>
      <c r="F174" s="226"/>
      <c r="G174" s="226"/>
      <c r="H174" s="226"/>
      <c r="I174" s="226"/>
      <c r="J174" s="226" t="s">
        <v>186</v>
      </c>
      <c r="K174" s="226"/>
      <c r="L174" s="226"/>
      <c r="M174" s="226"/>
      <c r="N174" s="226"/>
      <c r="O174" s="226"/>
      <c r="P174" s="226"/>
      <c r="Q174" s="226"/>
      <c r="R174" s="226" t="s">
        <v>473</v>
      </c>
      <c r="S174" s="226"/>
      <c r="T174" s="226"/>
      <c r="U174" s="226"/>
      <c r="V174" s="226"/>
      <c r="W174" s="226"/>
      <c r="X174" s="226"/>
      <c r="Y174" s="226"/>
      <c r="Z174" s="226"/>
      <c r="AA174" s="226"/>
      <c r="AB174" s="226"/>
      <c r="AC174" s="226"/>
      <c r="AD174" s="226"/>
      <c r="AE174" s="226"/>
      <c r="AF174" s="226"/>
      <c r="AG174" s="226"/>
      <c r="AH174" s="226"/>
      <c r="AI174" s="226"/>
      <c r="AJ174" s="226"/>
    </row>
    <row r="175" spans="1:36" s="13" customFormat="1">
      <c r="A175" s="11" t="s">
        <v>293</v>
      </c>
      <c r="B175" s="227"/>
      <c r="C175" s="226"/>
      <c r="D175" s="226"/>
      <c r="E175" s="226"/>
      <c r="F175" s="226"/>
      <c r="G175" s="226"/>
      <c r="H175" s="226"/>
      <c r="I175" s="226"/>
      <c r="J175" s="226" t="s">
        <v>189</v>
      </c>
      <c r="K175" s="226"/>
      <c r="L175" s="226"/>
      <c r="M175" s="226"/>
      <c r="N175" s="226"/>
      <c r="O175" s="226"/>
      <c r="P175" s="226"/>
      <c r="Q175" s="226"/>
      <c r="R175" s="226" t="s">
        <v>467</v>
      </c>
      <c r="S175" s="226"/>
      <c r="T175" s="226"/>
      <c r="U175" s="226"/>
      <c r="V175" s="226"/>
      <c r="W175" s="226"/>
      <c r="X175" s="226"/>
      <c r="Y175" s="226"/>
      <c r="Z175" s="226"/>
      <c r="AA175" s="226"/>
      <c r="AB175" s="226"/>
      <c r="AC175" s="226"/>
      <c r="AD175" s="226"/>
      <c r="AE175" s="226"/>
      <c r="AF175" s="226"/>
      <c r="AG175" s="226"/>
      <c r="AH175" s="226"/>
      <c r="AI175" s="226"/>
      <c r="AJ175" s="226"/>
    </row>
    <row r="176" spans="1:36" s="13" customFormat="1">
      <c r="A176" s="11" t="s">
        <v>293</v>
      </c>
      <c r="B176" s="227"/>
      <c r="C176" s="226"/>
      <c r="D176" s="226"/>
      <c r="E176" s="226"/>
      <c r="F176" s="226"/>
      <c r="G176" s="226"/>
      <c r="H176" s="226"/>
      <c r="I176" s="226"/>
      <c r="J176" s="226" t="s">
        <v>187</v>
      </c>
      <c r="K176" s="226"/>
      <c r="L176" s="226"/>
      <c r="M176" s="226"/>
      <c r="N176" s="226"/>
      <c r="O176" s="226"/>
      <c r="P176" s="226"/>
      <c r="Q176" s="226"/>
      <c r="R176" s="226" t="s">
        <v>468</v>
      </c>
      <c r="S176" s="226"/>
      <c r="T176" s="226"/>
      <c r="U176" s="226"/>
      <c r="V176" s="226"/>
      <c r="W176" s="226"/>
      <c r="X176" s="226"/>
      <c r="Y176" s="226"/>
      <c r="Z176" s="226"/>
      <c r="AA176" s="226"/>
      <c r="AB176" s="226"/>
      <c r="AC176" s="226"/>
      <c r="AD176" s="226"/>
      <c r="AE176" s="226"/>
      <c r="AF176" s="226"/>
      <c r="AG176" s="226"/>
      <c r="AH176" s="226"/>
      <c r="AI176" s="226"/>
      <c r="AJ176" s="226"/>
    </row>
    <row r="177" spans="1:36" s="13" customFormat="1">
      <c r="A177" s="11" t="s">
        <v>293</v>
      </c>
      <c r="B177" s="227"/>
      <c r="C177" s="226"/>
      <c r="D177" s="226"/>
      <c r="E177" s="226"/>
      <c r="F177" s="226"/>
      <c r="G177" s="226"/>
      <c r="H177" s="226"/>
      <c r="I177" s="226"/>
      <c r="J177" s="226" t="s">
        <v>185</v>
      </c>
      <c r="K177" s="226"/>
      <c r="L177" s="226"/>
      <c r="M177" s="226"/>
      <c r="N177" s="226"/>
      <c r="O177" s="226"/>
      <c r="P177" s="226"/>
      <c r="Q177" s="226"/>
      <c r="R177" s="226" t="s">
        <v>469</v>
      </c>
      <c r="S177" s="226"/>
      <c r="T177" s="226"/>
      <c r="U177" s="226"/>
      <c r="V177" s="226"/>
      <c r="W177" s="226"/>
      <c r="X177" s="226"/>
      <c r="Y177" s="226"/>
      <c r="Z177" s="226"/>
      <c r="AA177" s="226"/>
      <c r="AB177" s="226"/>
      <c r="AC177" s="226"/>
      <c r="AD177" s="226"/>
      <c r="AE177" s="226"/>
      <c r="AF177" s="226"/>
      <c r="AG177" s="226"/>
      <c r="AH177" s="226"/>
      <c r="AI177" s="226"/>
      <c r="AJ177" s="226"/>
    </row>
    <row r="178" spans="1:36" s="13" customFormat="1">
      <c r="A178" s="11" t="s">
        <v>293</v>
      </c>
      <c r="B178" s="227"/>
      <c r="C178" s="226"/>
      <c r="D178" s="226"/>
      <c r="E178" s="226"/>
      <c r="F178" s="226"/>
      <c r="G178" s="226"/>
      <c r="H178" s="226"/>
      <c r="I178" s="226"/>
      <c r="J178" s="226" t="s">
        <v>181</v>
      </c>
      <c r="K178" s="226"/>
      <c r="L178" s="226"/>
      <c r="M178" s="226"/>
      <c r="N178" s="226"/>
      <c r="O178" s="226"/>
      <c r="P178" s="226"/>
      <c r="Q178" s="226"/>
      <c r="R178" s="226" t="s">
        <v>470</v>
      </c>
      <c r="S178" s="226"/>
      <c r="T178" s="226"/>
      <c r="U178" s="226"/>
      <c r="V178" s="226"/>
      <c r="W178" s="226"/>
      <c r="X178" s="226"/>
      <c r="Y178" s="226"/>
      <c r="Z178" s="226"/>
      <c r="AA178" s="226"/>
      <c r="AB178" s="226"/>
      <c r="AC178" s="226"/>
      <c r="AD178" s="226"/>
      <c r="AE178" s="226"/>
      <c r="AF178" s="226"/>
      <c r="AG178" s="226"/>
      <c r="AH178" s="226"/>
      <c r="AI178" s="226"/>
      <c r="AJ178" s="226"/>
    </row>
    <row r="179" spans="1:36" s="13" customFormat="1">
      <c r="A179" s="11" t="s">
        <v>293</v>
      </c>
      <c r="B179" s="227"/>
      <c r="C179" s="226"/>
      <c r="D179" s="226"/>
      <c r="E179" s="226"/>
      <c r="F179" s="226"/>
      <c r="G179" s="226"/>
      <c r="H179" s="226"/>
      <c r="I179" s="226"/>
      <c r="J179" s="226" t="s">
        <v>191</v>
      </c>
      <c r="K179" s="226"/>
      <c r="L179" s="226"/>
      <c r="M179" s="226"/>
      <c r="N179" s="226"/>
      <c r="O179" s="226"/>
      <c r="P179" s="226"/>
      <c r="Q179" s="226"/>
      <c r="R179" s="226" t="s">
        <v>306</v>
      </c>
      <c r="S179" s="226"/>
      <c r="T179" s="226"/>
      <c r="U179" s="226"/>
      <c r="V179" s="226"/>
      <c r="W179" s="226"/>
      <c r="X179" s="226"/>
      <c r="Y179" s="226"/>
      <c r="Z179" s="226"/>
      <c r="AA179" s="226"/>
      <c r="AB179" s="226"/>
      <c r="AC179" s="226"/>
      <c r="AD179" s="226"/>
      <c r="AE179" s="226"/>
      <c r="AF179" s="226"/>
      <c r="AG179" s="226"/>
      <c r="AH179" s="226"/>
      <c r="AI179" s="226"/>
      <c r="AJ179" s="226"/>
    </row>
    <row r="180" spans="1:36" s="13" customFormat="1">
      <c r="A180" s="11" t="s">
        <v>293</v>
      </c>
      <c r="B180" s="227"/>
      <c r="C180" s="226"/>
      <c r="D180" s="226"/>
      <c r="E180" s="226"/>
      <c r="F180" s="226"/>
      <c r="G180" s="226"/>
      <c r="H180" s="226"/>
      <c r="I180" s="226"/>
      <c r="J180" s="226" t="s">
        <v>180</v>
      </c>
      <c r="K180" s="226"/>
      <c r="L180" s="226"/>
      <c r="M180" s="226"/>
      <c r="N180" s="226"/>
      <c r="O180" s="226"/>
      <c r="P180" s="226"/>
      <c r="Q180" s="226"/>
      <c r="R180" s="226" t="s">
        <v>372</v>
      </c>
      <c r="S180" s="226"/>
      <c r="T180" s="226"/>
      <c r="U180" s="226"/>
      <c r="V180" s="226"/>
      <c r="W180" s="226"/>
      <c r="X180" s="226"/>
      <c r="Y180" s="226"/>
      <c r="Z180" s="226"/>
      <c r="AA180" s="226"/>
      <c r="AB180" s="226"/>
      <c r="AC180" s="226"/>
      <c r="AD180" s="226"/>
      <c r="AE180" s="226"/>
      <c r="AF180" s="226"/>
      <c r="AG180" s="226"/>
      <c r="AH180" s="226"/>
      <c r="AI180" s="226"/>
      <c r="AJ180" s="226"/>
    </row>
    <row r="181" spans="1:36" s="13" customFormat="1">
      <c r="A181" s="11" t="s">
        <v>293</v>
      </c>
      <c r="B181" s="227"/>
      <c r="C181" s="226"/>
      <c r="D181" s="226"/>
      <c r="E181" s="226"/>
      <c r="F181" s="226"/>
      <c r="G181" s="226"/>
      <c r="H181" s="226"/>
      <c r="I181" s="226"/>
      <c r="J181" s="226" t="s">
        <v>179</v>
      </c>
      <c r="K181" s="226"/>
      <c r="L181" s="226"/>
      <c r="M181" s="226"/>
      <c r="N181" s="226"/>
      <c r="O181" s="226"/>
      <c r="P181" s="226"/>
      <c r="Q181" s="226"/>
      <c r="R181" s="226" t="s">
        <v>318</v>
      </c>
      <c r="S181" s="226"/>
      <c r="T181" s="226"/>
      <c r="U181" s="226"/>
      <c r="V181" s="226"/>
      <c r="W181" s="226"/>
      <c r="X181" s="226"/>
      <c r="Y181" s="226"/>
      <c r="Z181" s="226"/>
      <c r="AA181" s="226"/>
      <c r="AB181" s="226"/>
      <c r="AC181" s="226"/>
      <c r="AD181" s="226"/>
      <c r="AE181" s="226"/>
      <c r="AF181" s="226"/>
      <c r="AG181" s="226"/>
      <c r="AH181" s="226"/>
      <c r="AI181" s="226"/>
      <c r="AJ181" s="226"/>
    </row>
    <row r="182" spans="1:36" s="13" customFormat="1">
      <c r="A182" s="11" t="s">
        <v>293</v>
      </c>
      <c r="B182" s="227"/>
      <c r="C182" s="226"/>
      <c r="D182" s="226"/>
      <c r="E182" s="226"/>
      <c r="F182" s="226"/>
      <c r="G182" s="226"/>
      <c r="H182" s="226"/>
      <c r="I182" s="226"/>
      <c r="J182" s="226" t="s">
        <v>188</v>
      </c>
      <c r="K182" s="226"/>
      <c r="L182" s="226"/>
      <c r="M182" s="226"/>
      <c r="N182" s="226"/>
      <c r="O182" s="226"/>
      <c r="P182" s="226"/>
      <c r="Q182" s="226"/>
      <c r="R182" s="226" t="s">
        <v>474</v>
      </c>
      <c r="S182" s="226"/>
      <c r="T182" s="226"/>
      <c r="U182" s="226"/>
      <c r="V182" s="226"/>
      <c r="W182" s="226"/>
      <c r="X182" s="226"/>
      <c r="Y182" s="226"/>
      <c r="Z182" s="226"/>
      <c r="AA182" s="226"/>
      <c r="AB182" s="226"/>
      <c r="AC182" s="226"/>
      <c r="AD182" s="226"/>
      <c r="AE182" s="226"/>
      <c r="AF182" s="226"/>
      <c r="AG182" s="226"/>
      <c r="AH182" s="226"/>
      <c r="AI182" s="226"/>
      <c r="AJ182" s="226"/>
    </row>
    <row r="183" spans="1:36" s="13" customFormat="1">
      <c r="A183" s="11" t="s">
        <v>293</v>
      </c>
      <c r="B183" s="227"/>
      <c r="C183" s="226"/>
      <c r="D183" s="226"/>
      <c r="E183" s="226"/>
      <c r="F183" s="226"/>
      <c r="G183" s="226"/>
      <c r="H183" s="226"/>
      <c r="I183" s="226"/>
      <c r="J183" s="226" t="s">
        <v>184</v>
      </c>
      <c r="K183" s="226"/>
      <c r="L183" s="226"/>
      <c r="M183" s="226"/>
      <c r="N183" s="226"/>
      <c r="O183" s="226"/>
      <c r="P183" s="226"/>
      <c r="Q183" s="226"/>
      <c r="R183" s="226" t="s">
        <v>358</v>
      </c>
      <c r="S183" s="226"/>
      <c r="T183" s="226"/>
      <c r="U183" s="226"/>
      <c r="V183" s="226"/>
      <c r="W183" s="226"/>
      <c r="X183" s="226"/>
      <c r="Y183" s="226"/>
      <c r="Z183" s="226"/>
      <c r="AA183" s="226"/>
      <c r="AB183" s="226"/>
      <c r="AC183" s="226"/>
      <c r="AD183" s="226"/>
      <c r="AE183" s="226"/>
      <c r="AF183" s="226"/>
      <c r="AG183" s="226"/>
      <c r="AH183" s="226"/>
      <c r="AI183" s="226"/>
      <c r="AJ183" s="226"/>
    </row>
    <row r="184" spans="1:36" s="13" customFormat="1">
      <c r="A184" s="11" t="s">
        <v>293</v>
      </c>
      <c r="B184" s="227"/>
      <c r="C184" s="226"/>
      <c r="D184" s="226"/>
      <c r="E184" s="226"/>
      <c r="F184" s="226"/>
      <c r="G184" s="226"/>
      <c r="H184" s="226"/>
      <c r="I184" s="226"/>
      <c r="J184" s="226" t="s">
        <v>192</v>
      </c>
      <c r="K184" s="226"/>
      <c r="L184" s="226"/>
      <c r="M184" s="226"/>
      <c r="N184" s="226"/>
      <c r="O184" s="226"/>
      <c r="P184" s="226"/>
      <c r="Q184" s="226"/>
      <c r="R184" s="226" t="s">
        <v>475</v>
      </c>
      <c r="S184" s="226"/>
      <c r="T184" s="226"/>
      <c r="U184" s="226"/>
      <c r="V184" s="226"/>
      <c r="W184" s="226"/>
      <c r="X184" s="226"/>
      <c r="Y184" s="226"/>
      <c r="Z184" s="226"/>
      <c r="AA184" s="226"/>
      <c r="AB184" s="226"/>
      <c r="AC184" s="226"/>
      <c r="AD184" s="226"/>
      <c r="AE184" s="226"/>
      <c r="AF184" s="226"/>
      <c r="AG184" s="226"/>
      <c r="AH184" s="226"/>
      <c r="AI184" s="226"/>
      <c r="AJ184" s="226"/>
    </row>
    <row r="185" spans="1:36" s="13" customFormat="1">
      <c r="A185" s="11" t="s">
        <v>293</v>
      </c>
      <c r="B185" s="227"/>
      <c r="C185" s="226"/>
      <c r="D185" s="226"/>
      <c r="E185" s="226"/>
      <c r="F185" s="226"/>
      <c r="G185" s="226"/>
      <c r="H185" s="226"/>
      <c r="I185" s="226"/>
      <c r="J185" s="226" t="s">
        <v>196</v>
      </c>
      <c r="K185" s="226"/>
      <c r="L185" s="226"/>
      <c r="M185" s="226"/>
      <c r="N185" s="226"/>
      <c r="O185" s="226"/>
      <c r="P185" s="226"/>
      <c r="Q185" s="226"/>
      <c r="R185" s="226" t="s">
        <v>432</v>
      </c>
      <c r="S185" s="226"/>
      <c r="T185" s="226"/>
      <c r="U185" s="226"/>
      <c r="V185" s="226"/>
      <c r="W185" s="226"/>
      <c r="X185" s="226"/>
      <c r="Y185" s="226"/>
      <c r="Z185" s="226"/>
      <c r="AA185" s="226"/>
      <c r="AB185" s="226"/>
      <c r="AC185" s="226"/>
      <c r="AD185" s="226"/>
      <c r="AE185" s="226"/>
      <c r="AF185" s="226"/>
      <c r="AG185" s="226"/>
      <c r="AH185" s="226"/>
      <c r="AI185" s="226"/>
      <c r="AJ185" s="226"/>
    </row>
    <row r="186" spans="1:36" s="13" customFormat="1">
      <c r="A186" s="11" t="s">
        <v>293</v>
      </c>
      <c r="B186" s="227"/>
      <c r="C186" s="226"/>
      <c r="D186" s="226"/>
      <c r="E186" s="226"/>
      <c r="F186" s="226"/>
      <c r="G186" s="226"/>
      <c r="H186" s="226"/>
      <c r="I186" s="226"/>
      <c r="J186" s="226" t="s">
        <v>199</v>
      </c>
      <c r="K186" s="226"/>
      <c r="L186" s="226"/>
      <c r="M186" s="226"/>
      <c r="N186" s="226"/>
      <c r="O186" s="226"/>
      <c r="P186" s="226"/>
      <c r="Q186" s="226"/>
      <c r="R186" s="226" t="s">
        <v>471</v>
      </c>
      <c r="S186" s="226"/>
      <c r="T186" s="226"/>
      <c r="U186" s="226"/>
      <c r="V186" s="226"/>
      <c r="W186" s="226"/>
      <c r="X186" s="226"/>
      <c r="Y186" s="226"/>
      <c r="Z186" s="226"/>
      <c r="AA186" s="226"/>
      <c r="AB186" s="226"/>
      <c r="AC186" s="226"/>
      <c r="AD186" s="226"/>
      <c r="AE186" s="226"/>
      <c r="AF186" s="226"/>
      <c r="AG186" s="226"/>
      <c r="AH186" s="226"/>
      <c r="AI186" s="226"/>
      <c r="AJ186" s="226"/>
    </row>
    <row r="187" spans="1:36" s="13" customFormat="1">
      <c r="A187" s="11" t="s">
        <v>293</v>
      </c>
      <c r="B187" s="227"/>
      <c r="C187" s="226"/>
      <c r="D187" s="226"/>
      <c r="E187" s="226"/>
      <c r="F187" s="226"/>
      <c r="G187" s="226"/>
      <c r="H187" s="226"/>
      <c r="I187" s="226"/>
      <c r="J187" s="226" t="s">
        <v>110</v>
      </c>
      <c r="K187" s="226"/>
      <c r="L187" s="226"/>
      <c r="M187" s="226"/>
      <c r="N187" s="226"/>
      <c r="O187" s="226"/>
      <c r="P187" s="226"/>
      <c r="Q187" s="226"/>
      <c r="R187" s="226" t="s">
        <v>400</v>
      </c>
      <c r="S187" s="226"/>
      <c r="T187" s="226"/>
      <c r="U187" s="226"/>
      <c r="V187" s="226"/>
      <c r="W187" s="226"/>
      <c r="X187" s="226"/>
      <c r="Y187" s="226"/>
      <c r="Z187" s="226"/>
      <c r="AA187" s="226"/>
      <c r="AB187" s="226"/>
      <c r="AC187" s="226"/>
      <c r="AD187" s="226"/>
      <c r="AE187" s="226"/>
      <c r="AF187" s="226"/>
      <c r="AG187" s="226"/>
      <c r="AH187" s="226"/>
      <c r="AI187" s="226"/>
      <c r="AJ187" s="226"/>
    </row>
    <row r="188" spans="1:36" s="13" customFormat="1">
      <c r="A188" s="11" t="s">
        <v>293</v>
      </c>
      <c r="B188" s="227"/>
      <c r="C188" s="226"/>
      <c r="D188" s="226"/>
      <c r="E188" s="226"/>
      <c r="F188" s="226"/>
      <c r="G188" s="226"/>
      <c r="H188" s="226"/>
      <c r="I188" s="226"/>
      <c r="J188" s="226" t="s">
        <v>197</v>
      </c>
      <c r="K188" s="226"/>
      <c r="L188" s="226"/>
      <c r="M188" s="226"/>
      <c r="N188" s="226"/>
      <c r="O188" s="226"/>
      <c r="P188" s="226"/>
      <c r="Q188" s="226"/>
      <c r="R188" s="226" t="s">
        <v>472</v>
      </c>
      <c r="S188" s="226"/>
      <c r="T188" s="226"/>
      <c r="U188" s="226"/>
      <c r="V188" s="226"/>
      <c r="W188" s="226"/>
      <c r="X188" s="226"/>
      <c r="Y188" s="226"/>
      <c r="Z188" s="226"/>
      <c r="AA188" s="226"/>
      <c r="AB188" s="226"/>
      <c r="AC188" s="226"/>
      <c r="AD188" s="226"/>
      <c r="AE188" s="226"/>
      <c r="AF188" s="226"/>
      <c r="AG188" s="226"/>
      <c r="AH188" s="226"/>
      <c r="AI188" s="226"/>
      <c r="AJ188" s="226"/>
    </row>
    <row r="189" spans="1:36" s="13" customFormat="1">
      <c r="A189" s="11" t="s">
        <v>293</v>
      </c>
      <c r="B189" s="227"/>
      <c r="C189" s="226"/>
      <c r="D189" s="226"/>
      <c r="E189" s="226"/>
      <c r="F189" s="226"/>
      <c r="G189" s="226"/>
      <c r="H189" s="226"/>
      <c r="I189" s="226"/>
      <c r="J189" s="226" t="s">
        <v>200</v>
      </c>
      <c r="K189" s="226"/>
      <c r="L189" s="226"/>
      <c r="M189" s="226"/>
      <c r="N189" s="226"/>
      <c r="O189" s="226"/>
      <c r="P189" s="226"/>
      <c r="Q189" s="226"/>
      <c r="R189" s="226" t="s">
        <v>464</v>
      </c>
      <c r="S189" s="226"/>
      <c r="T189" s="226"/>
      <c r="U189" s="226"/>
      <c r="V189" s="226"/>
      <c r="W189" s="226"/>
      <c r="X189" s="226"/>
      <c r="Y189" s="226"/>
      <c r="Z189" s="226"/>
      <c r="AA189" s="226"/>
      <c r="AB189" s="226"/>
      <c r="AC189" s="226"/>
      <c r="AD189" s="226"/>
      <c r="AE189" s="226"/>
      <c r="AF189" s="226"/>
      <c r="AG189" s="226"/>
      <c r="AH189" s="226"/>
      <c r="AI189" s="226"/>
      <c r="AJ189" s="226"/>
    </row>
    <row r="190" spans="1:36" s="13" customFormat="1">
      <c r="A190" s="11" t="s">
        <v>293</v>
      </c>
      <c r="B190" s="227"/>
      <c r="C190" s="226"/>
      <c r="D190" s="226"/>
      <c r="E190" s="226"/>
      <c r="F190" s="226"/>
      <c r="G190" s="226"/>
      <c r="H190" s="226"/>
      <c r="I190" s="226"/>
      <c r="J190" s="226" t="s">
        <v>193</v>
      </c>
      <c r="K190" s="226"/>
      <c r="L190" s="226"/>
      <c r="M190" s="226"/>
      <c r="N190" s="226"/>
      <c r="O190" s="226"/>
      <c r="P190" s="226"/>
      <c r="Q190" s="226"/>
      <c r="R190" s="226" t="s">
        <v>388</v>
      </c>
      <c r="S190" s="226"/>
      <c r="T190" s="226"/>
      <c r="U190" s="226"/>
      <c r="V190" s="226"/>
      <c r="W190" s="226"/>
      <c r="X190" s="226"/>
      <c r="Y190" s="226"/>
      <c r="Z190" s="226"/>
      <c r="AA190" s="226"/>
      <c r="AB190" s="226"/>
      <c r="AC190" s="226"/>
      <c r="AD190" s="226"/>
      <c r="AE190" s="226"/>
      <c r="AF190" s="226"/>
      <c r="AG190" s="226"/>
      <c r="AH190" s="226"/>
      <c r="AI190" s="226"/>
      <c r="AJ190" s="226"/>
    </row>
    <row r="191" spans="1:36" s="13" customFormat="1">
      <c r="A191" s="11" t="s">
        <v>293</v>
      </c>
      <c r="B191" s="227"/>
      <c r="C191" s="226"/>
      <c r="D191" s="226"/>
      <c r="E191" s="226"/>
      <c r="F191" s="226"/>
      <c r="G191" s="226"/>
      <c r="H191" s="226"/>
      <c r="I191" s="226"/>
      <c r="J191" s="226" t="s">
        <v>20</v>
      </c>
      <c r="K191" s="226"/>
      <c r="L191" s="226"/>
      <c r="M191" s="226"/>
      <c r="N191" s="226"/>
      <c r="O191" s="226"/>
      <c r="P191" s="226"/>
      <c r="Q191" s="226"/>
      <c r="R191" s="226" t="s">
        <v>465</v>
      </c>
      <c r="S191" s="226"/>
      <c r="T191" s="226"/>
      <c r="U191" s="226"/>
      <c r="V191" s="226"/>
      <c r="W191" s="226"/>
      <c r="X191" s="226"/>
      <c r="Y191" s="226"/>
      <c r="Z191" s="226"/>
      <c r="AA191" s="226"/>
      <c r="AB191" s="226"/>
      <c r="AC191" s="226"/>
      <c r="AD191" s="226"/>
      <c r="AE191" s="226"/>
      <c r="AF191" s="226"/>
      <c r="AG191" s="226"/>
      <c r="AH191" s="226"/>
      <c r="AI191" s="226"/>
      <c r="AJ191" s="226"/>
    </row>
    <row r="192" spans="1:36" s="13" customFormat="1">
      <c r="A192" s="11" t="s">
        <v>293</v>
      </c>
      <c r="B192" s="227"/>
      <c r="C192" s="226"/>
      <c r="D192" s="226"/>
      <c r="E192" s="226"/>
      <c r="F192" s="226"/>
      <c r="G192" s="226"/>
      <c r="H192" s="226"/>
      <c r="I192" s="226"/>
      <c r="J192" s="226" t="s">
        <v>212</v>
      </c>
      <c r="K192" s="226"/>
      <c r="L192" s="226"/>
      <c r="M192" s="226"/>
      <c r="N192" s="226"/>
      <c r="O192" s="226"/>
      <c r="P192" s="226"/>
      <c r="Q192" s="226"/>
      <c r="R192" s="226" t="s">
        <v>466</v>
      </c>
      <c r="S192" s="226"/>
      <c r="T192" s="226"/>
      <c r="U192" s="226"/>
      <c r="V192" s="226"/>
      <c r="W192" s="226"/>
      <c r="X192" s="226"/>
      <c r="Y192" s="226"/>
      <c r="Z192" s="226"/>
      <c r="AA192" s="226"/>
      <c r="AB192" s="226"/>
      <c r="AC192" s="226"/>
      <c r="AD192" s="226"/>
      <c r="AE192" s="226"/>
      <c r="AF192" s="226"/>
      <c r="AG192" s="226"/>
      <c r="AH192" s="226"/>
      <c r="AI192" s="226"/>
      <c r="AJ192" s="226"/>
    </row>
    <row r="193" spans="1:36" s="13" customFormat="1">
      <c r="A193" s="11" t="s">
        <v>293</v>
      </c>
      <c r="B193" s="227"/>
      <c r="C193" s="226"/>
      <c r="D193" s="226"/>
      <c r="E193" s="226"/>
      <c r="F193" s="226"/>
      <c r="G193" s="226"/>
      <c r="H193" s="226"/>
      <c r="I193" s="226"/>
      <c r="J193" s="226" t="s">
        <v>201</v>
      </c>
      <c r="K193" s="226"/>
      <c r="L193" s="226"/>
      <c r="M193" s="226"/>
      <c r="N193" s="226"/>
      <c r="O193" s="226"/>
      <c r="P193" s="226"/>
      <c r="Q193" s="226"/>
      <c r="R193" s="226"/>
      <c r="S193" s="226"/>
      <c r="T193" s="226"/>
      <c r="U193" s="226"/>
      <c r="V193" s="226"/>
      <c r="W193" s="226"/>
      <c r="X193" s="226"/>
      <c r="Y193" s="226"/>
      <c r="Z193" s="226"/>
      <c r="AA193" s="226"/>
      <c r="AB193" s="226"/>
      <c r="AC193" s="226"/>
      <c r="AD193" s="226"/>
      <c r="AE193" s="226"/>
      <c r="AF193" s="226"/>
      <c r="AG193" s="226"/>
      <c r="AH193" s="226"/>
      <c r="AI193" s="226"/>
      <c r="AJ193" s="226"/>
    </row>
    <row r="194" spans="1:36" s="13" customFormat="1">
      <c r="A194" s="11" t="s">
        <v>293</v>
      </c>
      <c r="B194" s="227"/>
      <c r="C194" s="226"/>
      <c r="D194" s="226"/>
      <c r="E194" s="226"/>
      <c r="F194" s="226"/>
      <c r="G194" s="226"/>
      <c r="H194" s="226"/>
      <c r="I194" s="226"/>
      <c r="J194" s="226" t="s">
        <v>202</v>
      </c>
      <c r="K194" s="226"/>
      <c r="L194" s="226"/>
      <c r="M194" s="226"/>
      <c r="N194" s="226"/>
      <c r="O194" s="226"/>
      <c r="P194" s="226"/>
      <c r="Q194" s="226"/>
      <c r="R194" s="226"/>
      <c r="S194" s="226"/>
      <c r="T194" s="226"/>
      <c r="U194" s="226"/>
      <c r="V194" s="226"/>
      <c r="W194" s="226"/>
      <c r="X194" s="226"/>
      <c r="Y194" s="226"/>
      <c r="Z194" s="226"/>
      <c r="AA194" s="226"/>
      <c r="AB194" s="226"/>
      <c r="AC194" s="226"/>
      <c r="AD194" s="226"/>
      <c r="AE194" s="226"/>
      <c r="AF194" s="226"/>
      <c r="AG194" s="226"/>
      <c r="AH194" s="226"/>
      <c r="AI194" s="226"/>
      <c r="AJ194" s="226"/>
    </row>
    <row r="195" spans="1:36" s="13" customFormat="1">
      <c r="A195" s="11" t="s">
        <v>293</v>
      </c>
      <c r="B195" s="227"/>
      <c r="C195" s="226"/>
      <c r="D195" s="226"/>
      <c r="E195" s="226"/>
      <c r="F195" s="226"/>
      <c r="G195" s="226"/>
      <c r="H195" s="226"/>
      <c r="I195" s="226"/>
      <c r="J195" s="226" t="s">
        <v>195</v>
      </c>
      <c r="K195" s="226"/>
      <c r="L195" s="226"/>
      <c r="M195" s="226"/>
      <c r="N195" s="226"/>
      <c r="O195" s="226"/>
      <c r="P195" s="226"/>
      <c r="Q195" s="226"/>
      <c r="R195" s="226"/>
      <c r="S195" s="226"/>
      <c r="T195" s="226"/>
      <c r="U195" s="226"/>
      <c r="V195" s="226"/>
      <c r="W195" s="226"/>
      <c r="X195" s="226"/>
      <c r="Y195" s="226"/>
      <c r="Z195" s="226"/>
      <c r="AA195" s="226"/>
      <c r="AB195" s="226"/>
      <c r="AC195" s="226"/>
      <c r="AD195" s="226"/>
      <c r="AE195" s="226"/>
      <c r="AF195" s="226"/>
      <c r="AG195" s="226"/>
      <c r="AH195" s="226"/>
      <c r="AI195" s="226"/>
      <c r="AJ195" s="226"/>
    </row>
    <row r="196" spans="1:36" s="13" customFormat="1">
      <c r="A196" s="11" t="s">
        <v>293</v>
      </c>
      <c r="B196" s="227"/>
      <c r="C196" s="226"/>
      <c r="D196" s="226"/>
      <c r="E196" s="226"/>
      <c r="F196" s="226"/>
      <c r="G196" s="226"/>
      <c r="H196" s="226"/>
      <c r="I196" s="226"/>
      <c r="J196" s="226" t="s">
        <v>21</v>
      </c>
      <c r="K196" s="226"/>
      <c r="L196" s="226"/>
      <c r="M196" s="226"/>
      <c r="N196" s="226"/>
      <c r="O196" s="226"/>
      <c r="P196" s="226"/>
      <c r="Q196" s="226"/>
      <c r="R196" s="226"/>
      <c r="S196" s="226"/>
      <c r="T196" s="226"/>
      <c r="U196" s="226"/>
      <c r="V196" s="226"/>
      <c r="W196" s="226"/>
      <c r="X196" s="226"/>
      <c r="Y196" s="226"/>
      <c r="Z196" s="226"/>
      <c r="AA196" s="226"/>
      <c r="AB196" s="226"/>
      <c r="AC196" s="226"/>
      <c r="AD196" s="226"/>
      <c r="AE196" s="226"/>
      <c r="AF196" s="226"/>
      <c r="AG196" s="226"/>
      <c r="AH196" s="226"/>
      <c r="AI196" s="226"/>
      <c r="AJ196" s="226"/>
    </row>
    <row r="197" spans="1:36" s="13" customFormat="1">
      <c r="A197" s="11" t="s">
        <v>293</v>
      </c>
      <c r="B197" s="227"/>
      <c r="C197" s="226"/>
      <c r="D197" s="226"/>
      <c r="E197" s="226"/>
      <c r="F197" s="226"/>
      <c r="G197" s="226"/>
      <c r="H197" s="226"/>
      <c r="I197" s="226"/>
      <c r="J197" s="226" t="s">
        <v>194</v>
      </c>
      <c r="K197" s="226"/>
      <c r="L197" s="226"/>
      <c r="M197" s="226"/>
      <c r="N197" s="226"/>
      <c r="O197" s="226"/>
      <c r="P197" s="226"/>
      <c r="Q197" s="226"/>
      <c r="R197" s="226"/>
      <c r="S197" s="226"/>
      <c r="T197" s="226"/>
      <c r="U197" s="226"/>
      <c r="V197" s="226"/>
      <c r="W197" s="226"/>
      <c r="X197" s="226"/>
      <c r="Y197" s="226"/>
      <c r="Z197" s="226"/>
      <c r="AA197" s="226"/>
      <c r="AB197" s="226"/>
      <c r="AC197" s="226"/>
      <c r="AD197" s="226"/>
      <c r="AE197" s="226"/>
      <c r="AF197" s="226"/>
      <c r="AG197" s="226"/>
      <c r="AH197" s="226"/>
      <c r="AI197" s="226"/>
      <c r="AJ197" s="226"/>
    </row>
    <row r="198" spans="1:36" s="13" customFormat="1">
      <c r="A198" s="11" t="s">
        <v>293</v>
      </c>
      <c r="B198" s="227"/>
      <c r="C198" s="226"/>
      <c r="D198" s="226"/>
      <c r="E198" s="226"/>
      <c r="F198" s="226"/>
      <c r="G198" s="226"/>
      <c r="H198" s="226"/>
      <c r="I198" s="226"/>
      <c r="J198" s="226" t="s">
        <v>198</v>
      </c>
      <c r="K198" s="226"/>
      <c r="L198" s="226"/>
      <c r="M198" s="226"/>
      <c r="N198" s="226"/>
      <c r="O198" s="226"/>
      <c r="P198" s="226"/>
      <c r="Q198" s="226"/>
      <c r="R198" s="226"/>
      <c r="S198" s="226"/>
      <c r="T198" s="226"/>
      <c r="U198" s="226"/>
      <c r="V198" s="226"/>
      <c r="W198" s="226"/>
      <c r="X198" s="226"/>
      <c r="Y198" s="226"/>
      <c r="Z198" s="226"/>
      <c r="AA198" s="226"/>
      <c r="AB198" s="226"/>
      <c r="AC198" s="226"/>
      <c r="AD198" s="226"/>
      <c r="AE198" s="226"/>
      <c r="AF198" s="226"/>
      <c r="AG198" s="226"/>
      <c r="AH198" s="226"/>
      <c r="AI198" s="226"/>
      <c r="AJ198" s="226"/>
    </row>
    <row r="199" spans="1:36" s="13" customFormat="1">
      <c r="A199" s="11" t="s">
        <v>293</v>
      </c>
      <c r="B199" s="227"/>
      <c r="C199" s="226"/>
      <c r="D199" s="226"/>
      <c r="E199" s="226"/>
      <c r="F199" s="226"/>
      <c r="G199" s="226"/>
      <c r="H199" s="226"/>
      <c r="I199" s="226"/>
      <c r="J199" s="226" t="s">
        <v>203</v>
      </c>
      <c r="K199" s="226"/>
      <c r="L199" s="226"/>
      <c r="M199" s="226"/>
      <c r="N199" s="226"/>
      <c r="O199" s="226"/>
      <c r="P199" s="226"/>
      <c r="Q199" s="226"/>
      <c r="R199" s="226"/>
      <c r="S199" s="226"/>
      <c r="T199" s="226"/>
      <c r="U199" s="226"/>
      <c r="V199" s="226"/>
      <c r="W199" s="226"/>
      <c r="X199" s="226"/>
      <c r="Y199" s="226"/>
      <c r="Z199" s="226"/>
      <c r="AA199" s="226"/>
      <c r="AB199" s="226"/>
      <c r="AC199" s="226"/>
      <c r="AD199" s="226"/>
      <c r="AE199" s="226"/>
      <c r="AF199" s="226"/>
      <c r="AG199" s="226"/>
      <c r="AH199" s="226"/>
      <c r="AI199" s="226"/>
      <c r="AJ199" s="226"/>
    </row>
    <row r="200" spans="1:36" s="13" customFormat="1">
      <c r="A200" s="11" t="s">
        <v>293</v>
      </c>
      <c r="B200" s="227"/>
      <c r="C200" s="226"/>
      <c r="D200" s="226"/>
      <c r="E200" s="226"/>
      <c r="F200" s="226"/>
      <c r="G200" s="226"/>
      <c r="H200" s="226"/>
      <c r="I200" s="226"/>
      <c r="J200" s="226" t="s">
        <v>204</v>
      </c>
      <c r="K200" s="226"/>
      <c r="L200" s="226"/>
      <c r="M200" s="226"/>
      <c r="N200" s="226"/>
      <c r="O200" s="226"/>
      <c r="P200" s="226"/>
      <c r="Q200" s="226"/>
      <c r="R200" s="226"/>
      <c r="S200" s="226"/>
      <c r="T200" s="226"/>
      <c r="U200" s="226"/>
      <c r="V200" s="226"/>
      <c r="W200" s="226"/>
      <c r="X200" s="226"/>
      <c r="Y200" s="226"/>
      <c r="Z200" s="226"/>
      <c r="AA200" s="226"/>
      <c r="AB200" s="226"/>
      <c r="AC200" s="226"/>
      <c r="AD200" s="226"/>
      <c r="AE200" s="226"/>
      <c r="AF200" s="226"/>
      <c r="AG200" s="226"/>
      <c r="AH200" s="226"/>
      <c r="AI200" s="226"/>
      <c r="AJ200" s="226"/>
    </row>
    <row r="201" spans="1:36" s="13" customFormat="1">
      <c r="A201" s="11" t="s">
        <v>293</v>
      </c>
      <c r="B201" s="227"/>
      <c r="C201" s="226"/>
      <c r="D201" s="226"/>
      <c r="E201" s="226"/>
      <c r="F201" s="226"/>
      <c r="G201" s="226"/>
      <c r="H201" s="226"/>
      <c r="I201" s="226"/>
      <c r="J201" s="226" t="s">
        <v>22</v>
      </c>
      <c r="K201" s="226"/>
      <c r="L201" s="226"/>
      <c r="M201" s="226"/>
      <c r="N201" s="226"/>
      <c r="O201" s="226"/>
      <c r="P201" s="226"/>
      <c r="Q201" s="226"/>
      <c r="R201" s="226"/>
      <c r="S201" s="226"/>
      <c r="T201" s="226"/>
      <c r="U201" s="226"/>
      <c r="V201" s="226"/>
      <c r="W201" s="226"/>
      <c r="X201" s="226"/>
      <c r="Y201" s="226"/>
      <c r="Z201" s="226"/>
      <c r="AA201" s="226"/>
      <c r="AB201" s="226"/>
      <c r="AC201" s="226"/>
      <c r="AD201" s="226"/>
      <c r="AE201" s="226"/>
      <c r="AF201" s="226"/>
      <c r="AG201" s="226"/>
      <c r="AH201" s="226"/>
      <c r="AI201" s="226"/>
      <c r="AJ201" s="226"/>
    </row>
    <row r="202" spans="1:36" s="13" customFormat="1">
      <c r="A202" s="11" t="s">
        <v>293</v>
      </c>
      <c r="B202" s="227"/>
      <c r="C202" s="226"/>
      <c r="D202" s="226"/>
      <c r="E202" s="226"/>
      <c r="F202" s="226"/>
      <c r="G202" s="226"/>
      <c r="H202" s="226"/>
      <c r="I202" s="226"/>
      <c r="J202" s="226" t="s">
        <v>219</v>
      </c>
      <c r="K202" s="226"/>
      <c r="L202" s="226"/>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row>
    <row r="203" spans="1:36" s="13" customFormat="1">
      <c r="A203" s="11" t="s">
        <v>293</v>
      </c>
      <c r="B203" s="227"/>
      <c r="C203" s="226"/>
      <c r="D203" s="226"/>
      <c r="E203" s="226"/>
      <c r="F203" s="226"/>
      <c r="G203" s="226"/>
      <c r="H203" s="226"/>
      <c r="I203" s="226"/>
      <c r="J203" s="226" t="s">
        <v>205</v>
      </c>
      <c r="K203" s="226"/>
      <c r="L203" s="226"/>
      <c r="M203" s="226"/>
      <c r="N203" s="226"/>
      <c r="O203" s="226"/>
      <c r="P203" s="226"/>
      <c r="Q203" s="226"/>
      <c r="R203" s="226"/>
      <c r="S203" s="226"/>
      <c r="T203" s="226"/>
      <c r="U203" s="226"/>
      <c r="V203" s="226"/>
      <c r="W203" s="226"/>
      <c r="X203" s="226"/>
      <c r="Y203" s="226"/>
      <c r="Z203" s="226"/>
      <c r="AA203" s="226"/>
      <c r="AB203" s="226"/>
      <c r="AC203" s="226"/>
      <c r="AD203" s="226"/>
      <c r="AE203" s="226"/>
      <c r="AF203" s="226"/>
      <c r="AG203" s="226"/>
      <c r="AH203" s="226"/>
      <c r="AI203" s="226"/>
      <c r="AJ203" s="226"/>
    </row>
    <row r="204" spans="1:36" s="13" customFormat="1">
      <c r="A204" s="11" t="s">
        <v>293</v>
      </c>
      <c r="B204" s="227"/>
      <c r="C204" s="226"/>
      <c r="D204" s="226"/>
      <c r="E204" s="226"/>
      <c r="F204" s="226"/>
      <c r="G204" s="226"/>
      <c r="H204" s="226"/>
      <c r="I204" s="226"/>
      <c r="J204" s="226" t="s">
        <v>206</v>
      </c>
      <c r="K204" s="226"/>
      <c r="L204" s="226"/>
      <c r="M204" s="226"/>
      <c r="N204" s="226"/>
      <c r="O204" s="226"/>
      <c r="P204" s="226"/>
      <c r="Q204" s="226"/>
      <c r="R204" s="226"/>
      <c r="S204" s="226"/>
      <c r="T204" s="226"/>
      <c r="U204" s="226"/>
      <c r="V204" s="226"/>
      <c r="W204" s="226"/>
      <c r="X204" s="226"/>
      <c r="Y204" s="226"/>
      <c r="Z204" s="226"/>
      <c r="AA204" s="226"/>
      <c r="AB204" s="226"/>
      <c r="AC204" s="226"/>
      <c r="AD204" s="226"/>
      <c r="AE204" s="226"/>
      <c r="AF204" s="226"/>
      <c r="AG204" s="226"/>
      <c r="AH204" s="226"/>
      <c r="AI204" s="226"/>
      <c r="AJ204" s="226"/>
    </row>
    <row r="205" spans="1:36" s="13" customFormat="1">
      <c r="A205" s="11" t="s">
        <v>293</v>
      </c>
      <c r="B205" s="227"/>
      <c r="C205" s="226"/>
      <c r="D205" s="226"/>
      <c r="E205" s="226"/>
      <c r="F205" s="226"/>
      <c r="G205" s="226"/>
      <c r="H205" s="226"/>
      <c r="I205" s="226"/>
      <c r="J205" s="226" t="s">
        <v>217</v>
      </c>
      <c r="K205" s="226"/>
      <c r="L205" s="226"/>
      <c r="M205" s="226"/>
      <c r="N205" s="226"/>
      <c r="O205" s="226"/>
      <c r="P205" s="226"/>
      <c r="Q205" s="226"/>
      <c r="R205" s="226"/>
      <c r="S205" s="226"/>
      <c r="T205" s="226"/>
      <c r="U205" s="226"/>
      <c r="V205" s="226"/>
      <c r="W205" s="226"/>
      <c r="X205" s="226"/>
      <c r="Y205" s="226"/>
      <c r="Z205" s="226"/>
      <c r="AA205" s="226"/>
      <c r="AB205" s="226"/>
      <c r="AC205" s="226"/>
      <c r="AD205" s="226"/>
      <c r="AE205" s="226"/>
      <c r="AF205" s="226"/>
      <c r="AG205" s="226"/>
      <c r="AH205" s="226"/>
      <c r="AI205" s="226"/>
      <c r="AJ205" s="226"/>
    </row>
    <row r="206" spans="1:36" s="13" customFormat="1">
      <c r="A206" s="11" t="s">
        <v>293</v>
      </c>
      <c r="B206" s="227"/>
      <c r="C206" s="226"/>
      <c r="D206" s="226"/>
      <c r="E206" s="226"/>
      <c r="F206" s="226"/>
      <c r="G206" s="226"/>
      <c r="H206" s="226"/>
      <c r="I206" s="226"/>
      <c r="J206" s="226" t="s">
        <v>223</v>
      </c>
      <c r="K206" s="226"/>
      <c r="L206" s="226"/>
      <c r="M206" s="226"/>
      <c r="N206" s="226"/>
      <c r="O206" s="226"/>
      <c r="P206" s="226"/>
      <c r="Q206" s="226"/>
      <c r="R206" s="226"/>
      <c r="S206" s="226"/>
      <c r="T206" s="226"/>
      <c r="U206" s="226"/>
      <c r="V206" s="226"/>
      <c r="W206" s="226"/>
      <c r="X206" s="226"/>
      <c r="Y206" s="226"/>
      <c r="Z206" s="226"/>
      <c r="AA206" s="226"/>
      <c r="AB206" s="226"/>
      <c r="AC206" s="226"/>
      <c r="AD206" s="226"/>
      <c r="AE206" s="226"/>
      <c r="AF206" s="226"/>
      <c r="AG206" s="226"/>
      <c r="AH206" s="226"/>
      <c r="AI206" s="226"/>
      <c r="AJ206" s="226"/>
    </row>
    <row r="207" spans="1:36" s="13" customFormat="1">
      <c r="A207" s="11" t="s">
        <v>293</v>
      </c>
      <c r="B207" s="227"/>
      <c r="C207" s="226"/>
      <c r="D207" s="226"/>
      <c r="E207" s="226"/>
      <c r="F207" s="226"/>
      <c r="G207" s="226"/>
      <c r="H207" s="226"/>
      <c r="I207" s="226"/>
      <c r="J207" s="226" t="s">
        <v>220</v>
      </c>
      <c r="K207" s="226"/>
      <c r="L207" s="226"/>
      <c r="M207" s="226"/>
      <c r="N207" s="226"/>
      <c r="O207" s="226"/>
      <c r="P207" s="226"/>
      <c r="Q207" s="226"/>
      <c r="R207" s="226"/>
      <c r="S207" s="226"/>
      <c r="T207" s="226"/>
      <c r="U207" s="226"/>
      <c r="V207" s="226"/>
      <c r="W207" s="226"/>
      <c r="X207" s="226"/>
      <c r="Y207" s="226"/>
      <c r="Z207" s="226"/>
      <c r="AA207" s="226"/>
      <c r="AB207" s="226"/>
      <c r="AC207" s="226"/>
      <c r="AD207" s="226"/>
      <c r="AE207" s="226"/>
      <c r="AF207" s="226"/>
      <c r="AG207" s="226"/>
      <c r="AH207" s="226"/>
      <c r="AI207" s="226"/>
      <c r="AJ207" s="226"/>
    </row>
    <row r="208" spans="1:36" s="13" customFormat="1">
      <c r="A208" s="11" t="s">
        <v>293</v>
      </c>
      <c r="B208" s="227"/>
      <c r="C208" s="226"/>
      <c r="D208" s="226"/>
      <c r="E208" s="226"/>
      <c r="F208" s="226"/>
      <c r="G208" s="226"/>
      <c r="H208" s="226"/>
      <c r="I208" s="226"/>
      <c r="J208" s="226" t="s">
        <v>228</v>
      </c>
      <c r="K208" s="226"/>
      <c r="L208" s="226"/>
      <c r="M208" s="226"/>
      <c r="N208" s="226"/>
      <c r="O208" s="226"/>
      <c r="P208" s="226"/>
      <c r="Q208" s="226"/>
      <c r="R208" s="226"/>
      <c r="S208" s="226"/>
      <c r="T208" s="226"/>
      <c r="U208" s="226"/>
      <c r="V208" s="226"/>
      <c r="W208" s="226"/>
      <c r="X208" s="226"/>
      <c r="Y208" s="226"/>
      <c r="Z208" s="226"/>
      <c r="AA208" s="226"/>
      <c r="AB208" s="226"/>
      <c r="AC208" s="226"/>
      <c r="AD208" s="226"/>
      <c r="AE208" s="226"/>
      <c r="AF208" s="226"/>
      <c r="AG208" s="226"/>
      <c r="AH208" s="226"/>
      <c r="AI208" s="226"/>
      <c r="AJ208" s="226"/>
    </row>
    <row r="209" spans="1:36" s="13" customFormat="1">
      <c r="A209" s="11" t="s">
        <v>293</v>
      </c>
      <c r="B209" s="227"/>
      <c r="C209" s="226"/>
      <c r="D209" s="226"/>
      <c r="E209" s="226"/>
      <c r="F209" s="226"/>
      <c r="G209" s="226"/>
      <c r="H209" s="226"/>
      <c r="I209" s="226"/>
      <c r="J209" s="226" t="s">
        <v>26</v>
      </c>
      <c r="K209" s="226"/>
      <c r="L209" s="226"/>
      <c r="M209" s="226"/>
      <c r="N209" s="226"/>
      <c r="O209" s="226"/>
      <c r="P209" s="226"/>
      <c r="Q209" s="226"/>
      <c r="R209" s="226"/>
      <c r="S209" s="226"/>
      <c r="T209" s="226"/>
      <c r="U209" s="226"/>
      <c r="V209" s="226"/>
      <c r="W209" s="226"/>
      <c r="X209" s="226"/>
      <c r="Y209" s="226"/>
      <c r="Z209" s="226"/>
      <c r="AA209" s="226"/>
      <c r="AB209" s="226"/>
      <c r="AC209" s="226"/>
      <c r="AD209" s="226"/>
      <c r="AE209" s="226"/>
      <c r="AF209" s="226"/>
      <c r="AG209" s="226"/>
      <c r="AH209" s="226"/>
      <c r="AI209" s="226"/>
      <c r="AJ209" s="226"/>
    </row>
    <row r="210" spans="1:36" s="13" customFormat="1">
      <c r="A210" s="11" t="s">
        <v>293</v>
      </c>
      <c r="B210" s="227"/>
      <c r="C210" s="226"/>
      <c r="D210" s="226"/>
      <c r="E210" s="226"/>
      <c r="F210" s="226"/>
      <c r="G210" s="226"/>
      <c r="H210" s="226"/>
      <c r="I210" s="226"/>
      <c r="J210" s="226" t="s">
        <v>222</v>
      </c>
      <c r="K210" s="226"/>
      <c r="L210" s="226"/>
      <c r="M210" s="226"/>
      <c r="N210" s="226"/>
      <c r="O210" s="226"/>
      <c r="P210" s="226"/>
      <c r="Q210" s="226"/>
      <c r="R210" s="226"/>
      <c r="S210" s="226"/>
      <c r="T210" s="226"/>
      <c r="U210" s="226"/>
      <c r="V210" s="226"/>
      <c r="W210" s="226"/>
      <c r="X210" s="226"/>
      <c r="Y210" s="226"/>
      <c r="Z210" s="226"/>
      <c r="AA210" s="226"/>
      <c r="AB210" s="226"/>
      <c r="AC210" s="226"/>
      <c r="AD210" s="226"/>
      <c r="AE210" s="226"/>
      <c r="AF210" s="226"/>
      <c r="AG210" s="226"/>
      <c r="AH210" s="226"/>
      <c r="AI210" s="226"/>
      <c r="AJ210" s="226"/>
    </row>
    <row r="211" spans="1:36" s="13" customFormat="1">
      <c r="A211" s="11" t="s">
        <v>293</v>
      </c>
      <c r="B211" s="227"/>
      <c r="C211" s="226"/>
      <c r="D211" s="226"/>
      <c r="E211" s="226"/>
      <c r="F211" s="226"/>
      <c r="G211" s="226"/>
      <c r="H211" s="226"/>
      <c r="I211" s="226"/>
      <c r="J211" s="226" t="s">
        <v>208</v>
      </c>
      <c r="K211" s="226"/>
      <c r="L211" s="226"/>
      <c r="M211" s="226"/>
      <c r="N211" s="226"/>
      <c r="O211" s="226"/>
      <c r="P211" s="226"/>
      <c r="Q211" s="226"/>
      <c r="R211" s="226"/>
      <c r="S211" s="226"/>
      <c r="T211" s="226"/>
      <c r="U211" s="226"/>
      <c r="V211" s="226"/>
      <c r="W211" s="226"/>
      <c r="X211" s="226"/>
      <c r="Y211" s="226"/>
      <c r="Z211" s="226"/>
      <c r="AA211" s="226"/>
      <c r="AB211" s="226"/>
      <c r="AC211" s="226"/>
      <c r="AD211" s="226"/>
      <c r="AE211" s="226"/>
      <c r="AF211" s="226"/>
      <c r="AG211" s="226"/>
      <c r="AH211" s="226"/>
      <c r="AI211" s="226"/>
      <c r="AJ211" s="226"/>
    </row>
    <row r="212" spans="1:36" s="13" customFormat="1">
      <c r="A212" s="11" t="s">
        <v>293</v>
      </c>
      <c r="B212" s="227"/>
      <c r="C212" s="226"/>
      <c r="D212" s="226"/>
      <c r="E212" s="226"/>
      <c r="F212" s="226"/>
      <c r="G212" s="226"/>
      <c r="H212" s="226"/>
      <c r="I212" s="226"/>
      <c r="J212" s="226" t="s">
        <v>23</v>
      </c>
      <c r="K212" s="226"/>
      <c r="L212" s="226"/>
      <c r="M212" s="226"/>
      <c r="N212" s="226"/>
      <c r="O212" s="226"/>
      <c r="P212" s="226"/>
      <c r="Q212" s="226"/>
      <c r="R212" s="226"/>
      <c r="S212" s="226"/>
      <c r="T212" s="226"/>
      <c r="U212" s="226"/>
      <c r="V212" s="226"/>
      <c r="W212" s="226"/>
      <c r="X212" s="226"/>
      <c r="Y212" s="226"/>
      <c r="Z212" s="226"/>
      <c r="AA212" s="226"/>
      <c r="AB212" s="226"/>
      <c r="AC212" s="226"/>
      <c r="AD212" s="226"/>
      <c r="AE212" s="226"/>
      <c r="AF212" s="226"/>
      <c r="AG212" s="226"/>
      <c r="AH212" s="226"/>
      <c r="AI212" s="226"/>
      <c r="AJ212" s="226"/>
    </row>
    <row r="213" spans="1:36" s="13" customFormat="1">
      <c r="A213" s="11" t="s">
        <v>293</v>
      </c>
      <c r="B213" s="227"/>
      <c r="C213" s="226"/>
      <c r="D213" s="226"/>
      <c r="E213" s="226"/>
      <c r="F213" s="226"/>
      <c r="G213" s="226"/>
      <c r="H213" s="226"/>
      <c r="I213" s="226"/>
      <c r="J213" s="226" t="s">
        <v>230</v>
      </c>
      <c r="K213" s="226"/>
      <c r="L213" s="226"/>
      <c r="M213" s="226"/>
      <c r="N213" s="226"/>
      <c r="O213" s="226"/>
      <c r="P213" s="226"/>
      <c r="Q213" s="226"/>
      <c r="R213" s="226"/>
      <c r="S213" s="226"/>
      <c r="T213" s="226"/>
      <c r="U213" s="226"/>
      <c r="V213" s="226"/>
      <c r="W213" s="226"/>
      <c r="X213" s="226"/>
      <c r="Y213" s="226"/>
      <c r="Z213" s="226"/>
      <c r="AA213" s="226"/>
      <c r="AB213" s="226"/>
      <c r="AC213" s="226"/>
      <c r="AD213" s="226"/>
      <c r="AE213" s="226"/>
      <c r="AF213" s="226"/>
      <c r="AG213" s="226"/>
      <c r="AH213" s="226"/>
      <c r="AI213" s="226"/>
      <c r="AJ213" s="226"/>
    </row>
    <row r="214" spans="1:36" s="13" customFormat="1">
      <c r="A214" s="11" t="s">
        <v>293</v>
      </c>
      <c r="B214" s="227"/>
      <c r="C214" s="226"/>
      <c r="D214" s="226"/>
      <c r="E214" s="226"/>
      <c r="F214" s="226"/>
      <c r="G214" s="226"/>
      <c r="H214" s="226"/>
      <c r="I214" s="226"/>
      <c r="J214" s="226" t="s">
        <v>24</v>
      </c>
      <c r="K214" s="226"/>
      <c r="L214" s="226"/>
      <c r="M214" s="226"/>
      <c r="N214" s="226"/>
      <c r="O214" s="226"/>
      <c r="P214" s="226"/>
      <c r="Q214" s="226"/>
      <c r="R214" s="226"/>
      <c r="S214" s="226"/>
      <c r="T214" s="226"/>
      <c r="U214" s="226"/>
      <c r="V214" s="226"/>
      <c r="W214" s="226"/>
      <c r="X214" s="226"/>
      <c r="Y214" s="226"/>
      <c r="Z214" s="226"/>
      <c r="AA214" s="226"/>
      <c r="AB214" s="226"/>
      <c r="AC214" s="226"/>
      <c r="AD214" s="226"/>
      <c r="AE214" s="226"/>
      <c r="AF214" s="226"/>
      <c r="AG214" s="226"/>
      <c r="AH214" s="226"/>
      <c r="AI214" s="226"/>
      <c r="AJ214" s="226"/>
    </row>
    <row r="215" spans="1:36" s="13" customFormat="1">
      <c r="A215" s="11" t="s">
        <v>293</v>
      </c>
      <c r="B215" s="227"/>
      <c r="C215" s="226"/>
      <c r="D215" s="226"/>
      <c r="E215" s="226"/>
      <c r="F215" s="226"/>
      <c r="G215" s="226"/>
      <c r="H215" s="226"/>
      <c r="I215" s="226"/>
      <c r="J215" s="226" t="s">
        <v>221</v>
      </c>
      <c r="K215" s="226"/>
      <c r="L215" s="226"/>
      <c r="M215" s="226"/>
      <c r="N215" s="226"/>
      <c r="O215" s="226"/>
      <c r="P215" s="226"/>
      <c r="Q215" s="226"/>
      <c r="R215" s="226"/>
      <c r="S215" s="226"/>
      <c r="T215" s="226"/>
      <c r="U215" s="226"/>
      <c r="V215" s="226"/>
      <c r="W215" s="226"/>
      <c r="X215" s="226"/>
      <c r="Y215" s="226"/>
      <c r="Z215" s="226"/>
      <c r="AA215" s="226"/>
      <c r="AB215" s="226"/>
      <c r="AC215" s="226"/>
      <c r="AD215" s="226"/>
      <c r="AE215" s="226"/>
      <c r="AF215" s="226"/>
      <c r="AG215" s="226"/>
      <c r="AH215" s="226"/>
      <c r="AI215" s="226"/>
      <c r="AJ215" s="226"/>
    </row>
    <row r="216" spans="1:36" s="13" customFormat="1">
      <c r="A216" s="11" t="s">
        <v>293</v>
      </c>
      <c r="B216" s="227"/>
      <c r="C216" s="226"/>
      <c r="D216" s="226"/>
      <c r="E216" s="226"/>
      <c r="F216" s="226"/>
      <c r="G216" s="226"/>
      <c r="H216" s="226"/>
      <c r="I216" s="226"/>
      <c r="J216" s="226" t="s">
        <v>215</v>
      </c>
      <c r="K216" s="226"/>
      <c r="L216" s="226"/>
      <c r="M216" s="226"/>
      <c r="N216" s="226"/>
      <c r="O216" s="226"/>
      <c r="P216" s="226"/>
      <c r="Q216" s="226"/>
      <c r="R216" s="226"/>
      <c r="S216" s="226"/>
      <c r="T216" s="226"/>
      <c r="U216" s="226"/>
      <c r="V216" s="226"/>
      <c r="W216" s="226"/>
      <c r="X216" s="226"/>
      <c r="Y216" s="226"/>
      <c r="Z216" s="226"/>
      <c r="AA216" s="226"/>
      <c r="AB216" s="226"/>
      <c r="AC216" s="226"/>
      <c r="AD216" s="226"/>
      <c r="AE216" s="226"/>
      <c r="AF216" s="226"/>
      <c r="AG216" s="226"/>
      <c r="AH216" s="226"/>
      <c r="AI216" s="226"/>
      <c r="AJ216" s="226"/>
    </row>
    <row r="217" spans="1:36" s="13" customFormat="1">
      <c r="A217" s="11" t="s">
        <v>293</v>
      </c>
      <c r="B217" s="227"/>
      <c r="C217" s="226"/>
      <c r="D217" s="226"/>
      <c r="E217" s="226"/>
      <c r="F217" s="226"/>
      <c r="G217" s="226"/>
      <c r="H217" s="226"/>
      <c r="I217" s="226"/>
      <c r="J217" s="226" t="s">
        <v>218</v>
      </c>
      <c r="K217" s="226"/>
      <c r="L217" s="226"/>
      <c r="M217" s="226"/>
      <c r="N217" s="226"/>
      <c r="O217" s="226"/>
      <c r="P217" s="226"/>
      <c r="Q217" s="226"/>
      <c r="R217" s="226"/>
      <c r="S217" s="226"/>
      <c r="T217" s="226"/>
      <c r="U217" s="226"/>
      <c r="V217" s="226"/>
      <c r="W217" s="226"/>
      <c r="X217" s="226"/>
      <c r="Y217" s="226"/>
      <c r="Z217" s="226"/>
      <c r="AA217" s="226"/>
      <c r="AB217" s="226"/>
      <c r="AC217" s="226"/>
      <c r="AD217" s="226"/>
      <c r="AE217" s="226"/>
      <c r="AF217" s="226"/>
      <c r="AG217" s="226"/>
      <c r="AH217" s="226"/>
      <c r="AI217" s="226"/>
      <c r="AJ217" s="226"/>
    </row>
    <row r="218" spans="1:36" s="13" customFormat="1">
      <c r="A218" s="11" t="s">
        <v>293</v>
      </c>
      <c r="B218" s="227"/>
      <c r="C218" s="226"/>
      <c r="D218" s="226"/>
      <c r="E218" s="226"/>
      <c r="F218" s="226"/>
      <c r="G218" s="226"/>
      <c r="H218" s="226"/>
      <c r="I218" s="226"/>
      <c r="J218" s="226" t="s">
        <v>224</v>
      </c>
      <c r="K218" s="226"/>
      <c r="L218" s="226"/>
      <c r="M218" s="226"/>
      <c r="N218" s="226"/>
      <c r="O218" s="226"/>
      <c r="P218" s="226"/>
      <c r="Q218" s="226"/>
      <c r="R218" s="226"/>
      <c r="S218" s="226"/>
      <c r="T218" s="226"/>
      <c r="U218" s="226"/>
      <c r="V218" s="226"/>
      <c r="W218" s="226"/>
      <c r="X218" s="226"/>
      <c r="Y218" s="226"/>
      <c r="Z218" s="226"/>
      <c r="AA218" s="226"/>
      <c r="AB218" s="226"/>
      <c r="AC218" s="226"/>
      <c r="AD218" s="226"/>
      <c r="AE218" s="226"/>
      <c r="AF218" s="226"/>
      <c r="AG218" s="226"/>
      <c r="AH218" s="226"/>
      <c r="AI218" s="226"/>
      <c r="AJ218" s="226"/>
    </row>
    <row r="219" spans="1:36" s="13" customFormat="1">
      <c r="A219" s="11" t="s">
        <v>293</v>
      </c>
      <c r="B219" s="227"/>
      <c r="C219" s="226"/>
      <c r="D219" s="226"/>
      <c r="E219" s="226"/>
      <c r="F219" s="226"/>
      <c r="G219" s="226"/>
      <c r="H219" s="226"/>
      <c r="I219" s="226"/>
      <c r="J219" s="226" t="s">
        <v>229</v>
      </c>
      <c r="K219" s="226"/>
      <c r="L219" s="226"/>
      <c r="M219" s="226"/>
      <c r="N219" s="226"/>
      <c r="O219" s="226"/>
      <c r="P219" s="226"/>
      <c r="Q219" s="226"/>
      <c r="R219" s="226"/>
      <c r="S219" s="226"/>
      <c r="T219" s="226"/>
      <c r="U219" s="226"/>
      <c r="V219" s="226"/>
      <c r="W219" s="226"/>
      <c r="X219" s="226"/>
      <c r="Y219" s="226"/>
      <c r="Z219" s="226"/>
      <c r="AA219" s="226"/>
      <c r="AB219" s="226"/>
      <c r="AC219" s="226"/>
      <c r="AD219" s="226"/>
      <c r="AE219" s="226"/>
      <c r="AF219" s="226"/>
      <c r="AG219" s="226"/>
      <c r="AH219" s="226"/>
      <c r="AI219" s="226"/>
      <c r="AJ219" s="226"/>
    </row>
    <row r="220" spans="1:36" s="13" customFormat="1">
      <c r="A220" s="11" t="s">
        <v>293</v>
      </c>
      <c r="B220" s="227"/>
      <c r="C220" s="226"/>
      <c r="D220" s="226"/>
      <c r="E220" s="226"/>
      <c r="F220" s="226"/>
      <c r="G220" s="226"/>
      <c r="H220" s="226"/>
      <c r="I220" s="226"/>
      <c r="J220" s="226" t="s">
        <v>216</v>
      </c>
      <c r="K220" s="226"/>
      <c r="L220" s="226"/>
      <c r="M220" s="226"/>
      <c r="N220" s="226"/>
      <c r="O220" s="226"/>
      <c r="P220" s="226"/>
      <c r="Q220" s="226"/>
      <c r="R220" s="226"/>
      <c r="S220" s="226"/>
      <c r="T220" s="226"/>
      <c r="U220" s="226"/>
      <c r="V220" s="226"/>
      <c r="W220" s="226"/>
      <c r="X220" s="226"/>
      <c r="Y220" s="226"/>
      <c r="Z220" s="226"/>
      <c r="AA220" s="226"/>
      <c r="AB220" s="226"/>
      <c r="AC220" s="226"/>
      <c r="AD220" s="226"/>
      <c r="AE220" s="226"/>
      <c r="AF220" s="226"/>
      <c r="AG220" s="226"/>
      <c r="AH220" s="226"/>
      <c r="AI220" s="226"/>
      <c r="AJ220" s="226"/>
    </row>
    <row r="221" spans="1:36" s="13" customFormat="1">
      <c r="A221" s="11" t="s">
        <v>293</v>
      </c>
      <c r="B221" s="227"/>
      <c r="C221" s="226"/>
      <c r="D221" s="226"/>
      <c r="E221" s="226"/>
      <c r="F221" s="226"/>
      <c r="G221" s="226"/>
      <c r="H221" s="226"/>
      <c r="I221" s="226"/>
      <c r="J221" s="226" t="s">
        <v>102</v>
      </c>
      <c r="K221" s="226"/>
      <c r="L221" s="226"/>
      <c r="M221" s="226"/>
      <c r="N221" s="226"/>
      <c r="O221" s="226"/>
      <c r="P221" s="226"/>
      <c r="Q221" s="226"/>
      <c r="R221" s="226"/>
      <c r="S221" s="226"/>
      <c r="T221" s="226"/>
      <c r="U221" s="226"/>
      <c r="V221" s="226"/>
      <c r="W221" s="226"/>
      <c r="X221" s="226"/>
      <c r="Y221" s="226"/>
      <c r="Z221" s="226"/>
      <c r="AA221" s="226"/>
      <c r="AB221" s="226"/>
      <c r="AC221" s="226"/>
      <c r="AD221" s="226"/>
      <c r="AE221" s="226"/>
      <c r="AF221" s="226"/>
      <c r="AG221" s="226"/>
      <c r="AH221" s="226"/>
      <c r="AI221" s="226"/>
      <c r="AJ221" s="226"/>
    </row>
    <row r="222" spans="1:36" s="13" customFormat="1">
      <c r="A222" s="11" t="s">
        <v>293</v>
      </c>
      <c r="B222" s="227"/>
      <c r="C222" s="226"/>
      <c r="D222" s="226"/>
      <c r="E222" s="226"/>
      <c r="F222" s="226"/>
      <c r="G222" s="226"/>
      <c r="H222" s="226"/>
      <c r="I222" s="226"/>
      <c r="J222" s="226" t="s">
        <v>233</v>
      </c>
      <c r="K222" s="226"/>
      <c r="L222" s="226"/>
      <c r="M222" s="226"/>
      <c r="N222" s="226"/>
      <c r="O222" s="226"/>
      <c r="P222" s="226"/>
      <c r="Q222" s="226"/>
      <c r="R222" s="226"/>
      <c r="S222" s="226"/>
      <c r="T222" s="226"/>
      <c r="U222" s="226"/>
      <c r="V222" s="226"/>
      <c r="W222" s="226"/>
      <c r="X222" s="226"/>
      <c r="Y222" s="226"/>
      <c r="Z222" s="226"/>
      <c r="AA222" s="226"/>
      <c r="AB222" s="226"/>
      <c r="AC222" s="226"/>
      <c r="AD222" s="226"/>
      <c r="AE222" s="226"/>
      <c r="AF222" s="226"/>
      <c r="AG222" s="226"/>
      <c r="AH222" s="226"/>
      <c r="AI222" s="226"/>
      <c r="AJ222" s="226"/>
    </row>
    <row r="223" spans="1:36" s="13" customFormat="1">
      <c r="A223" s="11" t="s">
        <v>293</v>
      </c>
      <c r="B223" s="227"/>
      <c r="C223" s="226"/>
      <c r="D223" s="226"/>
      <c r="E223" s="226"/>
      <c r="F223" s="226"/>
      <c r="G223" s="226"/>
      <c r="H223" s="226"/>
      <c r="I223" s="226"/>
      <c r="J223" s="226" t="s">
        <v>231</v>
      </c>
      <c r="K223" s="226"/>
      <c r="L223" s="226"/>
      <c r="M223" s="226"/>
      <c r="N223" s="226"/>
      <c r="O223" s="226"/>
      <c r="P223" s="226"/>
      <c r="Q223" s="226"/>
      <c r="R223" s="226"/>
      <c r="S223" s="226"/>
      <c r="T223" s="226"/>
      <c r="U223" s="226"/>
      <c r="V223" s="226"/>
      <c r="W223" s="226"/>
      <c r="X223" s="226"/>
      <c r="Y223" s="226"/>
      <c r="Z223" s="226"/>
      <c r="AA223" s="226"/>
      <c r="AB223" s="226"/>
      <c r="AC223" s="226"/>
      <c r="AD223" s="226"/>
      <c r="AE223" s="226"/>
      <c r="AF223" s="226"/>
      <c r="AG223" s="226"/>
      <c r="AH223" s="226"/>
      <c r="AI223" s="226"/>
      <c r="AJ223" s="226"/>
    </row>
    <row r="224" spans="1:36" s="13" customFormat="1">
      <c r="A224" s="11" t="s">
        <v>293</v>
      </c>
      <c r="B224" s="227"/>
      <c r="C224" s="226"/>
      <c r="D224" s="226"/>
      <c r="E224" s="226"/>
      <c r="F224" s="226"/>
      <c r="G224" s="226"/>
      <c r="H224" s="226"/>
      <c r="I224" s="226"/>
      <c r="J224" s="226" t="s">
        <v>246</v>
      </c>
      <c r="K224" s="226"/>
      <c r="L224" s="226"/>
      <c r="M224" s="226"/>
      <c r="N224" s="226"/>
      <c r="O224" s="226"/>
      <c r="P224" s="226"/>
      <c r="Q224" s="226"/>
      <c r="R224" s="226"/>
      <c r="S224" s="226"/>
      <c r="T224" s="226"/>
      <c r="U224" s="226"/>
      <c r="V224" s="226"/>
      <c r="W224" s="226"/>
      <c r="X224" s="226"/>
      <c r="Y224" s="226"/>
      <c r="Z224" s="226"/>
      <c r="AA224" s="226"/>
      <c r="AB224" s="226"/>
      <c r="AC224" s="226"/>
      <c r="AD224" s="226"/>
      <c r="AE224" s="226"/>
      <c r="AF224" s="226"/>
      <c r="AG224" s="226"/>
      <c r="AH224" s="226"/>
      <c r="AI224" s="226"/>
      <c r="AJ224" s="226"/>
    </row>
    <row r="225" spans="1:36" s="13" customFormat="1">
      <c r="A225" s="11" t="s">
        <v>293</v>
      </c>
      <c r="B225" s="227"/>
      <c r="C225" s="226"/>
      <c r="D225" s="226"/>
      <c r="E225" s="226"/>
      <c r="F225" s="226"/>
      <c r="G225" s="226"/>
      <c r="H225" s="226"/>
      <c r="I225" s="226"/>
      <c r="J225" s="226" t="s">
        <v>84</v>
      </c>
      <c r="K225" s="226"/>
      <c r="L225" s="226"/>
      <c r="M225" s="226"/>
      <c r="N225" s="226"/>
      <c r="O225" s="226"/>
      <c r="P225" s="226"/>
      <c r="Q225" s="226"/>
      <c r="R225" s="226"/>
      <c r="S225" s="226"/>
      <c r="T225" s="226"/>
      <c r="U225" s="226"/>
      <c r="V225" s="226"/>
      <c r="W225" s="226"/>
      <c r="X225" s="226"/>
      <c r="Y225" s="226"/>
      <c r="Z225" s="226"/>
      <c r="AA225" s="226"/>
      <c r="AB225" s="226"/>
      <c r="AC225" s="226"/>
      <c r="AD225" s="226"/>
      <c r="AE225" s="226"/>
      <c r="AF225" s="226"/>
      <c r="AG225" s="226"/>
      <c r="AH225" s="226"/>
      <c r="AI225" s="226"/>
      <c r="AJ225" s="226"/>
    </row>
    <row r="226" spans="1:36" s="13" customFormat="1">
      <c r="A226" s="11" t="s">
        <v>293</v>
      </c>
      <c r="B226" s="227"/>
      <c r="C226" s="226"/>
      <c r="D226" s="226"/>
      <c r="E226" s="226"/>
      <c r="F226" s="226"/>
      <c r="G226" s="226"/>
      <c r="H226" s="226"/>
      <c r="I226" s="226"/>
      <c r="J226" s="226" t="s">
        <v>111</v>
      </c>
      <c r="K226" s="226"/>
      <c r="L226" s="226"/>
      <c r="M226" s="226"/>
      <c r="N226" s="226"/>
      <c r="O226" s="226"/>
      <c r="P226" s="226"/>
      <c r="Q226" s="226"/>
      <c r="R226" s="226"/>
      <c r="S226" s="226"/>
      <c r="T226" s="226"/>
      <c r="U226" s="226"/>
      <c r="V226" s="226"/>
      <c r="W226" s="226"/>
      <c r="X226" s="226"/>
      <c r="Y226" s="226"/>
      <c r="Z226" s="226"/>
      <c r="AA226" s="226"/>
      <c r="AB226" s="226"/>
      <c r="AC226" s="226"/>
      <c r="AD226" s="226"/>
      <c r="AE226" s="226"/>
      <c r="AF226" s="226"/>
      <c r="AG226" s="226"/>
      <c r="AH226" s="226"/>
      <c r="AI226" s="226"/>
      <c r="AJ226" s="226"/>
    </row>
    <row r="227" spans="1:36" s="13" customFormat="1">
      <c r="A227" s="11" t="s">
        <v>293</v>
      </c>
      <c r="B227" s="227"/>
      <c r="C227" s="226"/>
      <c r="D227" s="226"/>
      <c r="E227" s="226"/>
      <c r="F227" s="226"/>
      <c r="G227" s="226"/>
      <c r="H227" s="226"/>
      <c r="I227" s="226"/>
      <c r="J227" s="226" t="s">
        <v>239</v>
      </c>
      <c r="K227" s="226"/>
      <c r="L227" s="226"/>
      <c r="M227" s="226"/>
      <c r="N227" s="226"/>
      <c r="O227" s="226"/>
      <c r="P227" s="226"/>
      <c r="Q227" s="226"/>
      <c r="R227" s="226"/>
      <c r="S227" s="226"/>
      <c r="T227" s="226"/>
      <c r="U227" s="226"/>
      <c r="V227" s="226"/>
      <c r="W227" s="226"/>
      <c r="X227" s="226"/>
      <c r="Y227" s="226"/>
      <c r="Z227" s="226"/>
      <c r="AA227" s="226"/>
      <c r="AB227" s="226"/>
      <c r="AC227" s="226"/>
      <c r="AD227" s="226"/>
      <c r="AE227" s="226"/>
      <c r="AF227" s="226"/>
      <c r="AG227" s="226"/>
      <c r="AH227" s="226"/>
      <c r="AI227" s="226"/>
      <c r="AJ227" s="226"/>
    </row>
    <row r="228" spans="1:36" s="13" customFormat="1">
      <c r="A228" s="11" t="s">
        <v>293</v>
      </c>
      <c r="B228" s="227"/>
      <c r="C228" s="226"/>
      <c r="D228" s="226"/>
      <c r="E228" s="226"/>
      <c r="F228" s="226"/>
      <c r="G228" s="226"/>
      <c r="H228" s="226"/>
      <c r="I228" s="226"/>
      <c r="J228" s="226" t="s">
        <v>237</v>
      </c>
      <c r="K228" s="226"/>
      <c r="L228" s="226"/>
      <c r="M228" s="226"/>
      <c r="N228" s="226"/>
      <c r="O228" s="226"/>
      <c r="P228" s="226"/>
      <c r="Q228" s="226"/>
      <c r="R228" s="226"/>
      <c r="S228" s="226"/>
      <c r="T228" s="226"/>
      <c r="U228" s="226"/>
      <c r="V228" s="226"/>
      <c r="W228" s="226"/>
      <c r="X228" s="226"/>
      <c r="Y228" s="226"/>
      <c r="Z228" s="226"/>
      <c r="AA228" s="226"/>
      <c r="AB228" s="226"/>
      <c r="AC228" s="226"/>
      <c r="AD228" s="226"/>
      <c r="AE228" s="226"/>
      <c r="AF228" s="226"/>
      <c r="AG228" s="226"/>
      <c r="AH228" s="226"/>
      <c r="AI228" s="226"/>
      <c r="AJ228" s="226"/>
    </row>
    <row r="229" spans="1:36" s="13" customFormat="1">
      <c r="A229" s="11" t="s">
        <v>293</v>
      </c>
      <c r="B229" s="227"/>
      <c r="C229" s="226"/>
      <c r="D229" s="226"/>
      <c r="E229" s="226"/>
      <c r="F229" s="226"/>
      <c r="G229" s="226"/>
      <c r="H229" s="226"/>
      <c r="I229" s="226"/>
      <c r="J229" s="226" t="s">
        <v>235</v>
      </c>
      <c r="K229" s="226"/>
      <c r="L229" s="226"/>
      <c r="M229" s="226"/>
      <c r="N229" s="226"/>
      <c r="O229" s="226"/>
      <c r="P229" s="226"/>
      <c r="Q229" s="226"/>
      <c r="R229" s="226"/>
      <c r="S229" s="226"/>
      <c r="T229" s="226"/>
      <c r="U229" s="226"/>
      <c r="V229" s="226"/>
      <c r="W229" s="226"/>
      <c r="X229" s="226"/>
      <c r="Y229" s="226"/>
      <c r="Z229" s="226"/>
      <c r="AA229" s="226"/>
      <c r="AB229" s="226"/>
      <c r="AC229" s="226"/>
      <c r="AD229" s="226"/>
      <c r="AE229" s="226"/>
      <c r="AF229" s="226"/>
      <c r="AG229" s="226"/>
      <c r="AH229" s="226"/>
      <c r="AI229" s="226"/>
      <c r="AJ229" s="226"/>
    </row>
    <row r="230" spans="1:36" s="13" customFormat="1">
      <c r="A230" s="11" t="s">
        <v>293</v>
      </c>
      <c r="B230" s="227"/>
      <c r="C230" s="226"/>
      <c r="D230" s="226"/>
      <c r="E230" s="226"/>
      <c r="F230" s="226"/>
      <c r="G230" s="226"/>
      <c r="H230" s="226"/>
      <c r="I230" s="226"/>
      <c r="J230" s="226" t="s">
        <v>240</v>
      </c>
      <c r="K230" s="226"/>
      <c r="L230" s="226"/>
      <c r="M230" s="226"/>
      <c r="N230" s="226"/>
      <c r="O230" s="226"/>
      <c r="P230" s="226"/>
      <c r="Q230" s="226"/>
      <c r="R230" s="226"/>
      <c r="S230" s="226"/>
      <c r="T230" s="226"/>
      <c r="U230" s="226"/>
      <c r="V230" s="226"/>
      <c r="W230" s="226"/>
      <c r="X230" s="226"/>
      <c r="Y230" s="226"/>
      <c r="Z230" s="226"/>
      <c r="AA230" s="226"/>
      <c r="AB230" s="226"/>
      <c r="AC230" s="226"/>
      <c r="AD230" s="226"/>
      <c r="AE230" s="226"/>
      <c r="AF230" s="226"/>
      <c r="AG230" s="226"/>
      <c r="AH230" s="226"/>
      <c r="AI230" s="226"/>
      <c r="AJ230" s="226"/>
    </row>
    <row r="231" spans="1:36" s="13" customFormat="1">
      <c r="A231" s="11" t="s">
        <v>293</v>
      </c>
      <c r="B231" s="227"/>
      <c r="C231" s="226"/>
      <c r="D231" s="226"/>
      <c r="E231" s="226"/>
      <c r="F231" s="226"/>
      <c r="G231" s="226"/>
      <c r="H231" s="226"/>
      <c r="I231" s="226"/>
      <c r="J231" s="226" t="s">
        <v>238</v>
      </c>
      <c r="K231" s="226"/>
      <c r="L231" s="226"/>
      <c r="M231" s="226"/>
      <c r="N231" s="226"/>
      <c r="O231" s="226"/>
      <c r="P231" s="226"/>
      <c r="Q231" s="226"/>
      <c r="R231" s="226"/>
      <c r="S231" s="226"/>
      <c r="T231" s="226"/>
      <c r="U231" s="226"/>
      <c r="V231" s="226"/>
      <c r="W231" s="226"/>
      <c r="X231" s="226"/>
      <c r="Y231" s="226"/>
      <c r="Z231" s="226"/>
      <c r="AA231" s="226"/>
      <c r="AB231" s="226"/>
      <c r="AC231" s="226"/>
      <c r="AD231" s="226"/>
      <c r="AE231" s="226"/>
      <c r="AF231" s="226"/>
      <c r="AG231" s="226"/>
      <c r="AH231" s="226"/>
      <c r="AI231" s="226"/>
      <c r="AJ231" s="226"/>
    </row>
    <row r="232" spans="1:36" s="13" customFormat="1">
      <c r="A232" s="11" t="s">
        <v>293</v>
      </c>
      <c r="B232" s="227"/>
      <c r="C232" s="226"/>
      <c r="D232" s="226"/>
      <c r="E232" s="226"/>
      <c r="F232" s="226"/>
      <c r="G232" s="226"/>
      <c r="H232" s="226"/>
      <c r="I232" s="226"/>
      <c r="J232" s="226" t="s">
        <v>245</v>
      </c>
      <c r="K232" s="226"/>
      <c r="L232" s="226"/>
      <c r="M232" s="226"/>
      <c r="N232" s="226"/>
      <c r="O232" s="226"/>
      <c r="P232" s="226"/>
      <c r="Q232" s="226"/>
      <c r="R232" s="226"/>
      <c r="S232" s="226"/>
      <c r="T232" s="226"/>
      <c r="U232" s="226"/>
      <c r="V232" s="226"/>
      <c r="W232" s="226"/>
      <c r="X232" s="226"/>
      <c r="Y232" s="226"/>
      <c r="Z232" s="226"/>
      <c r="AA232" s="226"/>
      <c r="AB232" s="226"/>
      <c r="AC232" s="226"/>
      <c r="AD232" s="226"/>
      <c r="AE232" s="226"/>
      <c r="AF232" s="226"/>
      <c r="AG232" s="226"/>
      <c r="AH232" s="226"/>
      <c r="AI232" s="226"/>
      <c r="AJ232" s="226"/>
    </row>
    <row r="233" spans="1:36" s="13" customFormat="1">
      <c r="A233" s="11" t="s">
        <v>293</v>
      </c>
      <c r="B233" s="227"/>
      <c r="C233" s="226"/>
      <c r="D233" s="226"/>
      <c r="E233" s="226"/>
      <c r="F233" s="226"/>
      <c r="G233" s="226"/>
      <c r="H233" s="226"/>
      <c r="I233" s="226"/>
      <c r="J233" s="226" t="s">
        <v>243</v>
      </c>
      <c r="K233" s="226"/>
      <c r="L233" s="226"/>
      <c r="M233" s="226"/>
      <c r="N233" s="226"/>
      <c r="O233" s="226"/>
      <c r="P233" s="226"/>
      <c r="Q233" s="226"/>
      <c r="R233" s="226"/>
      <c r="S233" s="226"/>
      <c r="T233" s="226"/>
      <c r="U233" s="226"/>
      <c r="V233" s="226"/>
      <c r="W233" s="226"/>
      <c r="X233" s="226"/>
      <c r="Y233" s="226"/>
      <c r="Z233" s="226"/>
      <c r="AA233" s="226"/>
      <c r="AB233" s="226"/>
      <c r="AC233" s="226"/>
      <c r="AD233" s="226"/>
      <c r="AE233" s="226"/>
      <c r="AF233" s="226"/>
      <c r="AG233" s="226"/>
      <c r="AH233" s="226"/>
      <c r="AI233" s="226"/>
      <c r="AJ233" s="226"/>
    </row>
    <row r="234" spans="1:36" s="13" customFormat="1">
      <c r="A234" s="11" t="s">
        <v>293</v>
      </c>
      <c r="B234" s="227"/>
      <c r="C234" s="226"/>
      <c r="D234" s="226"/>
      <c r="E234" s="226"/>
      <c r="F234" s="226"/>
      <c r="G234" s="226"/>
      <c r="H234" s="226"/>
      <c r="I234" s="226"/>
      <c r="J234" s="226" t="s">
        <v>241</v>
      </c>
      <c r="K234" s="226"/>
      <c r="L234" s="226"/>
      <c r="M234" s="226"/>
      <c r="N234" s="226"/>
      <c r="O234" s="226"/>
      <c r="P234" s="226"/>
      <c r="Q234" s="226"/>
      <c r="R234" s="226"/>
      <c r="S234" s="226"/>
      <c r="T234" s="226"/>
      <c r="U234" s="226"/>
      <c r="V234" s="226"/>
      <c r="W234" s="226"/>
      <c r="X234" s="226"/>
      <c r="Y234" s="226"/>
      <c r="Z234" s="226"/>
      <c r="AA234" s="226"/>
      <c r="AB234" s="226"/>
      <c r="AC234" s="226"/>
      <c r="AD234" s="226"/>
      <c r="AE234" s="226"/>
      <c r="AF234" s="226"/>
      <c r="AG234" s="226"/>
      <c r="AH234" s="226"/>
      <c r="AI234" s="226"/>
      <c r="AJ234" s="226"/>
    </row>
    <row r="235" spans="1:36" s="13" customFormat="1">
      <c r="A235" s="11" t="s">
        <v>293</v>
      </c>
      <c r="B235" s="227"/>
      <c r="C235" s="226"/>
      <c r="D235" s="226"/>
      <c r="E235" s="226"/>
      <c r="F235" s="226"/>
      <c r="G235" s="226"/>
      <c r="H235" s="226"/>
      <c r="I235" s="226"/>
      <c r="J235" s="226" t="s">
        <v>244</v>
      </c>
      <c r="K235" s="226"/>
      <c r="L235" s="226"/>
      <c r="M235" s="226"/>
      <c r="N235" s="226"/>
      <c r="O235" s="226"/>
      <c r="P235" s="226"/>
      <c r="Q235" s="226"/>
      <c r="R235" s="226"/>
      <c r="S235" s="226"/>
      <c r="T235" s="226"/>
      <c r="U235" s="226"/>
      <c r="V235" s="226"/>
      <c r="W235" s="226"/>
      <c r="X235" s="226"/>
      <c r="Y235" s="226"/>
      <c r="Z235" s="226"/>
      <c r="AA235" s="226"/>
      <c r="AB235" s="226"/>
      <c r="AC235" s="226"/>
      <c r="AD235" s="226"/>
      <c r="AE235" s="226"/>
      <c r="AF235" s="226"/>
      <c r="AG235" s="226"/>
      <c r="AH235" s="226"/>
      <c r="AI235" s="226"/>
      <c r="AJ235" s="226"/>
    </row>
    <row r="236" spans="1:36" s="13" customFormat="1">
      <c r="A236" s="11" t="s">
        <v>293</v>
      </c>
      <c r="B236" s="227"/>
      <c r="C236" s="226"/>
      <c r="D236" s="226"/>
      <c r="E236" s="226"/>
      <c r="F236" s="226"/>
      <c r="G236" s="226"/>
      <c r="H236" s="226"/>
      <c r="I236" s="226"/>
      <c r="J236" s="226" t="s">
        <v>242</v>
      </c>
      <c r="K236" s="226"/>
      <c r="L236" s="226"/>
      <c r="M236" s="226"/>
      <c r="N236" s="226"/>
      <c r="O236" s="226"/>
      <c r="P236" s="226"/>
      <c r="Q236" s="226"/>
      <c r="R236" s="226"/>
      <c r="S236" s="226"/>
      <c r="T236" s="226"/>
      <c r="U236" s="226"/>
      <c r="V236" s="226"/>
      <c r="W236" s="226"/>
      <c r="X236" s="226"/>
      <c r="Y236" s="226"/>
      <c r="Z236" s="226"/>
      <c r="AA236" s="226"/>
      <c r="AB236" s="226"/>
      <c r="AC236" s="226"/>
      <c r="AD236" s="226"/>
      <c r="AE236" s="226"/>
      <c r="AF236" s="226"/>
      <c r="AG236" s="226"/>
      <c r="AH236" s="226"/>
      <c r="AI236" s="226"/>
      <c r="AJ236" s="226"/>
    </row>
    <row r="237" spans="1:36" s="13" customFormat="1">
      <c r="A237" s="11" t="s">
        <v>293</v>
      </c>
      <c r="B237" s="227"/>
      <c r="C237" s="226"/>
      <c r="D237" s="226"/>
      <c r="E237" s="226"/>
      <c r="F237" s="226"/>
      <c r="G237" s="226"/>
      <c r="H237" s="226"/>
      <c r="I237" s="226"/>
      <c r="J237" s="226" t="s">
        <v>247</v>
      </c>
      <c r="K237" s="226"/>
      <c r="L237" s="226"/>
      <c r="M237" s="226"/>
      <c r="N237" s="226"/>
      <c r="O237" s="226"/>
      <c r="P237" s="226"/>
      <c r="Q237" s="226"/>
      <c r="R237" s="226"/>
      <c r="S237" s="226"/>
      <c r="T237" s="226"/>
      <c r="U237" s="226"/>
      <c r="V237" s="226"/>
      <c r="W237" s="226"/>
      <c r="X237" s="226"/>
      <c r="Y237" s="226"/>
      <c r="Z237" s="226"/>
      <c r="AA237" s="226"/>
      <c r="AB237" s="226"/>
      <c r="AC237" s="226"/>
      <c r="AD237" s="226"/>
      <c r="AE237" s="226"/>
      <c r="AF237" s="226"/>
      <c r="AG237" s="226"/>
      <c r="AH237" s="226"/>
      <c r="AI237" s="226"/>
      <c r="AJ237" s="226"/>
    </row>
    <row r="238" spans="1:36" s="13" customFormat="1">
      <c r="A238" s="11" t="s">
        <v>293</v>
      </c>
      <c r="B238" s="227"/>
      <c r="C238" s="226"/>
      <c r="D238" s="226"/>
      <c r="E238" s="226"/>
      <c r="F238" s="226"/>
      <c r="G238" s="226"/>
      <c r="H238" s="226"/>
      <c r="I238" s="226"/>
      <c r="J238" s="226" t="s">
        <v>234</v>
      </c>
      <c r="K238" s="226"/>
      <c r="L238" s="226"/>
      <c r="M238" s="226"/>
      <c r="N238" s="226"/>
      <c r="O238" s="226"/>
      <c r="P238" s="226"/>
      <c r="Q238" s="226"/>
      <c r="R238" s="226"/>
      <c r="S238" s="226"/>
      <c r="T238" s="226"/>
      <c r="U238" s="226"/>
      <c r="V238" s="226"/>
      <c r="W238" s="226"/>
      <c r="X238" s="226"/>
      <c r="Y238" s="226"/>
      <c r="Z238" s="226"/>
      <c r="AA238" s="226"/>
      <c r="AB238" s="226"/>
      <c r="AC238" s="226"/>
      <c r="AD238" s="226"/>
      <c r="AE238" s="226"/>
      <c r="AF238" s="226"/>
      <c r="AG238" s="226"/>
      <c r="AH238" s="226"/>
      <c r="AI238" s="226"/>
      <c r="AJ238" s="226"/>
    </row>
    <row r="239" spans="1:36" s="13" customFormat="1">
      <c r="A239" s="11" t="s">
        <v>293</v>
      </c>
      <c r="B239" s="227"/>
      <c r="C239" s="226"/>
      <c r="D239" s="226"/>
      <c r="E239" s="226"/>
      <c r="F239" s="226"/>
      <c r="G239" s="226"/>
      <c r="H239" s="226"/>
      <c r="I239" s="226"/>
      <c r="J239" s="226" t="s">
        <v>236</v>
      </c>
      <c r="K239" s="226"/>
      <c r="L239" s="226"/>
      <c r="M239" s="226"/>
      <c r="N239" s="226"/>
      <c r="O239" s="226"/>
      <c r="P239" s="226"/>
      <c r="Q239" s="226"/>
      <c r="R239" s="226"/>
      <c r="S239" s="226"/>
      <c r="T239" s="226"/>
      <c r="U239" s="226"/>
      <c r="V239" s="226"/>
      <c r="W239" s="226"/>
      <c r="X239" s="226"/>
      <c r="Y239" s="226"/>
      <c r="Z239" s="226"/>
      <c r="AA239" s="226"/>
      <c r="AB239" s="226"/>
      <c r="AC239" s="226"/>
      <c r="AD239" s="226"/>
      <c r="AE239" s="226"/>
      <c r="AF239" s="226"/>
      <c r="AG239" s="226"/>
      <c r="AH239" s="226"/>
      <c r="AI239" s="226"/>
      <c r="AJ239" s="226"/>
    </row>
    <row r="240" spans="1:36" s="13" customFormat="1">
      <c r="A240" s="11" t="s">
        <v>293</v>
      </c>
      <c r="B240" s="227"/>
      <c r="C240" s="226"/>
      <c r="D240" s="226"/>
      <c r="E240" s="226"/>
      <c r="F240" s="226"/>
      <c r="G240" s="226"/>
      <c r="H240" s="226"/>
      <c r="I240" s="226"/>
      <c r="J240" s="226" t="s">
        <v>249</v>
      </c>
      <c r="K240" s="226"/>
      <c r="L240" s="226"/>
      <c r="M240" s="226"/>
      <c r="N240" s="226"/>
      <c r="O240" s="226"/>
      <c r="P240" s="226"/>
      <c r="Q240" s="226"/>
      <c r="R240" s="226"/>
      <c r="S240" s="226"/>
      <c r="T240" s="226"/>
      <c r="U240" s="226"/>
      <c r="V240" s="226"/>
      <c r="W240" s="226"/>
      <c r="X240" s="226"/>
      <c r="Y240" s="226"/>
      <c r="Z240" s="226"/>
      <c r="AA240" s="226"/>
      <c r="AB240" s="226"/>
      <c r="AC240" s="226"/>
      <c r="AD240" s="226"/>
      <c r="AE240" s="226"/>
      <c r="AF240" s="226"/>
      <c r="AG240" s="226"/>
      <c r="AH240" s="226"/>
      <c r="AI240" s="226"/>
      <c r="AJ240" s="226"/>
    </row>
    <row r="241" spans="1:36" s="13" customFormat="1">
      <c r="A241" s="11" t="s">
        <v>293</v>
      </c>
      <c r="B241" s="227"/>
      <c r="C241" s="226"/>
      <c r="D241" s="226"/>
      <c r="E241" s="226"/>
      <c r="F241" s="226"/>
      <c r="G241" s="226"/>
      <c r="H241" s="226"/>
      <c r="I241" s="226"/>
      <c r="J241" s="226" t="s">
        <v>248</v>
      </c>
      <c r="K241" s="226"/>
      <c r="L241" s="226"/>
      <c r="M241" s="226"/>
      <c r="N241" s="226"/>
      <c r="O241" s="226"/>
      <c r="P241" s="226"/>
      <c r="Q241" s="226"/>
      <c r="R241" s="226"/>
      <c r="S241" s="226"/>
      <c r="T241" s="226"/>
      <c r="U241" s="226"/>
      <c r="V241" s="226"/>
      <c r="W241" s="226"/>
      <c r="X241" s="226"/>
      <c r="Y241" s="226"/>
      <c r="Z241" s="226"/>
      <c r="AA241" s="226"/>
      <c r="AB241" s="226"/>
      <c r="AC241" s="226"/>
      <c r="AD241" s="226"/>
      <c r="AE241" s="226"/>
      <c r="AF241" s="226"/>
      <c r="AG241" s="226"/>
      <c r="AH241" s="226"/>
      <c r="AI241" s="226"/>
      <c r="AJ241" s="226"/>
    </row>
    <row r="242" spans="1:36" s="13" customFormat="1">
      <c r="A242" s="11" t="s">
        <v>293</v>
      </c>
      <c r="B242" s="227"/>
      <c r="C242" s="226"/>
      <c r="D242" s="226"/>
      <c r="E242" s="226"/>
      <c r="F242" s="226"/>
      <c r="G242" s="226"/>
      <c r="H242" s="226"/>
      <c r="I242" s="226"/>
      <c r="J242" s="226" t="s">
        <v>253</v>
      </c>
      <c r="K242" s="226"/>
      <c r="L242" s="226"/>
      <c r="M242" s="226"/>
      <c r="N242" s="226"/>
      <c r="O242" s="226"/>
      <c r="P242" s="226"/>
      <c r="Q242" s="226"/>
      <c r="R242" s="226"/>
      <c r="S242" s="226"/>
      <c r="T242" s="226"/>
      <c r="U242" s="226"/>
      <c r="V242" s="226"/>
      <c r="W242" s="226"/>
      <c r="X242" s="226"/>
      <c r="Y242" s="226"/>
      <c r="Z242" s="226"/>
      <c r="AA242" s="226"/>
      <c r="AB242" s="226"/>
      <c r="AC242" s="226"/>
      <c r="AD242" s="226"/>
      <c r="AE242" s="226"/>
      <c r="AF242" s="226"/>
      <c r="AG242" s="226"/>
      <c r="AH242" s="226"/>
      <c r="AI242" s="226"/>
      <c r="AJ242" s="226"/>
    </row>
    <row r="243" spans="1:36" s="13" customFormat="1">
      <c r="A243" s="11" t="s">
        <v>293</v>
      </c>
      <c r="B243" s="227"/>
      <c r="C243" s="226"/>
      <c r="D243" s="226"/>
      <c r="E243" s="226"/>
      <c r="F243" s="226"/>
      <c r="G243" s="226"/>
      <c r="H243" s="226"/>
      <c r="I243" s="226"/>
      <c r="J243" s="226" t="s">
        <v>252</v>
      </c>
      <c r="K243" s="226"/>
      <c r="L243" s="226"/>
      <c r="M243" s="226"/>
      <c r="N243" s="226"/>
      <c r="O243" s="226"/>
      <c r="P243" s="226"/>
      <c r="Q243" s="226"/>
      <c r="R243" s="226"/>
      <c r="S243" s="226"/>
      <c r="T243" s="226"/>
      <c r="U243" s="226"/>
      <c r="V243" s="226"/>
      <c r="W243" s="226"/>
      <c r="X243" s="226"/>
      <c r="Y243" s="226"/>
      <c r="Z243" s="226"/>
      <c r="AA243" s="226"/>
      <c r="AB243" s="226"/>
      <c r="AC243" s="226"/>
      <c r="AD243" s="226"/>
      <c r="AE243" s="226"/>
      <c r="AF243" s="226"/>
      <c r="AG243" s="226"/>
      <c r="AH243" s="226"/>
      <c r="AI243" s="226"/>
      <c r="AJ243" s="226"/>
    </row>
    <row r="244" spans="1:36" s="13" customFormat="1">
      <c r="A244" s="11" t="s">
        <v>293</v>
      </c>
      <c r="B244" s="227"/>
      <c r="C244" s="226"/>
      <c r="D244" s="226"/>
      <c r="E244" s="226"/>
      <c r="F244" s="226"/>
      <c r="G244" s="226"/>
      <c r="H244" s="226"/>
      <c r="I244" s="226"/>
      <c r="J244" s="226" t="s">
        <v>254</v>
      </c>
      <c r="K244" s="226"/>
      <c r="L244" s="226"/>
      <c r="M244" s="226"/>
      <c r="N244" s="226"/>
      <c r="O244" s="226"/>
      <c r="P244" s="226"/>
      <c r="Q244" s="226"/>
      <c r="R244" s="226"/>
      <c r="S244" s="226"/>
      <c r="T244" s="226"/>
      <c r="U244" s="226"/>
      <c r="V244" s="226"/>
      <c r="W244" s="226"/>
      <c r="X244" s="226"/>
      <c r="Y244" s="226"/>
      <c r="Z244" s="226"/>
      <c r="AA244" s="226"/>
      <c r="AB244" s="226"/>
      <c r="AC244" s="226"/>
      <c r="AD244" s="226"/>
      <c r="AE244" s="226"/>
      <c r="AF244" s="226"/>
      <c r="AG244" s="226"/>
      <c r="AH244" s="226"/>
      <c r="AI244" s="226"/>
      <c r="AJ244" s="226"/>
    </row>
    <row r="245" spans="1:36" s="13" customFormat="1">
      <c r="A245" s="11" t="s">
        <v>293</v>
      </c>
      <c r="B245" s="227"/>
      <c r="C245" s="226"/>
      <c r="D245" s="226"/>
      <c r="E245" s="226"/>
      <c r="F245" s="226"/>
      <c r="G245" s="226"/>
      <c r="H245" s="226"/>
      <c r="I245" s="226"/>
      <c r="J245" s="226" t="s">
        <v>255</v>
      </c>
      <c r="K245" s="226"/>
      <c r="L245" s="226"/>
      <c r="M245" s="226"/>
      <c r="N245" s="226"/>
      <c r="O245" s="226"/>
      <c r="P245" s="226"/>
      <c r="Q245" s="226"/>
      <c r="R245" s="226"/>
      <c r="S245" s="226"/>
      <c r="T245" s="226"/>
      <c r="U245" s="226"/>
      <c r="V245" s="226"/>
      <c r="W245" s="226"/>
      <c r="X245" s="226"/>
      <c r="Y245" s="226"/>
      <c r="Z245" s="226"/>
      <c r="AA245" s="226"/>
      <c r="AB245" s="226"/>
      <c r="AC245" s="226"/>
      <c r="AD245" s="226"/>
      <c r="AE245" s="226"/>
      <c r="AF245" s="226"/>
      <c r="AG245" s="226"/>
      <c r="AH245" s="226"/>
      <c r="AI245" s="226"/>
      <c r="AJ245" s="226"/>
    </row>
    <row r="246" spans="1:36" s="13" customFormat="1">
      <c r="A246" s="11" t="s">
        <v>293</v>
      </c>
      <c r="B246" s="227"/>
      <c r="C246" s="226"/>
      <c r="D246" s="226"/>
      <c r="E246" s="226"/>
      <c r="F246" s="226"/>
      <c r="G246" s="226"/>
      <c r="H246" s="226"/>
      <c r="I246" s="226"/>
      <c r="J246" s="226" t="s">
        <v>129</v>
      </c>
      <c r="K246" s="226"/>
      <c r="L246" s="226"/>
      <c r="M246" s="226"/>
      <c r="N246" s="226"/>
      <c r="O246" s="226"/>
      <c r="P246" s="226"/>
      <c r="Q246" s="226"/>
      <c r="R246" s="226"/>
      <c r="S246" s="226"/>
      <c r="T246" s="226"/>
      <c r="U246" s="226"/>
      <c r="V246" s="226"/>
      <c r="W246" s="226"/>
      <c r="X246" s="226"/>
      <c r="Y246" s="226"/>
      <c r="Z246" s="226"/>
      <c r="AA246" s="226"/>
      <c r="AB246" s="226"/>
      <c r="AC246" s="226"/>
      <c r="AD246" s="226"/>
      <c r="AE246" s="226"/>
      <c r="AF246" s="226"/>
      <c r="AG246" s="226"/>
      <c r="AH246" s="226"/>
      <c r="AI246" s="226"/>
      <c r="AJ246" s="226"/>
    </row>
    <row r="247" spans="1:36" s="13" customFormat="1">
      <c r="A247" s="11" t="s">
        <v>293</v>
      </c>
      <c r="B247" s="227"/>
      <c r="C247" s="226"/>
      <c r="D247" s="226"/>
      <c r="E247" s="226"/>
      <c r="F247" s="226"/>
      <c r="G247" s="226"/>
      <c r="H247" s="226"/>
      <c r="I247" s="226"/>
      <c r="J247" s="226" t="s">
        <v>213</v>
      </c>
      <c r="K247" s="226"/>
      <c r="L247" s="226"/>
      <c r="M247" s="226"/>
      <c r="N247" s="226"/>
      <c r="O247" s="226"/>
      <c r="P247" s="226"/>
      <c r="Q247" s="226"/>
      <c r="R247" s="226"/>
      <c r="S247" s="226"/>
      <c r="T247" s="226"/>
      <c r="U247" s="226"/>
      <c r="V247" s="226"/>
      <c r="W247" s="226"/>
      <c r="X247" s="226"/>
      <c r="Y247" s="226"/>
      <c r="Z247" s="226"/>
      <c r="AA247" s="226"/>
      <c r="AB247" s="226"/>
      <c r="AC247" s="226"/>
      <c r="AD247" s="226"/>
      <c r="AE247" s="226"/>
      <c r="AF247" s="226"/>
      <c r="AG247" s="226"/>
      <c r="AH247" s="226"/>
      <c r="AI247" s="226"/>
      <c r="AJ247" s="226"/>
    </row>
    <row r="248" spans="1:36" s="13" customFormat="1">
      <c r="A248" s="11" t="s">
        <v>293</v>
      </c>
      <c r="B248" s="227"/>
      <c r="C248" s="226"/>
      <c r="D248" s="226"/>
      <c r="E248" s="226"/>
      <c r="F248" s="226"/>
      <c r="G248" s="226"/>
      <c r="H248" s="226"/>
      <c r="I248" s="226"/>
      <c r="J248" s="226" t="s">
        <v>257</v>
      </c>
      <c r="K248" s="226"/>
      <c r="L248" s="226"/>
      <c r="M248" s="226"/>
      <c r="N248" s="226"/>
      <c r="O248" s="226"/>
      <c r="P248" s="226"/>
      <c r="Q248" s="226"/>
      <c r="R248" s="226"/>
      <c r="S248" s="226"/>
      <c r="T248" s="226"/>
      <c r="U248" s="226"/>
      <c r="V248" s="226"/>
      <c r="W248" s="226"/>
      <c r="X248" s="226"/>
      <c r="Y248" s="226"/>
      <c r="Z248" s="226"/>
      <c r="AA248" s="226"/>
      <c r="AB248" s="226"/>
      <c r="AC248" s="226"/>
      <c r="AD248" s="226"/>
      <c r="AE248" s="226"/>
      <c r="AF248" s="226"/>
      <c r="AG248" s="226"/>
      <c r="AH248" s="226"/>
      <c r="AI248" s="226"/>
      <c r="AJ248" s="226"/>
    </row>
    <row r="249" spans="1:36" s="13" customFormat="1">
      <c r="A249" s="11" t="s">
        <v>293</v>
      </c>
      <c r="B249" s="227"/>
      <c r="C249" s="226"/>
      <c r="D249" s="226"/>
      <c r="E249" s="226"/>
      <c r="F249" s="226"/>
      <c r="G249" s="226"/>
      <c r="H249" s="226"/>
      <c r="I249" s="226"/>
      <c r="J249" s="226" t="s">
        <v>259</v>
      </c>
      <c r="K249" s="226"/>
      <c r="L249" s="226"/>
      <c r="M249" s="226"/>
      <c r="N249" s="226"/>
      <c r="O249" s="226"/>
      <c r="P249" s="226"/>
      <c r="Q249" s="226"/>
      <c r="R249" s="226"/>
      <c r="S249" s="226"/>
      <c r="T249" s="226"/>
      <c r="U249" s="226"/>
      <c r="V249" s="226"/>
      <c r="W249" s="226"/>
      <c r="X249" s="226"/>
      <c r="Y249" s="226"/>
      <c r="Z249" s="226"/>
      <c r="AA249" s="226"/>
      <c r="AB249" s="226"/>
      <c r="AC249" s="226"/>
      <c r="AD249" s="226"/>
      <c r="AE249" s="226"/>
      <c r="AF249" s="226"/>
      <c r="AG249" s="226"/>
      <c r="AH249" s="226"/>
      <c r="AI249" s="226"/>
      <c r="AJ249" s="226"/>
    </row>
    <row r="250" spans="1:36" s="13" customFormat="1">
      <c r="A250" s="11" t="s">
        <v>293</v>
      </c>
      <c r="B250" s="227"/>
      <c r="C250" s="226"/>
      <c r="D250" s="226"/>
      <c r="E250" s="226"/>
      <c r="F250" s="226"/>
      <c r="G250" s="226"/>
      <c r="H250" s="226"/>
      <c r="I250" s="226"/>
      <c r="J250" s="226" t="s">
        <v>260</v>
      </c>
      <c r="K250" s="226"/>
      <c r="L250" s="226"/>
      <c r="M250" s="226"/>
      <c r="N250" s="226"/>
      <c r="O250" s="226"/>
      <c r="P250" s="226"/>
      <c r="Q250" s="226"/>
      <c r="R250" s="226"/>
      <c r="S250" s="226"/>
      <c r="T250" s="226"/>
      <c r="U250" s="226"/>
      <c r="V250" s="226"/>
      <c r="W250" s="226"/>
      <c r="X250" s="226"/>
      <c r="Y250" s="226"/>
      <c r="Z250" s="226"/>
      <c r="AA250" s="226"/>
      <c r="AB250" s="226"/>
      <c r="AC250" s="226"/>
      <c r="AD250" s="226"/>
      <c r="AE250" s="226"/>
      <c r="AF250" s="226"/>
      <c r="AG250" s="226"/>
      <c r="AH250" s="226"/>
      <c r="AI250" s="226"/>
      <c r="AJ250" s="226"/>
    </row>
    <row r="251" spans="1:36" s="13" customFormat="1">
      <c r="A251" s="11" t="s">
        <v>293</v>
      </c>
      <c r="B251" s="227"/>
      <c r="C251" s="226"/>
      <c r="D251" s="226"/>
      <c r="E251" s="226"/>
      <c r="F251" s="226"/>
      <c r="G251" s="226"/>
      <c r="H251" s="226"/>
      <c r="I251" s="226"/>
      <c r="J251" s="226" t="s">
        <v>258</v>
      </c>
      <c r="K251" s="226"/>
      <c r="L251" s="226"/>
      <c r="M251" s="226"/>
      <c r="N251" s="226"/>
      <c r="O251" s="226"/>
      <c r="P251" s="226"/>
      <c r="Q251" s="226"/>
      <c r="R251" s="226"/>
      <c r="S251" s="226"/>
      <c r="T251" s="226"/>
      <c r="U251" s="226"/>
      <c r="V251" s="226"/>
      <c r="W251" s="226"/>
      <c r="X251" s="226"/>
      <c r="Y251" s="226"/>
      <c r="Z251" s="226"/>
      <c r="AA251" s="226"/>
      <c r="AB251" s="226"/>
      <c r="AC251" s="226"/>
      <c r="AD251" s="226"/>
      <c r="AE251" s="226"/>
      <c r="AF251" s="226"/>
      <c r="AG251" s="226"/>
      <c r="AH251" s="226"/>
      <c r="AI251" s="226"/>
      <c r="AJ251" s="226"/>
    </row>
    <row r="252" spans="1:36" s="13" customFormat="1">
      <c r="A252" s="11" t="s">
        <v>293</v>
      </c>
      <c r="B252" s="227"/>
      <c r="C252" s="226"/>
      <c r="D252" s="226"/>
      <c r="E252" s="226"/>
      <c r="F252" s="226"/>
      <c r="G252" s="226"/>
      <c r="H252" s="226"/>
      <c r="I252" s="226"/>
      <c r="J252" s="226" t="s">
        <v>256</v>
      </c>
      <c r="K252" s="226"/>
      <c r="L252" s="226"/>
      <c r="M252" s="226"/>
      <c r="N252" s="226"/>
      <c r="O252" s="226"/>
      <c r="P252" s="226"/>
      <c r="Q252" s="226"/>
      <c r="R252" s="226"/>
      <c r="S252" s="226"/>
      <c r="T252" s="226"/>
      <c r="U252" s="226"/>
      <c r="V252" s="226"/>
      <c r="W252" s="226"/>
      <c r="X252" s="226"/>
      <c r="Y252" s="226"/>
      <c r="Z252" s="226"/>
      <c r="AA252" s="226"/>
      <c r="AB252" s="226"/>
      <c r="AC252" s="226"/>
      <c r="AD252" s="226"/>
      <c r="AE252" s="226"/>
      <c r="AF252" s="226"/>
      <c r="AG252" s="226"/>
      <c r="AH252" s="226"/>
      <c r="AI252" s="226"/>
      <c r="AJ252" s="226"/>
    </row>
    <row r="253" spans="1:36" s="13" customFormat="1">
      <c r="A253" s="11" t="s">
        <v>293</v>
      </c>
      <c r="B253" s="227"/>
      <c r="C253" s="226"/>
      <c r="D253" s="226"/>
      <c r="E253" s="226"/>
      <c r="F253" s="226"/>
      <c r="G253" s="226"/>
      <c r="H253" s="226"/>
      <c r="I253" s="226"/>
      <c r="J253" s="226" t="s">
        <v>261</v>
      </c>
      <c r="K253" s="226"/>
      <c r="L253" s="226"/>
      <c r="M253" s="226"/>
      <c r="N253" s="226"/>
      <c r="O253" s="226"/>
      <c r="P253" s="226"/>
      <c r="Q253" s="226"/>
      <c r="R253" s="226"/>
      <c r="S253" s="226"/>
      <c r="T253" s="226"/>
      <c r="U253" s="226"/>
      <c r="V253" s="226"/>
      <c r="W253" s="226"/>
      <c r="X253" s="226"/>
      <c r="Y253" s="226"/>
      <c r="Z253" s="226"/>
      <c r="AA253" s="226"/>
      <c r="AB253" s="226"/>
      <c r="AC253" s="226"/>
      <c r="AD253" s="226"/>
      <c r="AE253" s="226"/>
      <c r="AF253" s="226"/>
      <c r="AG253" s="226"/>
      <c r="AH253" s="226"/>
      <c r="AI253" s="226"/>
      <c r="AJ253" s="226"/>
    </row>
    <row r="254" spans="1:36" s="13" customFormat="1">
      <c r="A254" s="11" t="s">
        <v>293</v>
      </c>
      <c r="B254" s="227"/>
      <c r="C254" s="226"/>
      <c r="D254" s="226"/>
      <c r="E254" s="226"/>
      <c r="F254" s="226"/>
      <c r="G254" s="226"/>
      <c r="H254" s="226"/>
      <c r="I254" s="226"/>
      <c r="J254" s="226" t="s">
        <v>214</v>
      </c>
      <c r="K254" s="226"/>
      <c r="L254" s="226"/>
      <c r="M254" s="226"/>
      <c r="N254" s="226"/>
      <c r="O254" s="226"/>
      <c r="P254" s="226"/>
      <c r="Q254" s="226"/>
      <c r="R254" s="226"/>
      <c r="S254" s="226"/>
      <c r="T254" s="226"/>
      <c r="U254" s="226"/>
      <c r="V254" s="226"/>
      <c r="W254" s="226"/>
      <c r="X254" s="226"/>
      <c r="Y254" s="226"/>
      <c r="Z254" s="226"/>
      <c r="AA254" s="226"/>
      <c r="AB254" s="226"/>
      <c r="AC254" s="226"/>
      <c r="AD254" s="226"/>
      <c r="AE254" s="226"/>
      <c r="AF254" s="226"/>
      <c r="AG254" s="226"/>
      <c r="AH254" s="226"/>
      <c r="AI254" s="226"/>
      <c r="AJ254" s="226"/>
    </row>
    <row r="255" spans="1:36" s="13" customFormat="1">
      <c r="A255" s="11" t="s">
        <v>293</v>
      </c>
      <c r="B255" s="227"/>
      <c r="C255" s="226"/>
      <c r="D255" s="226"/>
      <c r="E255" s="226"/>
      <c r="F255" s="226"/>
      <c r="G255" s="226"/>
      <c r="H255" s="226"/>
      <c r="I255" s="226"/>
      <c r="J255" s="226" t="s">
        <v>263</v>
      </c>
      <c r="K255" s="226"/>
      <c r="L255" s="226"/>
      <c r="M255" s="226"/>
      <c r="N255" s="226"/>
      <c r="O255" s="226"/>
      <c r="P255" s="226"/>
      <c r="Q255" s="226"/>
      <c r="R255" s="226"/>
      <c r="S255" s="226"/>
      <c r="T255" s="226"/>
      <c r="U255" s="226"/>
      <c r="V255" s="226"/>
      <c r="W255" s="226"/>
      <c r="X255" s="226"/>
      <c r="Y255" s="226"/>
      <c r="Z255" s="226"/>
      <c r="AA255" s="226"/>
      <c r="AB255" s="226"/>
      <c r="AC255" s="226"/>
      <c r="AD255" s="226"/>
      <c r="AE255" s="226"/>
      <c r="AF255" s="226"/>
      <c r="AG255" s="226"/>
      <c r="AH255" s="226"/>
      <c r="AI255" s="226"/>
      <c r="AJ255" s="226"/>
    </row>
    <row r="256" spans="1:36" s="13" customFormat="1" ht="11" thickBot="1">
      <c r="A256" s="11" t="s">
        <v>293</v>
      </c>
      <c r="B256" s="229"/>
      <c r="C256" s="226"/>
      <c r="D256" s="226"/>
      <c r="E256" s="226"/>
      <c r="F256" s="226"/>
      <c r="G256" s="226"/>
      <c r="H256" s="226"/>
      <c r="I256" s="226"/>
      <c r="J256" s="226" t="s">
        <v>167</v>
      </c>
      <c r="K256" s="226"/>
      <c r="L256" s="226"/>
      <c r="M256" s="226"/>
      <c r="N256" s="226"/>
      <c r="O256" s="226"/>
      <c r="P256" s="226"/>
      <c r="Q256" s="226"/>
      <c r="R256" s="226"/>
      <c r="S256" s="226"/>
      <c r="T256" s="226"/>
      <c r="U256" s="226"/>
      <c r="V256" s="226"/>
      <c r="W256" s="226"/>
      <c r="X256" s="226"/>
      <c r="Y256" s="226"/>
      <c r="Z256" s="226"/>
      <c r="AA256" s="226"/>
      <c r="AB256" s="226"/>
      <c r="AC256" s="226"/>
      <c r="AD256" s="226"/>
      <c r="AE256" s="226"/>
      <c r="AF256" s="226"/>
      <c r="AG256" s="226"/>
      <c r="AH256" s="226"/>
      <c r="AI256" s="226"/>
      <c r="AJ256" s="226"/>
    </row>
    <row r="257" spans="1:36" s="13" customFormat="1">
      <c r="A257" s="11" t="s">
        <v>293</v>
      </c>
      <c r="B257" s="11"/>
      <c r="C257" s="226"/>
      <c r="D257" s="226"/>
      <c r="E257" s="226"/>
      <c r="F257" s="226"/>
      <c r="G257" s="226"/>
      <c r="H257" s="226"/>
      <c r="I257" s="226"/>
      <c r="J257" s="226" t="s">
        <v>225</v>
      </c>
      <c r="K257" s="226"/>
      <c r="L257" s="226"/>
      <c r="M257" s="226"/>
      <c r="N257" s="226"/>
      <c r="O257" s="226"/>
      <c r="P257" s="226"/>
      <c r="Q257" s="226"/>
      <c r="R257" s="226"/>
      <c r="S257" s="226"/>
      <c r="T257" s="226"/>
      <c r="U257" s="226"/>
      <c r="V257" s="226"/>
      <c r="W257" s="226"/>
      <c r="X257" s="226"/>
      <c r="Y257" s="226"/>
      <c r="Z257" s="226"/>
      <c r="AA257" s="226"/>
      <c r="AB257" s="226"/>
      <c r="AC257" s="226"/>
      <c r="AD257" s="226"/>
      <c r="AE257" s="226"/>
      <c r="AF257" s="226"/>
      <c r="AG257" s="226"/>
      <c r="AH257" s="226"/>
      <c r="AI257" s="226"/>
      <c r="AJ257" s="226"/>
    </row>
    <row r="258" spans="1:36" s="13" customFormat="1" ht="11" thickBot="1">
      <c r="A258" s="11" t="s">
        <v>293</v>
      </c>
      <c r="B258" s="11"/>
      <c r="C258" s="226"/>
      <c r="D258" s="230"/>
      <c r="E258" s="230"/>
      <c r="F258" s="230"/>
      <c r="G258" s="230"/>
      <c r="H258" s="230"/>
      <c r="I258" s="230"/>
      <c r="J258" s="226" t="s">
        <v>264</v>
      </c>
      <c r="K258" s="230"/>
      <c r="L258" s="230"/>
      <c r="M258" s="230"/>
      <c r="N258" s="226"/>
      <c r="O258" s="226"/>
      <c r="P258" s="226"/>
      <c r="Q258" s="226"/>
      <c r="R258" s="226"/>
      <c r="S258" s="226"/>
      <c r="T258" s="226"/>
      <c r="U258" s="226"/>
      <c r="V258" s="226"/>
      <c r="W258" s="226"/>
      <c r="X258" s="226"/>
      <c r="Y258" s="226"/>
      <c r="Z258" s="226"/>
      <c r="AA258" s="226"/>
      <c r="AB258" s="226"/>
      <c r="AC258" s="226"/>
      <c r="AD258" s="226"/>
      <c r="AE258" s="226"/>
      <c r="AF258" s="226"/>
      <c r="AG258" s="226"/>
      <c r="AH258" s="226"/>
      <c r="AI258" s="226"/>
      <c r="AJ258" s="226"/>
    </row>
    <row r="259" spans="1:36" ht="11" thickBot="1">
      <c r="B259" s="3"/>
      <c r="C259" s="226"/>
      <c r="D259" s="231"/>
      <c r="E259" s="231"/>
      <c r="F259" s="231"/>
      <c r="G259" s="231"/>
      <c r="H259" s="231"/>
      <c r="I259" s="231"/>
      <c r="J259" s="230" t="s">
        <v>265</v>
      </c>
      <c r="K259" s="231"/>
      <c r="L259" s="231"/>
      <c r="M259" s="231"/>
      <c r="N259" s="231"/>
      <c r="O259" s="231"/>
      <c r="P259" s="231"/>
      <c r="Q259" s="231"/>
      <c r="R259" s="226"/>
      <c r="S259" s="231"/>
      <c r="T259" s="231"/>
      <c r="U259" s="226"/>
      <c r="V259" s="226"/>
      <c r="W259" s="231"/>
      <c r="X259" s="231"/>
      <c r="Y259" s="231"/>
      <c r="Z259" s="231"/>
      <c r="AA259" s="231"/>
      <c r="AB259" s="231"/>
      <c r="AC259" s="231"/>
      <c r="AD259" s="231"/>
      <c r="AE259" s="231"/>
      <c r="AF259" s="231"/>
      <c r="AG259" s="231"/>
      <c r="AH259" s="231"/>
      <c r="AI259" s="231"/>
      <c r="AJ259" s="231"/>
    </row>
    <row r="260" spans="1:36" ht="11" thickBot="1">
      <c r="C260" s="14"/>
      <c r="D260" s="2"/>
      <c r="E260" s="2"/>
      <c r="F260" s="2"/>
      <c r="G260" s="2"/>
      <c r="H260" s="2"/>
      <c r="I260" s="2"/>
      <c r="R260" s="12"/>
      <c r="U260" s="12"/>
      <c r="V260" s="12"/>
    </row>
    <row r="261" spans="1:36">
      <c r="C261" s="2"/>
      <c r="D261" s="2"/>
      <c r="E261" s="2"/>
      <c r="F261" s="2"/>
      <c r="G261" s="2"/>
      <c r="H261" s="2"/>
      <c r="I261" s="2"/>
      <c r="R261" s="12"/>
    </row>
    <row r="262" spans="1:36">
      <c r="C262" s="2"/>
      <c r="D262" s="2"/>
      <c r="E262" s="2"/>
      <c r="F262" s="2"/>
      <c r="G262" s="2"/>
      <c r="H262" s="2"/>
      <c r="I262" s="2"/>
    </row>
    <row r="263" spans="1:36">
      <c r="C263" s="2"/>
      <c r="D263" s="2"/>
      <c r="E263" s="2"/>
      <c r="F263" s="2"/>
      <c r="G263" s="2"/>
      <c r="H263" s="2"/>
      <c r="I263" s="2"/>
    </row>
    <row r="264" spans="1:36">
      <c r="C264" s="2"/>
      <c r="D264" s="2"/>
      <c r="E264" s="2"/>
      <c r="F264" s="2"/>
      <c r="G264" s="2"/>
      <c r="H264" s="2"/>
      <c r="I264" s="2"/>
    </row>
    <row r="265" spans="1:36">
      <c r="C265" s="2"/>
      <c r="D265" s="2"/>
      <c r="E265" s="2"/>
      <c r="F265" s="2"/>
      <c r="G265" s="2"/>
      <c r="H265" s="2"/>
      <c r="I265" s="2"/>
    </row>
    <row r="266" spans="1:36">
      <c r="C266" s="2"/>
      <c r="D266" s="2"/>
      <c r="E266" s="2"/>
      <c r="F266" s="2"/>
      <c r="G266" s="2"/>
      <c r="H266" s="2"/>
      <c r="I266" s="2"/>
    </row>
    <row r="267" spans="1:36">
      <c r="C267" s="2"/>
      <c r="D267" s="2"/>
      <c r="E267" s="2"/>
      <c r="F267" s="2"/>
      <c r="G267" s="2"/>
      <c r="H267" s="2"/>
      <c r="I267" s="2"/>
    </row>
    <row r="268" spans="1:36">
      <c r="C268" s="2"/>
      <c r="D268" s="2"/>
      <c r="E268" s="2"/>
      <c r="F268" s="2"/>
      <c r="G268" s="2"/>
      <c r="H268" s="2"/>
      <c r="I268" s="2"/>
    </row>
    <row r="269" spans="1:36">
      <c r="C269" s="2"/>
      <c r="D269" s="2"/>
      <c r="E269" s="2"/>
      <c r="F269" s="2"/>
      <c r="G269" s="2"/>
      <c r="H269" s="2"/>
      <c r="I269" s="2"/>
    </row>
    <row r="270" spans="1:36">
      <c r="C270" s="2"/>
      <c r="D270" s="2"/>
      <c r="E270" s="2"/>
      <c r="F270" s="2"/>
      <c r="G270" s="2"/>
      <c r="H270" s="2"/>
      <c r="I270" s="2"/>
    </row>
    <row r="271" spans="1:36">
      <c r="C271" s="2"/>
    </row>
    <row r="272" spans="1:36">
      <c r="C272"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40</vt:i4>
      </vt:variant>
    </vt:vector>
  </HeadingPairs>
  <TitlesOfParts>
    <vt:vector size="46" baseType="lpstr">
      <vt:lpstr>Template</vt:lpstr>
      <vt:lpstr>#DOC InputRecords</vt:lpstr>
      <vt:lpstr>#DOC Reporting Obligation</vt:lpstr>
      <vt:lpstr>#DOC Reporting Code</vt:lpstr>
      <vt:lpstr>#DOC Annex II Tables</vt:lpstr>
      <vt:lpstr>#Validations</vt:lpstr>
      <vt:lpstr>AIF_external</vt:lpstr>
      <vt:lpstr>AIF_ID</vt:lpstr>
      <vt:lpstr>AllCountries</vt:lpstr>
      <vt:lpstr>AllCur</vt:lpstr>
      <vt:lpstr>Both10</vt:lpstr>
      <vt:lpstr>Both12</vt:lpstr>
      <vt:lpstr>Both4</vt:lpstr>
      <vt:lpstr>Both8</vt:lpstr>
      <vt:lpstr>Both9</vt:lpstr>
      <vt:lpstr>'#DOC Reporting Code'!Druckbereich</vt:lpstr>
      <vt:lpstr>'#Validations'!Druckbereich</vt:lpstr>
      <vt:lpstr>Template!Druckbereich</vt:lpstr>
      <vt:lpstr>'#DOC Reporting Code'!Drucktitel</vt:lpstr>
      <vt:lpstr>'#Validations'!Drucktitel</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Fund71</vt:lpstr>
      <vt:lpstr>Fund72</vt:lpstr>
      <vt:lpstr>Fund75</vt:lpstr>
      <vt:lpstr>Fund78</vt:lpstr>
      <vt:lpstr>Manager11</vt:lpstr>
      <vt:lpstr>Manager16</vt:lpstr>
      <vt:lpstr>Manager5</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Matterhorn Reporting Services</dc:creator>
  <cp:lastModifiedBy>Sascha Nickl</cp:lastModifiedBy>
  <cp:lastPrinted>2020-11-11T11:13:44Z</cp:lastPrinted>
  <dcterms:created xsi:type="dcterms:W3CDTF">2019-11-10T10:34:53Z</dcterms:created>
  <dcterms:modified xsi:type="dcterms:W3CDTF">2025-03-03T17:28:51Z</dcterms:modified>
</cp:coreProperties>
</file>