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3340" yWindow="3340" windowWidth="21600" windowHeight="12670" tabRatio="886" firstSheet="0" activeTab="0" autoFilterDateGrouping="1"/>
  </bookViews>
  <sheets>
    <sheet xmlns:r="http://schemas.openxmlformats.org/officeDocument/2006/relationships" name="#Overview" sheetId="1" state="visible" r:id="rId1"/>
    <sheet xmlns:r="http://schemas.openxmlformats.org/officeDocument/2006/relationships" name="AIFM Granite Peak Capital" sheetId="2" state="visible" r:id="rId2"/>
    <sheet xmlns:r="http://schemas.openxmlformats.org/officeDocument/2006/relationships" name="Hudson III Parallel" sheetId="3" state="visible" r:id="rId3"/>
    <sheet xmlns:r="http://schemas.openxmlformats.org/officeDocument/2006/relationships" name="Hud IV Parallel" sheetId="4" state="visible" r:id="rId4"/>
    <sheet xmlns:r="http://schemas.openxmlformats.org/officeDocument/2006/relationships" name="Hud IV Parallel Feeder" sheetId="5" state="visible" r:id="rId5"/>
    <sheet xmlns:r="http://schemas.openxmlformats.org/officeDocument/2006/relationships" name="Hud V Parallel" sheetId="6" state="visible" r:id="rId6"/>
    <sheet xmlns:r="http://schemas.openxmlformats.org/officeDocument/2006/relationships" name="Hud VI Parallel" sheetId="7" state="visible" r:id="rId7"/>
    <sheet xmlns:r="http://schemas.openxmlformats.org/officeDocument/2006/relationships" name="Hud VI Parallel Feeder" sheetId="8" state="visible" r:id="rId8"/>
    <sheet xmlns:r="http://schemas.openxmlformats.org/officeDocument/2006/relationships" name="Stuy V Parallel" sheetId="9" state="visible" r:id="rId9"/>
    <sheet xmlns:r="http://schemas.openxmlformats.org/officeDocument/2006/relationships" name="Stuy V Parallel Feeder" sheetId="10" state="visible" r:id="rId10"/>
    <sheet xmlns:r="http://schemas.openxmlformats.org/officeDocument/2006/relationships" name="Stuy VI Parallel" sheetId="11" state="visible" r:id="rId11"/>
    <sheet xmlns:r="http://schemas.openxmlformats.org/officeDocument/2006/relationships" name="Stuy VI Parallel Feeder" sheetId="12" state="visible" r:id="rId12"/>
    <sheet xmlns:r="http://schemas.openxmlformats.org/officeDocument/2006/relationships" name="Stuy VII Parallel" sheetId="13" state="visible" r:id="rId13"/>
    <sheet xmlns:r="http://schemas.openxmlformats.org/officeDocument/2006/relationships" name="Stuy VIII Parallel" sheetId="14" state="visible" r:id="rId14"/>
    <sheet xmlns:r="http://schemas.openxmlformats.org/officeDocument/2006/relationships" name="Stuy VIII Lux Feeder" sheetId="15" state="visible" r:id="rId15"/>
    <sheet xmlns:r="http://schemas.openxmlformats.org/officeDocument/2006/relationships" name="#DOC Reporting Obligation" sheetId="16" state="visible" r:id="rId16"/>
    <sheet xmlns:r="http://schemas.openxmlformats.org/officeDocument/2006/relationships" name="#DOC Reporting Code" sheetId="17" state="visible" r:id="rId17"/>
    <sheet xmlns:r="http://schemas.openxmlformats.org/officeDocument/2006/relationships" name="#DOC Annex II Tables" sheetId="18" state="visible" r:id="rId18"/>
    <sheet xmlns:r="http://schemas.openxmlformats.org/officeDocument/2006/relationships" name="#Validations" sheetId="19" state="visible" r:id="rId19"/>
    <sheet xmlns:r="http://schemas.openxmlformats.org/officeDocument/2006/relationships" name="#DOC InputRecords" sheetId="20" state="visible" r:id="rId20"/>
  </sheets>
  <definedNames>
    <definedName name="AIF_external">'Hud V Parallel'!#REF!</definedName>
    <definedName name="AIF_ID">'Hud V Parallel'!#REF!</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 name="_xlnm.Print_Area" localSheetId="0">'#Overview'!$B$3:$X$63</definedName>
    <definedName name="AIF_external" localSheetId="1">'AIFM 747 Capital'!#REF!</definedName>
    <definedName name="AIF_ID" localSheetId="1">'AIFM 747 Capital'!#REF!</definedName>
    <definedName name="_xlnm.Print_Area" localSheetId="1">'AIFM Granite Peak Capital'!$A$1:$AL$22</definedName>
    <definedName name="AIF_external" localSheetId="2">'Hudson III Parallel'!#REF!</definedName>
    <definedName name="AIF_ID" localSheetId="2">'Hudson III Parallel'!#REF!</definedName>
    <definedName name="_xlnm.Print_Area" localSheetId="2">'Hudson III Parallel'!$A$1:$AL$53</definedName>
    <definedName name="AIF_external" localSheetId="3">'Hud IV Parallel'!#REF!</definedName>
    <definedName name="AIF_ID" localSheetId="3">'Hud IV Parallel'!#REF!</definedName>
    <definedName name="_xlnm.Print_Area" localSheetId="3">'Hud IV Parallel'!$A$1:$AL$54</definedName>
    <definedName name="AIF_external" localSheetId="4">'Hud IV Parallel Feeder'!#REF!</definedName>
    <definedName name="AIF_ID" localSheetId="4">'Hud IV Parallel Feeder'!#REF!</definedName>
    <definedName name="_xlnm.Print_Area" localSheetId="4">'Hud IV Parallel Feeder'!$A$1:$AL$29</definedName>
    <definedName name="_xlnm.Print_Area" localSheetId="5">'Hud V Parallel'!$A$1:$AL$55</definedName>
    <definedName name="AIF_external" localSheetId="6">'Hud VI Parallel'!#REF!</definedName>
    <definedName name="AIF_ID" localSheetId="6">'Hud VI Parallel'!#REF!</definedName>
    <definedName name="_xlnm.Print_Area" localSheetId="6">'Hud VI Parallel'!$A$1:$AL$84</definedName>
    <definedName name="AIF_external" localSheetId="7">'Hud VI Parallel Feeder'!#REF!</definedName>
    <definedName name="AIF_ID" localSheetId="7">'Hud VI Parallel Feeder'!#REF!</definedName>
    <definedName name="_xlnm.Print_Area" localSheetId="7">'Hud VI Parallel Feeder'!$A$1:$AL$29</definedName>
    <definedName name="AIF_external" localSheetId="8">'Stuy V Parallel'!#REF!</definedName>
    <definedName name="AIF_ID" localSheetId="8">'Stuy V Parallel'!#REF!</definedName>
    <definedName name="_xlnm._FilterDatabase" localSheetId="8" hidden="1">'Stuy V Parallel'!$A$3:$AO$29</definedName>
    <definedName name="_xlnm.Print_Area" localSheetId="8">'Stuy V Parallel'!$A$1:$AL$56</definedName>
    <definedName name="AIF_external" localSheetId="9">'Stuy V Parallel Feeder'!#REF!</definedName>
    <definedName name="AIF_ID" localSheetId="9">'Stuy V Parallel Feeder'!#REF!</definedName>
    <definedName name="_xlnm.Print_Area" localSheetId="9">'Stuy V Parallel Feeder'!$A$1:$J$28</definedName>
    <definedName name="AIF_external" localSheetId="10">'Stuy VI Parallel'!#REF!</definedName>
    <definedName name="AIF_ID" localSheetId="10">'Stuy VI Parallel'!#REF!</definedName>
    <definedName name="_xlnm._FilterDatabase" localSheetId="10" hidden="1">'Stuy VI Parallel'!$C$3:$C$36</definedName>
    <definedName name="_xlnm.Print_Area" localSheetId="10">'Stuy VI Parallel'!$A$1:$AL$64</definedName>
    <definedName name="AIF_external" localSheetId="11">'Stuy VI Parallel Feeder'!#REF!</definedName>
    <definedName name="AIF_ID" localSheetId="11">'Stuy VI Parallel Feeder'!#REF!</definedName>
    <definedName name="_xlnm.Print_Area" localSheetId="11">'Stuy VI Parallel Feeder'!$A$1:$AL$36</definedName>
    <definedName name="AIF_external" localSheetId="12">'Stuy VII Parallel'!#REF!</definedName>
    <definedName name="AIF_ID" localSheetId="12">'Stuy VII Parallel'!#REF!</definedName>
    <definedName name="_xlnm._FilterDatabase" localSheetId="12" hidden="1">'Stuy VII Parallel'!$C$3:$C$33</definedName>
    <definedName name="_xlnm.Print_Area" localSheetId="12">'Stuy VII Parallel'!$A$1:$AL$63</definedName>
    <definedName name="AIF_external" localSheetId="13">'Stuy VIII Parallel'!#REF!</definedName>
    <definedName name="AIF_ID" localSheetId="13">'Stuy VIII Parallel'!#REF!</definedName>
    <definedName name="_xlnm._FilterDatabase" localSheetId="13" hidden="1">'Stuy VIII Parallel'!$C$3:$C$7</definedName>
    <definedName name="_xlnm.Print_Area" localSheetId="13">'Stuy VIII Parallel'!$A$1:$AL$44</definedName>
    <definedName name="AIF_external" localSheetId="14">'Stuy VIII Lux Feeder'!#REF!</definedName>
    <definedName name="AIF_ID" localSheetId="14">'Stuy VIII Lux Feeder'!#REF!</definedName>
    <definedName name="_xlnm.Print_Area" localSheetId="14">'Stuy VIII Lux Feeder'!$A$1:$J$19</definedName>
    <definedName name="_xlnm._FilterDatabase" localSheetId="16" hidden="1">'#DOC Reporting Code'!$B$2:$P$51</definedName>
    <definedName name="_xlnm.Print_Titles" localSheetId="16">'#DOC Reporting Code'!$1:$2</definedName>
    <definedName name="_xlnm.Print_Area" localSheetId="16">'#DOC Reporting Code'!$E$1:$P$51</definedName>
    <definedName name="_xlnm._FilterDatabase" localSheetId="17" hidden="1">'#DOC Annex II Tables'!$B$1:$B$207</definedName>
    <definedName name="_xlnm.Print_Titles" localSheetId="18">'#Validations'!$1:$3</definedName>
    <definedName name="_xlnm.Print_Area" localSheetId="18">'#Validations'!$B$1:$AJ$201</definedName>
  </definedNames>
  <calcPr calcId="191029" fullCalcOnLoad="1"/>
</workbook>
</file>

<file path=xl/styles.xml><?xml version="1.0" encoding="utf-8"?>
<styleSheet xmlns="http://schemas.openxmlformats.org/spreadsheetml/2006/main">
  <numFmts count="5">
    <numFmt numFmtId="164" formatCode="yyyy/mm/dd;@"/>
    <numFmt numFmtId="165" formatCode="_ * #,##0.00_ ;_ * \-#,##0.00_ ;_ * &quot;-&quot;??_ ;_ @_ "/>
    <numFmt numFmtId="166" formatCode="_ * #,##0_ ;_ * \-#,##0_ ;_ * &quot;-&quot;??_ ;_ @_ "/>
    <numFmt numFmtId="167" formatCode="_ &quot;€&quot;\ * #,##0_ ;_ &quot;€&quot;\ * \-#,##0_ ;_ &quot;€&quot;\ * &quot;-&quot;??_ ;_ @_ "/>
    <numFmt numFmtId="168" formatCode="_ &quot;€&quot;\ * #,##0.00_ ;_ &quot;€&quot;\ * \-#,##0.00_ ;_ &quot;€&quot;\ * &quot;-&quot;??_ ;_ @_ "/>
  </numFmts>
  <fonts count="75">
    <font>
      <name val="Calibri"/>
      <family val="2"/>
      <color theme="1"/>
      <sz val="11"/>
      <scheme val="minor"/>
    </font>
    <font>
      <name val="Calibri"/>
      <family val="2"/>
      <color rgb="FF3F3F76"/>
      <sz val="11"/>
      <scheme val="minor"/>
    </font>
    <font>
      <name val="Calibri"/>
      <family val="2"/>
      <b val="1"/>
      <color theme="1"/>
      <sz val="8"/>
      <scheme val="minor"/>
    </font>
    <font>
      <name val="Calibri"/>
      <family val="2"/>
      <color theme="1"/>
      <sz val="8"/>
      <scheme val="minor"/>
    </font>
    <font>
      <name val="Arial"/>
      <family val="2"/>
      <color indexed="8"/>
      <sz val="10"/>
    </font>
    <font>
      <name val="Calibri"/>
      <family val="2"/>
      <color theme="0" tint="-0.499984740745262"/>
      <sz val="8"/>
      <scheme val="minor"/>
    </font>
    <font>
      <name val="Calibri"/>
      <family val="2"/>
      <color theme="0"/>
      <sz val="8"/>
      <scheme val="minor"/>
    </font>
    <font>
      <name val="Calibri"/>
      <family val="2"/>
      <b val="1"/>
      <color theme="0"/>
      <sz val="8"/>
      <scheme val="minor"/>
    </font>
    <font>
      <name val="Arial"/>
      <family val="2"/>
      <color theme="1"/>
      <sz val="10"/>
    </font>
    <font>
      <name val="Arial"/>
      <family val="2"/>
      <sz val="10"/>
    </font>
    <font>
      <name val="Calibri"/>
      <family val="2"/>
      <color theme="0"/>
      <sz val="14"/>
      <scheme val="minor"/>
    </font>
    <font>
      <name val="Calibri"/>
      <family val="2"/>
      <sz val="8"/>
      <scheme val="minor"/>
    </font>
    <font>
      <name val="Calibri"/>
      <family val="2"/>
      <b val="1"/>
      <sz val="8"/>
      <scheme val="minor"/>
    </font>
    <font>
      <name val="Calibri"/>
      <family val="2"/>
      <b val="1"/>
      <color rgb="FF0070C0"/>
      <sz val="8"/>
      <scheme val="minor"/>
    </font>
    <font>
      <name val="Calibri"/>
      <family val="2"/>
      <color rgb="FF3F3F76"/>
      <sz val="8"/>
      <scheme val="minor"/>
    </font>
    <font>
      <name val="Calibri"/>
      <family val="2"/>
      <b val="1"/>
      <color theme="8" tint="-0.249977111117893"/>
      <sz val="8"/>
      <scheme val="minor"/>
    </font>
    <font>
      <name val="Calibri"/>
      <family val="2"/>
      <b val="1"/>
      <color theme="4" tint="-0.249977111117893"/>
      <sz val="8"/>
      <scheme val="minor"/>
    </font>
    <font>
      <name val="Calibri"/>
      <family val="2"/>
      <color theme="10"/>
      <sz val="11"/>
      <u val="single"/>
      <scheme val="minor"/>
    </font>
    <font>
      <name val="Calibri"/>
      <family val="2"/>
      <b val="1"/>
      <color theme="0"/>
      <sz val="12"/>
      <scheme val="minor"/>
    </font>
    <font>
      <name val="Calibri"/>
      <family val="2"/>
      <sz val="12"/>
      <scheme val="minor"/>
    </font>
    <font>
      <name val="Calibri"/>
      <family val="2"/>
      <b val="1"/>
      <color rgb="FFFFFF00"/>
      <sz val="8"/>
      <scheme val="minor"/>
    </font>
    <font>
      <name val="Arial"/>
      <family val="2"/>
      <b val="1"/>
      <sz val="8"/>
    </font>
    <font>
      <name val="Arial"/>
      <family val="2"/>
      <sz val="8"/>
    </font>
    <font>
      <name val="Calibri"/>
      <family val="2"/>
      <color rgb="FF000000"/>
      <sz val="8"/>
      <scheme val="minor"/>
    </font>
    <font>
      <name val="Calibri"/>
      <family val="2"/>
      <color rgb="FFFFFF00"/>
      <sz val="8"/>
      <scheme val="minor"/>
    </font>
    <font>
      <name val="Lucida Grande"/>
      <color theme="1"/>
      <sz val="8"/>
    </font>
    <font>
      <name val="Calibri"/>
      <family val="2"/>
      <color theme="8" tint="-0.249977111117893"/>
      <sz val="8"/>
      <scheme val="minor"/>
    </font>
    <font>
      <name val="Calibri"/>
      <family val="2"/>
      <b val="1"/>
      <color theme="0"/>
      <sz val="8"/>
      <u val="single"/>
      <scheme val="minor"/>
    </font>
    <font>
      <name val="Calibri"/>
      <family val="2"/>
      <b val="1"/>
      <i val="1"/>
      <sz val="8"/>
      <scheme val="minor"/>
    </font>
    <font>
      <name val="Calibri"/>
      <family val="2"/>
      <color theme="8"/>
      <sz val="8"/>
      <scheme val="minor"/>
    </font>
    <font>
      <name val="Calibri"/>
      <family val="2"/>
      <b val="1"/>
      <color rgb="FFFFFF00"/>
      <sz val="10"/>
      <scheme val="minor"/>
    </font>
    <font>
      <name val="Calibri"/>
      <family val="2"/>
      <color rgb="FFFFFF00"/>
      <sz val="10"/>
      <u val="single"/>
      <scheme val="minor"/>
    </font>
    <font>
      <name val="Calibri"/>
      <family val="2"/>
      <b val="1"/>
      <sz val="10"/>
      <scheme val="minor"/>
    </font>
    <font>
      <name val="Calibri"/>
      <family val="2"/>
      <color rgb="FF262626"/>
      <sz val="8"/>
      <scheme val="minor"/>
    </font>
    <font>
      <name val="Calibri"/>
      <family val="2"/>
      <b val="1"/>
      <color theme="1" tint="0.249977111117893"/>
      <sz val="8"/>
      <scheme val="minor"/>
    </font>
    <font>
      <name val="Calibri"/>
      <family val="2"/>
      <b val="1"/>
      <color rgb="FF7030A0"/>
      <sz val="8"/>
      <u val="single"/>
      <scheme val="minor"/>
    </font>
    <font>
      <name val="Calibri"/>
      <family val="2"/>
      <b val="1"/>
      <color theme="0"/>
      <sz val="11"/>
      <scheme val="minor"/>
    </font>
    <font>
      <name val="Calibri"/>
      <family val="2"/>
      <color rgb="FFFFFF00"/>
      <sz val="8"/>
      <u val="single"/>
      <scheme val="minor"/>
    </font>
    <font>
      <name val="Calibri"/>
      <family val="2"/>
      <b val="1"/>
      <color rgb="FFFFFF00"/>
      <sz val="8"/>
      <u val="single"/>
      <scheme val="minor"/>
    </font>
    <font>
      <name val="Calibri"/>
      <family val="2"/>
      <color theme="10"/>
      <sz val="9"/>
      <u val="single"/>
      <scheme val="minor"/>
    </font>
    <font>
      <name val="Calibri"/>
      <family val="2"/>
      <strike val="1"/>
      <color rgb="FF000000"/>
      <sz val="8"/>
      <scheme val="minor"/>
    </font>
    <font>
      <name val="Calibri"/>
      <family val="2"/>
      <strike val="1"/>
      <color theme="1"/>
      <sz val="8"/>
      <scheme val="minor"/>
    </font>
    <font>
      <name val="Calibri"/>
      <family val="2"/>
      <color theme="1"/>
      <sz val="11"/>
      <scheme val="minor"/>
    </font>
    <font>
      <name val="Calibri"/>
      <family val="2"/>
      <color theme="0" tint="-0.3499862666707358"/>
      <sz val="8"/>
      <scheme val="minor"/>
    </font>
    <font>
      <name val="Calibri"/>
      <family val="2"/>
      <color theme="5" tint="0.7999816888943144"/>
      <sz val="8"/>
      <scheme val="minor"/>
    </font>
    <font>
      <name val="Calibri"/>
      <family val="2"/>
      <color theme="9" tint="-0.499984740745262"/>
      <sz val="8"/>
      <scheme val="minor"/>
    </font>
    <font>
      <name val="Calibri"/>
      <family val="2"/>
      <color rgb="FF0B2359"/>
      <sz val="8"/>
    </font>
    <font>
      <name val="Calibri"/>
      <family val="2"/>
      <b val="1"/>
      <color rgb="FF0B2359"/>
      <sz val="8"/>
    </font>
    <font>
      <name val="Calibri"/>
      <family val="2"/>
      <color theme="0"/>
      <sz val="11"/>
      <scheme val="minor"/>
    </font>
    <font>
      <name val="Calibri"/>
      <family val="2"/>
      <b val="1"/>
      <color rgb="FFFFFFFF"/>
      <sz val="10"/>
    </font>
    <font>
      <name val="Calibri"/>
      <family val="2"/>
      <b val="1"/>
      <color rgb="FFFFFFFF"/>
      <sz val="14"/>
    </font>
    <font>
      <name val="Calibri"/>
      <family val="2"/>
      <b val="1"/>
      <color theme="1"/>
      <sz val="11"/>
      <scheme val="minor"/>
    </font>
    <font>
      <name val="Calibri"/>
      <family val="2"/>
      <b val="1"/>
      <color rgb="FFFFFFFF"/>
      <sz val="8"/>
    </font>
    <font>
      <name val="Calibri"/>
      <family val="2"/>
      <color theme="4" tint="-0.499984740745262"/>
      <sz val="8"/>
    </font>
    <font>
      <name val="Calibri"/>
      <family val="2"/>
      <b val="1"/>
      <sz val="8"/>
    </font>
    <font>
      <name val="Calibri"/>
      <family val="2"/>
      <color theme="0"/>
      <sz val="8"/>
    </font>
    <font>
      <name val="Calibri"/>
      <family val="2"/>
      <b val="1"/>
      <color rgb="FFFFFFFF"/>
      <sz val="18"/>
    </font>
    <font>
      <name val="Calibri"/>
      <family val="2"/>
      <color theme="1"/>
      <sz val="9"/>
      <scheme val="minor"/>
    </font>
    <font>
      <name val="Calibri"/>
      <family val="2"/>
      <b val="1"/>
      <color rgb="FFFF0000"/>
      <sz val="8"/>
    </font>
    <font>
      <name val="Calibri"/>
      <family val="2"/>
      <b val="1"/>
      <color theme="1"/>
      <sz val="8"/>
    </font>
    <font>
      <name val="Arial"/>
      <family val="2"/>
      <color rgb="FF222222"/>
      <sz val="12"/>
    </font>
    <font>
      <name val="Calibri"/>
      <family val="2"/>
      <sz val="8"/>
    </font>
    <font>
      <name val="Calibri"/>
      <family val="2"/>
      <b val="1"/>
      <color rgb="FFFFFFFF"/>
      <sz val="11"/>
    </font>
    <font>
      <name val="Calibri"/>
      <family val="2"/>
      <b val="1"/>
      <color rgb="FF0B2359"/>
      <sz val="11"/>
    </font>
    <font>
      <name val="Calibri"/>
      <family val="2"/>
      <b val="1"/>
      <sz val="11"/>
    </font>
    <font>
      <name val="Calibri"/>
      <family val="2"/>
      <color rgb="FF0B2359"/>
      <sz val="11"/>
    </font>
    <font>
      <name val="Calibri"/>
      <family val="2"/>
      <sz val="11"/>
    </font>
    <font>
      <name val="Calibri"/>
      <family val="2"/>
      <color rgb="FF7030A0"/>
      <sz val="8"/>
      <u val="single"/>
      <scheme val="minor"/>
    </font>
    <font>
      <name val="Calibri"/>
      <family val="2"/>
      <color theme="1"/>
      <sz val="8"/>
      <u val="single"/>
      <scheme val="minor"/>
    </font>
    <font>
      <name val="Calibri"/>
      <family val="2"/>
      <b val="1"/>
      <color theme="0"/>
      <sz val="8"/>
    </font>
    <font>
      <name val="Calibri"/>
      <family val="2"/>
      <color rgb="FF0070C0"/>
      <sz val="11"/>
      <scheme val="minor"/>
    </font>
    <font>
      <name val="Calibri"/>
      <family val="2"/>
      <b val="1"/>
      <color theme="1"/>
      <sz val="14"/>
      <scheme val="minor"/>
    </font>
    <font>
      <name val="Rawline "/>
      <sz val="10"/>
    </font>
    <font>
      <name val="Calibri"/>
      <family val="2"/>
      <color indexed="8"/>
      <sz val="11"/>
      <scheme val="minor"/>
    </font>
    <font>
      <name val="Times New Roman"/>
      <family val="1"/>
      <sz val="10"/>
    </font>
  </fonts>
  <fills count="34">
    <fill>
      <patternFill/>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
        <bgColor indexed="64"/>
      </patternFill>
    </fill>
    <fill>
      <patternFill patternType="solid">
        <fgColor theme="2"/>
        <bgColor indexed="64"/>
      </patternFill>
    </fill>
    <fill>
      <patternFill patternType="solid">
        <fgColor rgb="FF002060"/>
        <bgColor indexed="64"/>
      </patternFill>
    </fill>
    <fill>
      <patternFill patternType="solid">
        <fgColor theme="4" tint="0.7999816888943144"/>
        <bgColor indexed="64"/>
      </patternFill>
    </fill>
    <fill>
      <patternFill patternType="solid">
        <fgColor theme="4" tint="0.7999511703848384"/>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4" tint="0.7999206518753624"/>
        <bgColor indexed="64"/>
      </patternFill>
    </fill>
    <fill>
      <patternFill patternType="solid">
        <fgColor theme="0" tint="-0.3499862666707358"/>
        <bgColor indexed="64"/>
      </patternFill>
    </fill>
    <fill>
      <patternFill patternType="solid">
        <fgColor theme="5" tint="0.7999816888943144"/>
        <bgColor indexed="64"/>
      </patternFill>
    </fill>
    <fill>
      <patternFill patternType="solid">
        <fgColor theme="4" tint="0.3999755851924192"/>
        <bgColor indexed="64"/>
      </patternFill>
    </fill>
    <fill>
      <patternFill patternType="solid">
        <fgColor theme="9" tint="0.7999816888943144"/>
        <bgColor indexed="64"/>
      </patternFill>
    </fill>
    <fill>
      <patternFill patternType="solid">
        <fgColor rgb="FFFFFF00"/>
        <bgColor indexed="64"/>
      </patternFill>
    </fill>
    <fill>
      <patternFill patternType="solid">
        <fgColor theme="9" tint="-0.499984740745262"/>
        <bgColor indexed="64"/>
      </patternFill>
    </fill>
    <fill>
      <patternFill patternType="solid">
        <fgColor rgb="FF1646B2"/>
        <bgColor indexed="64"/>
      </patternFill>
    </fill>
    <fill>
      <patternFill patternType="solid">
        <fgColor rgb="FFCCCFE4"/>
        <bgColor indexed="64"/>
      </patternFill>
    </fill>
    <fill>
      <patternFill patternType="solid">
        <fgColor rgb="FF7030A0"/>
        <bgColor indexed="64"/>
      </patternFill>
    </fill>
    <fill>
      <patternFill patternType="solid">
        <fgColor theme="8"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
      <patternFill patternType="solid">
        <fgColor theme="7" tint="0.3999755851924192"/>
        <bgColor indexed="64"/>
      </patternFill>
    </fill>
    <fill>
      <patternFill patternType="solid">
        <fgColor theme="7" tint="-0.249977111117893"/>
        <bgColor indexed="64"/>
      </patternFill>
    </fill>
    <fill>
      <patternFill patternType="solid">
        <fgColor theme="1"/>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rgb="FFC00000"/>
        <bgColor indexed="64"/>
      </patternFill>
    </fill>
    <fill>
      <patternFill patternType="solid">
        <fgColor theme="1" tint="0.0499893185216834"/>
        <bgColor indexed="64"/>
      </patternFill>
    </fill>
    <fill>
      <patternFill patternType="solid">
        <fgColor theme="7" tint="0.7999816888943144"/>
        <bgColor indexed="64"/>
      </patternFill>
    </fill>
  </fills>
  <borders count="8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right/>
      <top/>
      <bottom style="thin">
        <color indexed="64"/>
      </bottom>
      <diagonal/>
    </border>
    <border>
      <left style="medium">
        <color rgb="FFFFFFFF"/>
      </left>
      <right/>
      <top/>
      <bottom/>
      <diagonal/>
    </border>
    <border>
      <left style="medium">
        <color rgb="FFFFFFFF"/>
      </left>
      <right/>
      <top style="medium">
        <color rgb="FFFFFFFF"/>
      </top>
      <bottom style="medium">
        <color rgb="FFFFFFFF"/>
      </bottom>
      <diagonal/>
    </border>
    <border>
      <left/>
      <right style="medium">
        <color rgb="FFFFFFFF"/>
      </right>
      <top/>
      <bottom style="medium">
        <color theme="0"/>
      </bottom>
      <diagonal/>
    </border>
    <border>
      <left/>
      <right style="medium">
        <color rgb="FFFFFFFF"/>
      </right>
      <top style="medium">
        <color theme="0"/>
      </top>
      <bottom style="medium">
        <color theme="0"/>
      </bottom>
      <diagonal/>
    </border>
    <border>
      <left style="medium">
        <color rgb="FFFFFFFF"/>
      </left>
      <right style="medium">
        <color rgb="FFFFFFFF"/>
      </right>
      <top style="medium">
        <color rgb="FFFFFFFF"/>
      </top>
      <bottom style="thick">
        <color rgb="FFFFFFFF"/>
      </bottom>
      <diagonal/>
    </border>
    <border>
      <left/>
      <right/>
      <top style="medium">
        <color rgb="FFFFFFFF"/>
      </top>
      <bottom/>
      <diagonal/>
    </border>
    <border>
      <left/>
      <right style="medium">
        <color rgb="FFFFFFFF"/>
      </right>
      <top style="medium">
        <color rgb="FFFFFFFF"/>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theme="0"/>
      </right>
      <top style="medium">
        <color theme="0"/>
      </top>
      <bottom/>
      <diagonal/>
    </border>
  </borders>
  <cellStyleXfs count="21">
    <xf numFmtId="0" fontId="42" fillId="0" borderId="0"/>
    <xf numFmtId="0" fontId="1" fillId="2" borderId="1"/>
    <xf numFmtId="0" fontId="4" fillId="0" borderId="0"/>
    <xf numFmtId="0" fontId="8" fillId="0" borderId="0"/>
    <xf numFmtId="0" fontId="9" fillId="0" borderId="0"/>
    <xf numFmtId="0" fontId="17" fillId="0" borderId="0"/>
    <xf numFmtId="165" fontId="42" fillId="0" borderId="0"/>
    <xf numFmtId="0" fontId="9" fillId="0" borderId="0"/>
    <xf numFmtId="168" fontId="42" fillId="0" borderId="0"/>
    <xf numFmtId="0" fontId="73" fillId="0" borderId="0"/>
    <xf numFmtId="0" fontId="73" fillId="0" borderId="0"/>
    <xf numFmtId="43" fontId="73" fillId="0" borderId="0"/>
    <xf numFmtId="0" fontId="42" fillId="0" borderId="0"/>
    <xf numFmtId="0" fontId="9" fillId="0" borderId="0"/>
    <xf numFmtId="0" fontId="17" fillId="0" borderId="0"/>
    <xf numFmtId="165" fontId="42" fillId="0" borderId="0"/>
    <xf numFmtId="168" fontId="42" fillId="0" borderId="0"/>
    <xf numFmtId="9" fontId="74" fillId="0" borderId="0"/>
    <xf numFmtId="43" fontId="73" fillId="0" borderId="0"/>
    <xf numFmtId="9" fontId="73" fillId="0" borderId="0"/>
    <xf numFmtId="0" fontId="74" fillId="0" borderId="0"/>
  </cellStyleXfs>
  <cellXfs count="438">
    <xf numFmtId="0" fontId="0" fillId="0" borderId="0" pivotButton="0" quotePrefix="0" xfId="0"/>
    <xf numFmtId="0" fontId="3" fillId="0" borderId="0" pivotButton="0" quotePrefix="0" xfId="0"/>
    <xf numFmtId="0" fontId="3" fillId="0" borderId="0" applyAlignment="1" pivotButton="0" quotePrefix="0" xfId="0">
      <alignment horizontal="center"/>
    </xf>
    <xf numFmtId="0" fontId="5" fillId="0" borderId="0" pivotButton="0" quotePrefix="0" xfId="0"/>
    <xf numFmtId="0" fontId="5" fillId="3" borderId="0" pivotButton="0" quotePrefix="0" xfId="0"/>
    <xf numFmtId="0" fontId="3" fillId="3" borderId="0" pivotButton="0" quotePrefix="0" xfId="0"/>
    <xf numFmtId="0" fontId="6" fillId="3" borderId="0" pivotButton="0" quotePrefix="0" xfId="0"/>
    <xf numFmtId="0" fontId="7" fillId="3" borderId="0" pivotButton="0" quotePrefix="0" xfId="0"/>
    <xf numFmtId="0" fontId="7" fillId="3" borderId="3" pivotButton="0" quotePrefix="0" xfId="0"/>
    <xf numFmtId="0" fontId="7" fillId="3" borderId="3" applyAlignment="1" pivotButton="0" quotePrefix="0" xfId="0">
      <alignment horizontal="center"/>
    </xf>
    <xf numFmtId="0" fontId="7" fillId="3" borderId="4" pivotButton="0" quotePrefix="0" xfId="0"/>
    <xf numFmtId="0" fontId="5" fillId="4" borderId="0" pivotButton="0" quotePrefix="0" xfId="0"/>
    <xf numFmtId="0" fontId="3" fillId="4" borderId="0" applyAlignment="1" pivotButton="0" quotePrefix="0" xfId="0">
      <alignment horizontal="center"/>
    </xf>
    <xf numFmtId="0" fontId="3" fillId="4" borderId="0" pivotButton="0" quotePrefix="0" xfId="0"/>
    <xf numFmtId="0" fontId="3" fillId="4" borderId="5" applyAlignment="1" pivotButton="0" quotePrefix="0" xfId="0">
      <alignment horizontal="center"/>
    </xf>
    <xf numFmtId="0" fontId="3" fillId="4" borderId="0" applyAlignment="1" pivotButton="0" quotePrefix="1" xfId="0">
      <alignment horizontal="center"/>
    </xf>
    <xf numFmtId="0" fontId="3" fillId="4" borderId="6" applyAlignment="1" pivotButton="0" quotePrefix="0" xfId="0">
      <alignment horizontal="center"/>
    </xf>
    <xf numFmtId="0" fontId="3" fillId="4" borderId="7" applyAlignment="1" pivotButton="0" quotePrefix="0" xfId="0">
      <alignment horizontal="center"/>
    </xf>
    <xf numFmtId="0" fontId="3" fillId="4" borderId="3" pivotButton="0" quotePrefix="0" xfId="0"/>
    <xf numFmtId="0" fontId="3" fillId="4" borderId="8" pivotButton="0" quotePrefix="0" xfId="0"/>
    <xf numFmtId="0" fontId="3" fillId="4" borderId="9" pivotButton="0" quotePrefix="0" xfId="0"/>
    <xf numFmtId="0" fontId="10" fillId="3" borderId="0" pivotButton="0" quotePrefix="0" xfId="0"/>
    <xf numFmtId="0" fontId="3" fillId="3" borderId="0" applyAlignment="1" pivotButton="0" quotePrefix="0" xfId="0">
      <alignment horizontal="center"/>
    </xf>
    <xf numFmtId="0" fontId="7" fillId="3" borderId="0" applyAlignment="1" pivotButton="0" quotePrefix="0" xfId="0">
      <alignment horizontal="left"/>
    </xf>
    <xf numFmtId="0" fontId="7" fillId="0" borderId="0" applyAlignment="1" pivotButton="0" quotePrefix="0" xfId="0">
      <alignment horizontal="left"/>
    </xf>
    <xf numFmtId="0" fontId="3" fillId="0" borderId="0"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2" fillId="0" borderId="0" applyAlignment="1" pivotButton="0" quotePrefix="0" xfId="0">
      <alignment horizontal="left"/>
    </xf>
    <xf numFmtId="0" fontId="13" fillId="5" borderId="0" applyAlignment="1" pivotButton="0" quotePrefix="0" xfId="0">
      <alignment horizontal="left"/>
    </xf>
    <xf numFmtId="0" fontId="13" fillId="0" borderId="0" applyAlignment="1" pivotButton="0" quotePrefix="0" xfId="0">
      <alignment horizontal="left"/>
    </xf>
    <xf numFmtId="0" fontId="7" fillId="3" borderId="14" applyAlignment="1" pivotButton="0" quotePrefix="0" xfId="0">
      <alignment horizontal="left"/>
    </xf>
    <xf numFmtId="0" fontId="7" fillId="3" borderId="13" applyAlignment="1" pivotButton="0" quotePrefix="0" xfId="0">
      <alignment horizontal="left"/>
    </xf>
    <xf numFmtId="0" fontId="13" fillId="5" borderId="15" applyAlignment="1" pivotButton="0" quotePrefix="0" xfId="0">
      <alignment horizontal="left"/>
    </xf>
    <xf numFmtId="0" fontId="13" fillId="5" borderId="16" applyAlignment="1" pivotButton="0" quotePrefix="0" xfId="0">
      <alignment horizontal="left"/>
    </xf>
    <xf numFmtId="0" fontId="7" fillId="3" borderId="0" applyAlignment="1" pivotButton="0" quotePrefix="0" xfId="4">
      <alignment horizontal="left" wrapText="1"/>
    </xf>
    <xf numFmtId="0" fontId="13" fillId="6" borderId="0" applyAlignment="1" pivotButton="0" quotePrefix="0" xfId="0">
      <alignment horizontal="left"/>
    </xf>
    <xf numFmtId="0" fontId="15" fillId="5" borderId="0" applyAlignment="1" pivotButton="0" quotePrefix="0" xfId="0">
      <alignment horizontal="left"/>
    </xf>
    <xf numFmtId="0" fontId="16" fillId="5" borderId="0" applyAlignment="1" pivotButton="0" quotePrefix="0" xfId="0">
      <alignment horizontal="left"/>
    </xf>
    <xf numFmtId="0" fontId="16" fillId="0" borderId="0" applyAlignment="1" pivotButton="0" quotePrefix="0" xfId="0">
      <alignment horizontal="left"/>
    </xf>
    <xf numFmtId="0" fontId="7" fillId="7" borderId="0" applyAlignment="1" pivotButton="0" quotePrefix="0" xfId="0">
      <alignment horizontal="left"/>
    </xf>
    <xf numFmtId="0" fontId="3" fillId="7" borderId="0" applyAlignment="1" pivotButton="0" quotePrefix="0" xfId="0">
      <alignment horizontal="left"/>
    </xf>
    <xf numFmtId="0" fontId="0" fillId="4" borderId="0" pivotButton="0" quotePrefix="0" xfId="0"/>
    <xf numFmtId="0" fontId="19" fillId="0" borderId="0" applyAlignment="1" pivotButton="0" quotePrefix="0" xfId="0">
      <alignment wrapText="1"/>
    </xf>
    <xf numFmtId="0" fontId="11" fillId="0" borderId="0" pivotButton="0" quotePrefix="0" xfId="0"/>
    <xf numFmtId="0" fontId="7" fillId="3" borderId="17" applyAlignment="1" pivotButton="0" quotePrefix="0" xfId="0">
      <alignment horizontal="center" vertical="top" wrapText="1"/>
    </xf>
    <xf numFmtId="0" fontId="7" fillId="3" borderId="20" applyAlignment="1" pivotButton="0" quotePrefix="0" xfId="0">
      <alignment horizontal="left" vertical="top" wrapText="1"/>
    </xf>
    <xf numFmtId="0" fontId="7" fillId="3" borderId="22" applyAlignment="1" pivotButton="0" quotePrefix="0" xfId="0">
      <alignment horizontal="center" vertical="top" wrapText="1"/>
    </xf>
    <xf numFmtId="0" fontId="7" fillId="3" borderId="23" applyAlignment="1" pivotButton="0" quotePrefix="0" xfId="0">
      <alignment horizontal="left" vertical="top" wrapText="1"/>
    </xf>
    <xf numFmtId="0" fontId="7" fillId="3" borderId="24" applyAlignment="1" pivotButton="0" quotePrefix="0" xfId="0">
      <alignment horizontal="center" vertical="top" wrapText="1"/>
    </xf>
    <xf numFmtId="0" fontId="7" fillId="3" borderId="25" applyAlignment="1" pivotButton="0" quotePrefix="0" xfId="0">
      <alignment horizontal="center" vertical="top" wrapText="1"/>
    </xf>
    <xf numFmtId="0" fontId="7" fillId="3" borderId="26" applyAlignment="1" pivotButton="0" quotePrefix="0" xfId="0">
      <alignment horizontal="center" vertical="top" wrapText="1"/>
    </xf>
    <xf numFmtId="0" fontId="12" fillId="0" borderId="0" applyAlignment="1" pivotButton="0" quotePrefix="0" xfId="0">
      <alignment horizontal="left" vertical="top"/>
    </xf>
    <xf numFmtId="0" fontId="12" fillId="0" borderId="27" applyAlignment="1" pivotButton="0" quotePrefix="0" xfId="0">
      <alignment horizontal="center" vertical="center"/>
    </xf>
    <xf numFmtId="0" fontId="11" fillId="0" borderId="28" applyAlignment="1" pivotButton="0" quotePrefix="0" xfId="0">
      <alignment wrapText="1"/>
    </xf>
    <xf numFmtId="0" fontId="21" fillId="4" borderId="30" applyAlignment="1" pivotButton="0" quotePrefix="0" xfId="0">
      <alignment horizontal="center" vertical="center"/>
    </xf>
    <xf numFmtId="0" fontId="22" fillId="4" borderId="31" applyAlignment="1" pivotButton="0" quotePrefix="0" xfId="0">
      <alignment wrapText="1"/>
    </xf>
    <xf numFmtId="0" fontId="11" fillId="8" borderId="30" applyAlignment="1" pivotButton="0" quotePrefix="0" xfId="0">
      <alignment horizontal="center" wrapText="1"/>
    </xf>
    <xf numFmtId="0" fontId="11" fillId="8" borderId="2" applyAlignment="1" pivotButton="0" quotePrefix="0" xfId="0">
      <alignment horizontal="center" wrapText="1"/>
    </xf>
    <xf numFmtId="0" fontId="11" fillId="9" borderId="32" applyAlignment="1" pivotButton="0" quotePrefix="0" xfId="0">
      <alignment horizontal="center" wrapText="1"/>
    </xf>
    <xf numFmtId="0" fontId="11" fillId="10" borderId="33" applyAlignment="1" pivotButton="0" quotePrefix="0" xfId="0">
      <alignment horizontal="center" wrapText="1"/>
    </xf>
    <xf numFmtId="0" fontId="11" fillId="11" borderId="32" applyAlignment="1" pivotButton="0" quotePrefix="0" xfId="0">
      <alignment horizontal="center" wrapText="1"/>
    </xf>
    <xf numFmtId="0" fontId="12" fillId="0" borderId="34" applyAlignment="1" pivotButton="0" quotePrefix="0" xfId="0">
      <alignment horizontal="center" vertical="center"/>
    </xf>
    <xf numFmtId="0" fontId="11" fillId="0" borderId="35" applyAlignment="1" pivotButton="0" quotePrefix="0" xfId="0">
      <alignment wrapText="1"/>
    </xf>
    <xf numFmtId="0" fontId="21" fillId="4" borderId="34" applyAlignment="1" pivotButton="0" quotePrefix="0" xfId="0">
      <alignment horizontal="center" vertical="center"/>
    </xf>
    <xf numFmtId="0" fontId="22" fillId="4" borderId="36" applyAlignment="1" pivotButton="0" quotePrefix="0" xfId="0">
      <alignment wrapText="1"/>
    </xf>
    <xf numFmtId="0" fontId="11" fillId="9" borderId="34" applyAlignment="1" pivotButton="0" quotePrefix="0" xfId="0">
      <alignment horizontal="center" wrapText="1"/>
    </xf>
    <xf numFmtId="0" fontId="11" fillId="8" borderId="13" applyAlignment="1" pivotButton="0" quotePrefix="0" xfId="0">
      <alignment horizontal="center" wrapText="1"/>
    </xf>
    <xf numFmtId="0" fontId="11" fillId="9" borderId="35" applyAlignment="1" pivotButton="0" quotePrefix="0" xfId="0">
      <alignment horizontal="center" wrapText="1"/>
    </xf>
    <xf numFmtId="0" fontId="11" fillId="10" borderId="14" applyAlignment="1" pivotButton="0" quotePrefix="0" xfId="0">
      <alignment horizontal="center" wrapText="1"/>
    </xf>
    <xf numFmtId="0" fontId="11" fillId="11" borderId="35" applyAlignment="1" pivotButton="0" quotePrefix="0" xfId="0">
      <alignment horizontal="center" wrapText="1"/>
    </xf>
    <xf numFmtId="0" fontId="11" fillId="8" borderId="34" applyAlignment="1" pivotButton="0" quotePrefix="0" xfId="0">
      <alignment horizontal="center" wrapText="1"/>
    </xf>
    <xf numFmtId="0" fontId="11" fillId="9" borderId="13" applyAlignment="1" pivotButton="0" quotePrefix="0" xfId="0">
      <alignment horizontal="center" wrapText="1"/>
    </xf>
    <xf numFmtId="0" fontId="11" fillId="8" borderId="35" applyAlignment="1" pivotButton="0" quotePrefix="0" xfId="0">
      <alignment horizontal="center" wrapText="1"/>
    </xf>
    <xf numFmtId="0" fontId="11" fillId="12" borderId="35" applyAlignment="1" pivotButton="0" quotePrefix="0" xfId="0">
      <alignment horizontal="center" wrapText="1"/>
    </xf>
    <xf numFmtId="0" fontId="12" fillId="0" borderId="37" applyAlignment="1" pivotButton="0" quotePrefix="0" xfId="0">
      <alignment horizontal="center" vertical="center"/>
    </xf>
    <xf numFmtId="0" fontId="11" fillId="0" borderId="38" applyAlignment="1" pivotButton="0" quotePrefix="0" xfId="0">
      <alignment wrapText="1"/>
    </xf>
    <xf numFmtId="0" fontId="21" fillId="4" borderId="37" applyAlignment="1" pivotButton="0" quotePrefix="0" xfId="0">
      <alignment horizontal="center" vertical="center"/>
    </xf>
    <xf numFmtId="0" fontId="22" fillId="4" borderId="40" applyAlignment="1" pivotButton="0" quotePrefix="0" xfId="0">
      <alignment wrapText="1"/>
    </xf>
    <xf numFmtId="0" fontId="11" fillId="8" borderId="37" applyAlignment="1" pivotButton="0" quotePrefix="0" xfId="0">
      <alignment horizontal="center" wrapText="1"/>
    </xf>
    <xf numFmtId="0" fontId="11" fillId="8" borderId="41" applyAlignment="1" pivotButton="0" quotePrefix="0" xfId="0">
      <alignment horizontal="center" wrapText="1"/>
    </xf>
    <xf numFmtId="0" fontId="11" fillId="12" borderId="38" applyAlignment="1" pivotButton="0" quotePrefix="0" xfId="0">
      <alignment horizontal="center" wrapText="1"/>
    </xf>
    <xf numFmtId="0" fontId="11" fillId="10" borderId="42" applyAlignment="1" pivotButton="0" quotePrefix="0" xfId="0">
      <alignment horizontal="center" wrapText="1"/>
    </xf>
    <xf numFmtId="0" fontId="11" fillId="11" borderId="38" applyAlignment="1" pivotButton="0" quotePrefix="0" xfId="0">
      <alignment horizontal="center" wrapText="1"/>
    </xf>
    <xf numFmtId="0" fontId="12" fillId="0" borderId="0" applyAlignment="1" pivotButton="0" quotePrefix="0" xfId="0">
      <alignment horizontal="center" vertical="center"/>
    </xf>
    <xf numFmtId="0" fontId="11" fillId="0" borderId="0" applyAlignment="1" pivotButton="0" quotePrefix="0" xfId="0">
      <alignment wrapText="1"/>
    </xf>
    <xf numFmtId="0" fontId="12" fillId="0" borderId="0" applyAlignment="1" pivotButton="0" quotePrefix="0" xfId="0">
      <alignment vertical="center" wrapText="1"/>
    </xf>
    <xf numFmtId="0" fontId="11" fillId="0" borderId="0" applyAlignment="1" pivotButton="0" quotePrefix="0" xfId="0">
      <alignment horizontal="center" wrapText="1"/>
    </xf>
    <xf numFmtId="0" fontId="11" fillId="4" borderId="0" pivotButton="0" quotePrefix="0" xfId="0"/>
    <xf numFmtId="0" fontId="12" fillId="4" borderId="0" applyAlignment="1" pivotButton="0" quotePrefix="0" xfId="0">
      <alignment horizontal="left" vertical="top"/>
    </xf>
    <xf numFmtId="0" fontId="7" fillId="3" borderId="13" applyAlignment="1" pivotButton="0" quotePrefix="0" xfId="0">
      <alignment vertical="top" wrapText="1"/>
    </xf>
    <xf numFmtId="0" fontId="7" fillId="3" borderId="13" applyAlignment="1" pivotButton="0" quotePrefix="0" xfId="0">
      <alignment horizontal="center" vertical="top" wrapText="1"/>
    </xf>
    <xf numFmtId="0" fontId="3" fillId="4" borderId="13" applyAlignment="1" pivotButton="0" quotePrefix="0" xfId="0">
      <alignment horizontal="left" wrapText="1"/>
    </xf>
    <xf numFmtId="0" fontId="11" fillId="4" borderId="13" applyAlignment="1" pivotButton="0" quotePrefix="0" xfId="4">
      <alignment horizontal="left" vertical="top" wrapText="1"/>
    </xf>
    <xf numFmtId="0" fontId="11" fillId="4" borderId="13" applyAlignment="1" pivotButton="0" quotePrefix="0" xfId="4">
      <alignment horizontal="left" wrapText="1"/>
    </xf>
    <xf numFmtId="0" fontId="7" fillId="3" borderId="36" applyAlignment="1" pivotButton="0" quotePrefix="0" xfId="0">
      <alignment horizontal="center" wrapText="1"/>
    </xf>
    <xf numFmtId="0" fontId="7" fillId="3" borderId="14" applyAlignment="1" pivotButton="0" quotePrefix="0" xfId="0">
      <alignment horizontal="center" wrapText="1"/>
    </xf>
    <xf numFmtId="0" fontId="7" fillId="3" borderId="44" applyAlignment="1" pivotButton="0" quotePrefix="0" xfId="0">
      <alignment vertical="top"/>
    </xf>
    <xf numFmtId="0" fontId="7" fillId="3" borderId="44" applyAlignment="1" pivotButton="0" quotePrefix="0" xfId="0">
      <alignment horizontal="center" vertical="top" wrapText="1"/>
    </xf>
    <xf numFmtId="0" fontId="7" fillId="3" borderId="20" applyAlignment="1" pivotButton="0" quotePrefix="0" xfId="0">
      <alignment vertical="top"/>
    </xf>
    <xf numFmtId="0" fontId="7" fillId="3" borderId="16" applyAlignment="1" pivotButton="0" quotePrefix="0" xfId="0">
      <alignment horizontal="left" vertical="center" wrapText="1"/>
    </xf>
    <xf numFmtId="0" fontId="7" fillId="3" borderId="16" applyAlignment="1" pivotButton="0" quotePrefix="0" xfId="0">
      <alignment horizontal="center" vertical="center" wrapText="1"/>
    </xf>
    <xf numFmtId="0" fontId="11" fillId="0" borderId="13" applyAlignment="1" pivotButton="0" quotePrefix="0" xfId="0">
      <alignment horizontal="left" vertical="center" wrapText="1"/>
    </xf>
    <xf numFmtId="0" fontId="11" fillId="0" borderId="41" applyAlignment="1" pivotButton="0" quotePrefix="0" xfId="0">
      <alignment horizontal="left" vertical="center" wrapText="1"/>
    </xf>
    <xf numFmtId="0" fontId="20" fillId="3" borderId="16" applyAlignment="1" pivotButton="0" quotePrefix="0" xfId="0">
      <alignment horizontal="left" vertical="center" wrapText="1"/>
    </xf>
    <xf numFmtId="0" fontId="7" fillId="3" borderId="36" applyAlignment="1" pivotButton="0" quotePrefix="0" xfId="0">
      <alignment horizontal="center"/>
    </xf>
    <xf numFmtId="0" fontId="20" fillId="3" borderId="13" applyAlignment="1" pivotButton="0" quotePrefix="0" xfId="0">
      <alignment horizontal="center" vertical="top" wrapText="1"/>
    </xf>
    <xf numFmtId="0" fontId="3" fillId="4" borderId="13" applyAlignment="1" pivotButton="0" quotePrefix="0" xfId="0">
      <alignment vertical="top" wrapText="1"/>
    </xf>
    <xf numFmtId="0" fontId="26" fillId="0" borderId="13" applyAlignment="1" pivotButton="0" quotePrefix="0" xfId="0">
      <alignment horizontal="center" wrapText="1"/>
    </xf>
    <xf numFmtId="0" fontId="26" fillId="0" borderId="0" applyAlignment="1" pivotButton="0" quotePrefix="0" xfId="0">
      <alignment horizontal="center"/>
    </xf>
    <xf numFmtId="0" fontId="26" fillId="0" borderId="0" pivotButton="0" quotePrefix="0" xfId="0"/>
    <xf numFmtId="0" fontId="26" fillId="4" borderId="0" applyAlignment="1" pivotButton="0" quotePrefix="0" xfId="0">
      <alignment horizontal="center"/>
    </xf>
    <xf numFmtId="0" fontId="18" fillId="3" borderId="0" applyAlignment="1" pivotButton="0" quotePrefix="0" xfId="0">
      <alignment vertical="top"/>
    </xf>
    <xf numFmtId="0" fontId="18" fillId="3" borderId="0" applyAlignment="1" pivotButton="0" quotePrefix="0" xfId="0">
      <alignment horizontal="center" vertical="top" wrapText="1"/>
    </xf>
    <xf numFmtId="0" fontId="12" fillId="0" borderId="0"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horizontal="center" vertical="top"/>
    </xf>
    <xf numFmtId="0" fontId="7" fillId="3" borderId="0" applyAlignment="1" pivotButton="0" quotePrefix="0" xfId="0">
      <alignment horizontal="center" vertical="top" wrapText="1"/>
    </xf>
    <xf numFmtId="0" fontId="7" fillId="3" borderId="0" applyAlignment="1" pivotButton="0" quotePrefix="0" xfId="0">
      <alignment vertical="top" wrapText="1"/>
    </xf>
    <xf numFmtId="0" fontId="2" fillId="0" borderId="0" applyAlignment="1" pivotButton="0" quotePrefix="0" xfId="0">
      <alignment vertical="top"/>
    </xf>
    <xf numFmtId="1" fontId="3" fillId="0" borderId="0" applyAlignment="1" pivotButton="0" quotePrefix="0" xfId="0">
      <alignment horizontal="center" vertical="top"/>
    </xf>
    <xf numFmtId="0" fontId="3" fillId="0" borderId="0" applyAlignment="1" pivotButton="0" quotePrefix="0" xfId="0">
      <alignment vertical="top"/>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vertical="top"/>
    </xf>
    <xf numFmtId="1" fontId="6" fillId="3" borderId="0" applyAlignment="1" pivotButton="0" quotePrefix="0" xfId="0">
      <alignment horizontal="center" vertical="top"/>
    </xf>
    <xf numFmtId="0" fontId="6" fillId="3" borderId="0" applyAlignment="1" pivotButton="0" quotePrefix="0" xfId="0">
      <alignment vertical="top"/>
    </xf>
    <xf numFmtId="0" fontId="6" fillId="3" borderId="0" applyAlignment="1" pivotButton="0" quotePrefix="0" xfId="0">
      <alignment horizontal="center" vertical="top" wrapText="1"/>
    </xf>
    <xf numFmtId="0" fontId="24" fillId="3" borderId="0" applyAlignment="1" pivotButton="0" quotePrefix="0" xfId="0">
      <alignment vertical="top" wrapText="1"/>
    </xf>
    <xf numFmtId="0" fontId="6" fillId="3" borderId="0" applyAlignment="1" pivotButton="0" quotePrefix="0" xfId="0">
      <alignment vertical="top" wrapText="1"/>
    </xf>
    <xf numFmtId="1" fontId="3" fillId="0" borderId="0" applyAlignment="1" pivotButton="0" quotePrefix="0" xfId="0">
      <alignment horizontal="left" vertical="top"/>
    </xf>
    <xf numFmtId="0" fontId="12" fillId="0" borderId="0" applyAlignment="1" pivotButton="0" quotePrefix="0" xfId="0">
      <alignment vertical="top" wrapText="1"/>
    </xf>
    <xf numFmtId="1" fontId="29" fillId="3" borderId="0" applyAlignment="1" pivotButton="0" quotePrefix="0" xfId="0">
      <alignment horizontal="center" vertical="top"/>
    </xf>
    <xf numFmtId="0" fontId="29" fillId="3" borderId="0" applyAlignment="1" pivotButton="0" quotePrefix="0" xfId="0">
      <alignment vertical="top"/>
    </xf>
    <xf numFmtId="0" fontId="29" fillId="3" borderId="0" applyAlignment="1" pivotButton="0" quotePrefix="0" xfId="0">
      <alignment vertical="top" wrapText="1"/>
    </xf>
    <xf numFmtId="0" fontId="3" fillId="0" borderId="0" applyAlignment="1" pivotButton="0" quotePrefix="0" xfId="0">
      <alignment horizontal="center" vertical="top"/>
    </xf>
    <xf numFmtId="1" fontId="3" fillId="0" borderId="0" applyAlignment="1" pivotButton="0" quotePrefix="1" xfId="0">
      <alignment horizontal="center" vertical="top"/>
    </xf>
    <xf numFmtId="0" fontId="11" fillId="0" borderId="0" applyAlignment="1" pivotButton="0" quotePrefix="1" xfId="0">
      <alignment vertical="top" wrapText="1"/>
    </xf>
    <xf numFmtId="0" fontId="3" fillId="0" borderId="0" applyAlignment="1" pivotButton="0" quotePrefix="0" xfId="0">
      <alignment horizontal="center" vertical="top" wrapText="1"/>
    </xf>
    <xf numFmtId="1" fontId="7" fillId="3" borderId="0" applyAlignment="1" pivotButton="0" quotePrefix="0" xfId="0">
      <alignment horizontal="center" vertical="top"/>
    </xf>
    <xf numFmtId="1" fontId="11" fillId="0" borderId="0" applyAlignment="1" pivotButton="0" quotePrefix="0" xfId="0">
      <alignment horizontal="center" vertical="top"/>
    </xf>
    <xf numFmtId="0" fontId="11" fillId="0" borderId="0" applyAlignment="1" pivotButton="0" quotePrefix="0" xfId="0">
      <alignment horizontal="center" vertical="top"/>
    </xf>
    <xf numFmtId="0" fontId="30" fillId="3" borderId="0" applyAlignment="1" pivotButton="0" quotePrefix="0" xfId="0">
      <alignment horizontal="center" vertical="top"/>
    </xf>
    <xf numFmtId="0" fontId="31" fillId="3" borderId="0" applyAlignment="1" pivotButton="0" quotePrefix="0" xfId="5">
      <alignment vertical="top"/>
    </xf>
    <xf numFmtId="0" fontId="30" fillId="0" borderId="0" applyAlignment="1" pivotButton="0" quotePrefix="0" xfId="0">
      <alignment horizontal="center" vertical="top"/>
    </xf>
    <xf numFmtId="0" fontId="31" fillId="0" borderId="0" applyAlignment="1" pivotButton="0" quotePrefix="0" xfId="5">
      <alignment vertical="top"/>
    </xf>
    <xf numFmtId="0" fontId="18" fillId="0" borderId="0" applyAlignment="1" pivotButton="0" quotePrefix="0" xfId="0">
      <alignment vertical="top"/>
    </xf>
    <xf numFmtId="0" fontId="32" fillId="0" borderId="0" applyAlignment="1" pivotButton="0" quotePrefix="0" xfId="0">
      <alignment vertical="top"/>
    </xf>
    <xf numFmtId="0" fontId="18" fillId="0" borderId="0" applyAlignment="1" pivotButton="0" quotePrefix="0" xfId="0">
      <alignment horizontal="center" vertical="top"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 fillId="0" borderId="0" applyAlignment="1" applyProtection="1" pivotButton="0" quotePrefix="0" xfId="0">
      <alignment horizontal="left"/>
      <protection locked="0" hidden="0"/>
    </xf>
    <xf numFmtId="0" fontId="3" fillId="0" borderId="0" applyAlignment="1" applyProtection="1" pivotButton="0" quotePrefix="1" xfId="0">
      <alignment horizontal="left"/>
      <protection locked="0" hidden="0"/>
    </xf>
    <xf numFmtId="0" fontId="11" fillId="0" borderId="0" applyAlignment="1" applyProtection="1" pivotButton="0" quotePrefix="0" xfId="4">
      <alignment horizontal="left" wrapText="1"/>
      <protection locked="0" hidden="0"/>
    </xf>
    <xf numFmtId="0" fontId="11" fillId="0" borderId="0" applyAlignment="1" applyProtection="1" pivotButton="0" quotePrefix="0" xfId="0">
      <alignment horizontal="left"/>
      <protection locked="0" hidden="0"/>
    </xf>
    <xf numFmtId="0" fontId="33" fillId="0" borderId="0" applyAlignment="1" pivotButton="0" quotePrefix="0" xfId="0">
      <alignment vertical="center" wrapText="1"/>
    </xf>
    <xf numFmtId="0" fontId="34" fillId="13" borderId="0" applyAlignment="1" pivotButton="0" quotePrefix="0" xfId="0">
      <alignment horizontal="left"/>
    </xf>
    <xf numFmtId="0" fontId="6" fillId="3" borderId="0" applyAlignment="1" applyProtection="1" pivotButton="0" quotePrefix="0" xfId="0">
      <alignment horizontal="center" vertical="top" wrapText="1"/>
      <protection locked="0" hidden="0"/>
    </xf>
    <xf numFmtId="0" fontId="6" fillId="3" borderId="29" applyAlignment="1" applyProtection="1" pivotButton="0" quotePrefix="0" xfId="0">
      <alignment horizontal="center" vertical="top" wrapText="1"/>
      <protection locked="0" hidden="0"/>
    </xf>
    <xf numFmtId="0" fontId="11" fillId="4" borderId="53" applyAlignment="1" pivotButton="0" quotePrefix="0" xfId="0">
      <alignment horizontal="center" vertical="center"/>
    </xf>
    <xf numFmtId="0" fontId="11" fillId="4" borderId="50" applyAlignment="1" pivotButton="0" quotePrefix="0" xfId="0">
      <alignment horizontal="center" vertical="center"/>
    </xf>
    <xf numFmtId="0" fontId="11" fillId="4" borderId="46" applyAlignment="1" pivotButton="0" quotePrefix="0" xfId="0">
      <alignment horizontal="center" vertical="center"/>
    </xf>
    <xf numFmtId="0" fontId="11" fillId="4" borderId="51" applyAlignment="1" pivotButton="0" quotePrefix="0" xfId="0">
      <alignment horizontal="center" vertical="center"/>
    </xf>
    <xf numFmtId="0" fontId="11" fillId="4" borderId="47" applyAlignment="1" pivotButton="0" quotePrefix="0" xfId="0">
      <alignment horizontal="center" vertical="center"/>
    </xf>
    <xf numFmtId="0" fontId="11" fillId="4" borderId="0" applyAlignment="1" pivotButton="0" quotePrefix="0" xfId="0">
      <alignment horizontal="center" vertical="center"/>
    </xf>
    <xf numFmtId="0" fontId="11" fillId="0" borderId="51" applyAlignment="1" pivotButton="0" quotePrefix="0" xfId="0">
      <alignment horizontal="center" vertical="center"/>
    </xf>
    <xf numFmtId="0" fontId="11" fillId="0" borderId="52" applyAlignment="1" pivotButton="0" quotePrefix="0" xfId="0">
      <alignment horizontal="center" vertical="center"/>
    </xf>
    <xf numFmtId="0" fontId="3" fillId="14" borderId="0" applyAlignment="1" pivotButton="0" quotePrefix="0" xfId="0">
      <alignment horizontal="left"/>
    </xf>
    <xf numFmtId="0" fontId="11" fillId="14" borderId="0" applyAlignment="1" pivotButton="0" quotePrefix="0" xfId="0">
      <alignment horizontal="left"/>
    </xf>
    <xf numFmtId="0" fontId="39" fillId="0" borderId="0" applyAlignment="1" pivotButton="0" quotePrefix="0" xfId="5">
      <alignment horizontal="left"/>
    </xf>
    <xf numFmtId="0" fontId="39" fillId="0" borderId="0" applyAlignment="1" pivotButton="0" quotePrefix="0" xfId="5">
      <alignment horizontal="left"/>
    </xf>
    <xf numFmtId="0" fontId="3" fillId="0" borderId="0" applyAlignment="1" pivotButton="0" quotePrefix="0" xfId="0">
      <alignment vertical="top" wrapText="1"/>
    </xf>
    <xf numFmtId="0" fontId="7" fillId="15" borderId="0" applyAlignment="1" pivotButton="0" quotePrefix="0" xfId="0">
      <alignment horizontal="left"/>
    </xf>
    <xf numFmtId="0" fontId="7" fillId="0" borderId="0" applyAlignment="1" pivotButton="0" quotePrefix="0" xfId="0">
      <alignment horizontal="left" vertical="center" wrapText="1"/>
    </xf>
    <xf numFmtId="0" fontId="3" fillId="0" borderId="0" applyAlignment="1" pivotButton="0" quotePrefix="0" xfId="0">
      <alignment horizontal="justify" vertical="center"/>
    </xf>
    <xf numFmtId="0" fontId="11" fillId="0" borderId="0" applyAlignment="1" pivotButton="0" quotePrefix="0" xfId="0">
      <alignment horizontal="left" vertical="center" wrapText="1"/>
    </xf>
    <xf numFmtId="0" fontId="12" fillId="0" borderId="0" applyAlignment="1" pivotButton="0" quotePrefix="1" xfId="0">
      <alignment horizontal="left"/>
    </xf>
    <xf numFmtId="0" fontId="2" fillId="4" borderId="0" pivotButton="0" quotePrefix="0" xfId="0"/>
    <xf numFmtId="0" fontId="7" fillId="15" borderId="13" applyAlignment="1" pivotButton="0" quotePrefix="0" xfId="0">
      <alignment horizontal="left"/>
    </xf>
    <xf numFmtId="0" fontId="23" fillId="0" borderId="0" applyAlignment="1" pivotButton="0" quotePrefix="0" xfId="0">
      <alignment horizontal="center" vertical="top" wrapText="1"/>
    </xf>
    <xf numFmtId="0" fontId="23" fillId="0" borderId="0" applyAlignment="1" pivotButton="0" quotePrefix="0" xfId="0">
      <alignment vertical="top" wrapText="1"/>
    </xf>
    <xf numFmtId="164" fontId="3" fillId="0" borderId="0" applyAlignment="1" applyProtection="1" pivotButton="0" quotePrefix="1" xfId="0">
      <alignment horizontal="left"/>
      <protection locked="0" hidden="0"/>
    </xf>
    <xf numFmtId="165" fontId="3" fillId="0" borderId="0" applyAlignment="1" applyProtection="1" pivotButton="0" quotePrefix="0" xfId="6">
      <alignment horizontal="left"/>
      <protection locked="0" hidden="0"/>
    </xf>
    <xf numFmtId="166" fontId="3" fillId="0" borderId="0" applyAlignment="1" applyProtection="1" pivotButton="0" quotePrefix="0" xfId="6">
      <alignment horizontal="left"/>
      <protection locked="0" hidden="0"/>
    </xf>
    <xf numFmtId="0" fontId="11"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protection locked="0" hidden="0"/>
    </xf>
    <xf numFmtId="0" fontId="11" fillId="0" borderId="0" applyAlignment="1" applyProtection="1" pivotButton="0" quotePrefix="1" xfId="0">
      <alignment horizontal="left" vertical="top" wrapText="1"/>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2" fontId="11" fillId="0" borderId="0" applyAlignment="1" applyProtection="1" pivotButton="0" quotePrefix="0" xfId="0">
      <alignment horizontal="right"/>
      <protection locked="0" hidden="0"/>
    </xf>
    <xf numFmtId="2" fontId="11" fillId="0" borderId="0" applyAlignment="1" applyProtection="1" pivotButton="0" quotePrefix="0" xfId="6">
      <alignment horizontal="right"/>
      <protection locked="0" hidden="0"/>
    </xf>
    <xf numFmtId="3" fontId="3" fillId="0" borderId="0" applyAlignment="1" applyProtection="1" pivotButton="0" quotePrefix="0" xfId="6">
      <alignment horizontal="left"/>
      <protection locked="0" hidden="0"/>
    </xf>
    <xf numFmtId="2" fontId="3" fillId="0" borderId="0" applyAlignment="1" applyProtection="1" pivotButton="0" quotePrefix="0" xfId="6">
      <alignment horizontal="left"/>
      <protection locked="0" hidden="0"/>
    </xf>
    <xf numFmtId="3" fontId="3" fillId="0" borderId="0" applyAlignment="1" applyProtection="1" pivotButton="0" quotePrefix="0" xfId="6">
      <alignment horizontal="right"/>
      <protection locked="0" hidden="0"/>
    </xf>
    <xf numFmtId="0" fontId="3" fillId="0" borderId="0" applyAlignment="1" applyProtection="1" pivotButton="0" quotePrefix="0" xfId="6">
      <alignment horizontal="left"/>
      <protection locked="0" hidden="0"/>
    </xf>
    <xf numFmtId="0" fontId="7" fillId="3" borderId="13" applyAlignment="1" pivotButton="0" quotePrefix="0" xfId="0">
      <alignment horizontal="left" vertical="top" wrapText="1"/>
    </xf>
    <xf numFmtId="0" fontId="3" fillId="0" borderId="13" applyAlignment="1" pivotButton="0" quotePrefix="0" xfId="0">
      <alignment horizontal="left" vertical="top" wrapText="1"/>
    </xf>
    <xf numFmtId="0" fontId="11" fillId="0" borderId="13" applyAlignment="1" pivotButton="0" quotePrefix="0" xfId="4">
      <alignment horizontal="left" vertical="top" wrapText="1"/>
    </xf>
    <xf numFmtId="0" fontId="3" fillId="4" borderId="0" applyAlignment="1" pivotButton="0" quotePrefix="0" xfId="0">
      <alignment horizontal="left" vertical="top"/>
    </xf>
    <xf numFmtId="0" fontId="23" fillId="0" borderId="30" applyAlignment="1" pivotButton="0" quotePrefix="0" xfId="0">
      <alignment horizontal="left" vertical="top"/>
    </xf>
    <xf numFmtId="0" fontId="3" fillId="0" borderId="2" applyAlignment="1" pivotButton="0" quotePrefix="0" xfId="0">
      <alignment horizontal="left" vertical="center"/>
    </xf>
    <xf numFmtId="0" fontId="3" fillId="0" borderId="32" applyAlignment="1" pivotButton="0" quotePrefix="0" xfId="0">
      <alignment horizontal="left" vertical="center" wrapText="1"/>
    </xf>
    <xf numFmtId="0" fontId="23" fillId="0" borderId="34" applyAlignment="1" pivotButton="0" quotePrefix="0" xfId="0">
      <alignment horizontal="left" vertical="top"/>
    </xf>
    <xf numFmtId="0" fontId="3" fillId="0" borderId="13" applyAlignment="1" pivotButton="0" quotePrefix="0" xfId="0">
      <alignment horizontal="left" vertical="center"/>
    </xf>
    <xf numFmtId="0" fontId="3" fillId="0" borderId="35" applyAlignment="1" pivotButton="0" quotePrefix="0" xfId="0">
      <alignment horizontal="left" vertical="center" wrapText="1"/>
    </xf>
    <xf numFmtId="0" fontId="40" fillId="0" borderId="34" applyAlignment="1" pivotButton="0" quotePrefix="0" xfId="0">
      <alignment horizontal="left" vertical="top"/>
    </xf>
    <xf numFmtId="0" fontId="41" fillId="0" borderId="13" applyAlignment="1" pivotButton="0" quotePrefix="0" xfId="0">
      <alignment horizontal="left" vertical="center"/>
    </xf>
    <xf numFmtId="0" fontId="41" fillId="0" borderId="35" applyAlignment="1" pivotButton="0" quotePrefix="0" xfId="0">
      <alignment horizontal="left" vertical="center" wrapText="1"/>
    </xf>
    <xf numFmtId="0" fontId="23" fillId="0" borderId="13" applyAlignment="1" pivotButton="0" quotePrefix="0" xfId="0">
      <alignment horizontal="left" vertical="top"/>
    </xf>
    <xf numFmtId="0" fontId="23" fillId="0" borderId="37" applyAlignment="1" pivotButton="0" quotePrefix="0" xfId="0">
      <alignment horizontal="left" vertical="top"/>
    </xf>
    <xf numFmtId="0" fontId="3" fillId="0" borderId="41" applyAlignment="1" pivotButton="0" quotePrefix="0" xfId="0">
      <alignment horizontal="left" vertical="center"/>
    </xf>
    <xf numFmtId="0" fontId="23" fillId="0" borderId="41" applyAlignment="1" pivotButton="0" quotePrefix="0" xfId="0">
      <alignment horizontal="left" vertical="top"/>
    </xf>
    <xf numFmtId="0" fontId="3" fillId="0" borderId="38" applyAlignment="1" pivotButton="0" quotePrefix="0" xfId="0">
      <alignment horizontal="left" vertical="center" wrapText="1"/>
    </xf>
    <xf numFmtId="0" fontId="3" fillId="0" borderId="45" applyAlignment="1" pivotButton="0" quotePrefix="0" xfId="0">
      <alignment horizontal="left" vertical="center"/>
    </xf>
    <xf numFmtId="0" fontId="2" fillId="0" borderId="45" applyAlignment="1" pivotButton="0" quotePrefix="0" xfId="0">
      <alignment horizontal="left" vertical="center"/>
    </xf>
    <xf numFmtId="0" fontId="2" fillId="0" borderId="13" applyAlignment="1" pivotButton="0" quotePrefix="0" xfId="0">
      <alignment horizontal="left" vertical="center"/>
    </xf>
    <xf numFmtId="0" fontId="2" fillId="0" borderId="41" applyAlignment="1" pivotButton="0" quotePrefix="0" xfId="0">
      <alignment horizontal="left" vertical="center"/>
    </xf>
    <xf numFmtId="0" fontId="11" fillId="0" borderId="45" applyAlignment="1" pivotButton="0" quotePrefix="0" xfId="0">
      <alignment vertical="center" wrapText="1"/>
    </xf>
    <xf numFmtId="0" fontId="12" fillId="0" borderId="45" applyAlignment="1" pivotButton="0" quotePrefix="0" xfId="0">
      <alignment vertical="center" wrapText="1"/>
    </xf>
    <xf numFmtId="0" fontId="11" fillId="0" borderId="13" applyAlignment="1" pivotButton="0" quotePrefix="0" xfId="0">
      <alignment vertical="center" wrapText="1"/>
    </xf>
    <xf numFmtId="0" fontId="12" fillId="0" borderId="13" applyAlignment="1" pivotButton="0" quotePrefix="0" xfId="0">
      <alignment vertical="center" wrapText="1"/>
    </xf>
    <xf numFmtId="0" fontId="11" fillId="0" borderId="41" applyAlignment="1" pivotButton="0" quotePrefix="0" xfId="0">
      <alignment vertical="center" wrapText="1"/>
    </xf>
    <xf numFmtId="0" fontId="12" fillId="0" borderId="41" applyAlignment="1" pivotButton="0" quotePrefix="0" xfId="0">
      <alignment vertical="center" wrapText="1"/>
    </xf>
    <xf numFmtId="0" fontId="12" fillId="0" borderId="13" applyAlignment="1" pivotButton="0" quotePrefix="0" xfId="0">
      <alignment horizontal="left" vertical="center" wrapText="1"/>
    </xf>
    <xf numFmtId="0" fontId="12" fillId="0" borderId="41" applyAlignment="1" pivotButton="0" quotePrefix="0" xfId="0">
      <alignment horizontal="left" vertical="center" wrapText="1"/>
    </xf>
    <xf numFmtId="0" fontId="26" fillId="0" borderId="0" applyAlignment="1" pivotButton="0" quotePrefix="0" xfId="0">
      <alignment horizontal="center" wrapText="1"/>
    </xf>
    <xf numFmtId="0" fontId="3" fillId="4" borderId="0" applyAlignment="1" pivotButton="0" quotePrefix="0" xfId="0">
      <alignment vertical="top" wrapText="1"/>
    </xf>
    <xf numFmtId="0" fontId="7" fillId="3" borderId="2" applyAlignment="1" pivotButton="0" quotePrefix="0" xfId="0">
      <alignment vertical="top" wrapText="1"/>
    </xf>
    <xf numFmtId="0" fontId="3" fillId="0" borderId="0" applyAlignment="1" pivotButton="0" quotePrefix="0" xfId="0">
      <alignment horizontal="left" vertical="center"/>
    </xf>
    <xf numFmtId="0" fontId="12" fillId="4" borderId="0" applyAlignment="1" pivotButton="0" quotePrefix="0" xfId="0">
      <alignment horizontal="left"/>
    </xf>
    <xf numFmtId="0" fontId="3" fillId="4" borderId="0" applyAlignment="1" pivotButton="0" quotePrefix="0" xfId="0">
      <alignment horizontal="left"/>
    </xf>
    <xf numFmtId="0" fontId="7" fillId="4" borderId="0" applyAlignment="1" pivotButton="0" quotePrefix="0" xfId="0">
      <alignment horizontal="left"/>
    </xf>
    <xf numFmtId="0" fontId="11" fillId="4" borderId="0" applyAlignment="1" pivotButton="0" quotePrefix="0" xfId="0">
      <alignment horizontal="left"/>
    </xf>
    <xf numFmtId="0" fontId="13" fillId="5" borderId="0" applyAlignment="1" pivotButton="0" quotePrefix="1" xfId="0">
      <alignment horizontal="left"/>
    </xf>
    <xf numFmtId="0" fontId="16" fillId="5" borderId="0" applyAlignment="1" pivotButton="0" quotePrefix="1" xfId="0">
      <alignment horizontal="left"/>
    </xf>
    <xf numFmtId="0" fontId="13" fillId="5" borderId="16" applyAlignment="1" pivotButton="0" quotePrefix="1" xfId="0">
      <alignment horizontal="left"/>
    </xf>
    <xf numFmtId="0" fontId="7" fillId="15" borderId="0" applyAlignment="1" pivotButton="0" quotePrefix="0" xfId="0">
      <alignment vertical="top"/>
    </xf>
    <xf numFmtId="1" fontId="6" fillId="15" borderId="0" applyAlignment="1" pivotButton="0" quotePrefix="0" xfId="0">
      <alignment horizontal="center" vertical="top"/>
    </xf>
    <xf numFmtId="0" fontId="6" fillId="15" borderId="0" applyAlignment="1" pivotButton="0" quotePrefix="0" xfId="0">
      <alignment vertical="top"/>
    </xf>
    <xf numFmtId="0" fontId="6" fillId="15" borderId="0" applyAlignment="1" pivotButton="0" quotePrefix="0" xfId="0">
      <alignment horizontal="center" vertical="top" wrapText="1"/>
    </xf>
    <xf numFmtId="0" fontId="24" fillId="15" borderId="0" applyAlignment="1" pivotButton="0" quotePrefix="0" xfId="0">
      <alignment vertical="top" wrapText="1"/>
    </xf>
    <xf numFmtId="0" fontId="6" fillId="15" borderId="0" applyAlignment="1" pivotButton="0" quotePrefix="0" xfId="0">
      <alignment vertical="top" wrapText="1"/>
    </xf>
    <xf numFmtId="3" fontId="3" fillId="0" borderId="0" applyProtection="1" pivotButton="0" quotePrefix="0" xfId="0">
      <protection locked="0" hidden="0"/>
    </xf>
    <xf numFmtId="3" fontId="3" fillId="0" borderId="0" applyAlignment="1" applyProtection="1" pivotButton="0" quotePrefix="0" xfId="0">
      <alignment horizontal="left"/>
      <protection locked="0" hidden="0"/>
    </xf>
    <xf numFmtId="0" fontId="3" fillId="16" borderId="0" applyAlignment="1" applyProtection="1" pivotButton="0" quotePrefix="0" xfId="0">
      <alignment horizontal="left"/>
      <protection locked="0" hidden="0"/>
    </xf>
    <xf numFmtId="0" fontId="43" fillId="0" borderId="0" applyAlignment="1" applyProtection="1" pivotButton="0" quotePrefix="0" xfId="0">
      <alignment horizontal="left"/>
      <protection locked="0" hidden="0"/>
    </xf>
    <xf numFmtId="0" fontId="12" fillId="17" borderId="13" applyAlignment="1" pivotButton="0" quotePrefix="0" xfId="0">
      <alignment horizontal="left" vertical="center" wrapText="1"/>
    </xf>
    <xf numFmtId="0" fontId="11" fillId="17" borderId="13" applyAlignment="1" pivotButton="0" quotePrefix="0" xfId="0">
      <alignment horizontal="left" vertical="center" wrapText="1"/>
    </xf>
    <xf numFmtId="0" fontId="12" fillId="17" borderId="45" applyAlignment="1" pivotButton="0" quotePrefix="0" xfId="0">
      <alignment horizontal="left" vertical="center" wrapText="1"/>
    </xf>
    <xf numFmtId="0" fontId="11" fillId="17" borderId="45" applyAlignment="1" pivotButton="0" quotePrefix="0" xfId="0">
      <alignment horizontal="left" vertical="center" wrapText="1"/>
    </xf>
    <xf numFmtId="3" fontId="3" fillId="0" borderId="0" applyAlignment="1" pivotButton="0" quotePrefix="0" xfId="0">
      <alignment horizontal="left"/>
    </xf>
    <xf numFmtId="4" fontId="35" fillId="0" borderId="0" applyAlignment="1" applyProtection="1" pivotButton="0" quotePrefix="0" xfId="6">
      <alignment horizontal="right"/>
      <protection locked="0" hidden="0"/>
    </xf>
    <xf numFmtId="4" fontId="35" fillId="0" borderId="0" applyAlignment="1" applyProtection="1" pivotButton="0" quotePrefix="0" xfId="6">
      <alignment horizontal="left"/>
      <protection locked="0" hidden="0"/>
    </xf>
    <xf numFmtId="4" fontId="35" fillId="0" borderId="0" applyAlignment="1" applyProtection="1" pivotButton="0" quotePrefix="0" xfId="0">
      <alignment horizontal="right"/>
      <protection locked="0" hidden="0"/>
    </xf>
    <xf numFmtId="4" fontId="35" fillId="0" borderId="0" applyAlignment="1" applyProtection="1" pivotButton="0" quotePrefix="0" xfId="6">
      <alignment horizontal="right"/>
      <protection locked="0" hidden="0"/>
    </xf>
    <xf numFmtId="0" fontId="44" fillId="18" borderId="0" applyAlignment="1" applyProtection="1" pivotButton="0" quotePrefix="0" xfId="0">
      <alignment horizontal="left"/>
      <protection locked="0" hidden="0"/>
    </xf>
    <xf numFmtId="165" fontId="3" fillId="0" borderId="0" applyAlignment="1" applyProtection="1" pivotButton="0" quotePrefix="0" xfId="6">
      <alignment horizontal="left"/>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3" fontId="3" fillId="0" borderId="0" applyAlignment="1" applyProtection="1" pivotButton="0" quotePrefix="0" xfId="6">
      <alignment horizontal="right"/>
      <protection locked="0" hidden="0"/>
    </xf>
    <xf numFmtId="166" fontId="3" fillId="0" borderId="0" applyAlignment="1" applyProtection="1" pivotButton="0" quotePrefix="0" xfId="6">
      <alignment horizontal="left"/>
      <protection locked="0" hidden="0"/>
    </xf>
    <xf numFmtId="0" fontId="46" fillId="20" borderId="54" applyAlignment="1" pivotButton="0" quotePrefix="0" xfId="0">
      <alignment horizontal="left" vertical="center" wrapText="1" readingOrder="1"/>
    </xf>
    <xf numFmtId="0" fontId="46" fillId="20" borderId="55" applyAlignment="1" pivotButton="0" quotePrefix="0" xfId="0">
      <alignment horizontal="left" vertical="center" wrapText="1" readingOrder="1"/>
    </xf>
    <xf numFmtId="0" fontId="47" fillId="20" borderId="55" applyAlignment="1" pivotButton="0" quotePrefix="0" xfId="0">
      <alignment horizontal="left" vertical="center" wrapText="1" readingOrder="1"/>
    </xf>
    <xf numFmtId="0" fontId="3" fillId="4" borderId="0" applyAlignment="1" applyProtection="1" pivotButton="0" quotePrefix="0" xfId="0">
      <alignment horizontal="left"/>
      <protection locked="0" hidden="0"/>
    </xf>
    <xf numFmtId="0" fontId="49" fillId="19" borderId="54" applyAlignment="1" pivotButton="0" quotePrefix="0" xfId="0">
      <alignment vertical="center" wrapText="1" readingOrder="1"/>
    </xf>
    <xf numFmtId="0" fontId="52" fillId="19" borderId="54" applyAlignment="1" pivotButton="0" quotePrefix="0" xfId="0">
      <alignment horizontal="center" vertical="center" wrapText="1" readingOrder="1"/>
    </xf>
    <xf numFmtId="0" fontId="52" fillId="19" borderId="54" applyAlignment="1" pivotButton="0" quotePrefix="0" xfId="0">
      <alignment vertical="center" wrapText="1" readingOrder="1"/>
    </xf>
    <xf numFmtId="0" fontId="50" fillId="19" borderId="54" applyAlignment="1" pivotButton="0" quotePrefix="0" xfId="0">
      <alignment horizontal="center" vertical="center" wrapText="1" readingOrder="1"/>
    </xf>
    <xf numFmtId="0" fontId="52" fillId="19" borderId="60" applyAlignment="1" pivotButton="0" quotePrefix="0" xfId="0">
      <alignment horizontal="center" vertical="center" wrapText="1" readingOrder="1"/>
    </xf>
    <xf numFmtId="0" fontId="52" fillId="19" borderId="60" applyAlignment="1" pivotButton="0" quotePrefix="0" xfId="0">
      <alignment vertical="center" wrapText="1" readingOrder="1"/>
    </xf>
    <xf numFmtId="0" fontId="53" fillId="20" borderId="55" applyAlignment="1" pivotButton="0" quotePrefix="0" xfId="0">
      <alignment horizontal="center" vertical="center" wrapText="1" readingOrder="1"/>
    </xf>
    <xf numFmtId="0" fontId="51" fillId="4" borderId="0" pivotButton="0" quotePrefix="0" xfId="0"/>
    <xf numFmtId="167" fontId="0" fillId="4" borderId="0" pivotButton="0" quotePrefix="0" xfId="8"/>
    <xf numFmtId="9" fontId="0" fillId="4" borderId="0" pivotButton="0" quotePrefix="0" xfId="0"/>
    <xf numFmtId="168" fontId="0" fillId="4" borderId="0" pivotButton="0" quotePrefix="0" xfId="8"/>
    <xf numFmtId="0" fontId="0" fillId="4" borderId="0" applyAlignment="1" pivotButton="0" quotePrefix="0" xfId="0">
      <alignment wrapText="1"/>
    </xf>
    <xf numFmtId="168" fontId="0" fillId="4" borderId="0" pivotButton="0" quotePrefix="0" xfId="0"/>
    <xf numFmtId="167" fontId="0" fillId="4" borderId="62" pivotButton="0" quotePrefix="0" xfId="8"/>
    <xf numFmtId="9" fontId="0" fillId="4" borderId="62" pivotButton="0" quotePrefix="0" xfId="0"/>
    <xf numFmtId="168" fontId="0" fillId="4" borderId="62" pivotButton="0" quotePrefix="0" xfId="8"/>
    <xf numFmtId="0" fontId="0" fillId="4" borderId="62" pivotButton="0" quotePrefix="0" xfId="0"/>
    <xf numFmtId="0" fontId="36" fillId="25" borderId="0" pivotButton="0" quotePrefix="0" xfId="0"/>
    <xf numFmtId="168" fontId="36" fillId="25" borderId="0" pivotButton="0" quotePrefix="0" xfId="0"/>
    <xf numFmtId="0" fontId="60" fillId="0" borderId="0" applyAlignment="1" pivotButton="0" quotePrefix="0" xfId="0">
      <alignment vertical="center" wrapText="1"/>
    </xf>
    <xf numFmtId="3" fontId="45" fillId="0" borderId="0" applyAlignment="1" applyProtection="1" pivotButton="0" quotePrefix="0" xfId="0">
      <alignment horizontal="left"/>
      <protection locked="0" hidden="0"/>
    </xf>
    <xf numFmtId="4" fontId="3" fillId="0" borderId="0" applyAlignment="1" applyProtection="1" pivotButton="0" quotePrefix="0" xfId="0">
      <alignment horizontal="right"/>
      <protection locked="0" hidden="0"/>
    </xf>
    <xf numFmtId="4" fontId="3" fillId="16" borderId="0" applyAlignment="1" applyProtection="1" pivotButton="0" quotePrefix="0" xfId="0">
      <alignment horizontal="right"/>
      <protection locked="0" hidden="0"/>
    </xf>
    <xf numFmtId="4" fontId="45" fillId="16" borderId="0" applyAlignment="1" applyProtection="1" pivotButton="0" quotePrefix="0" xfId="0">
      <alignment horizontal="right"/>
      <protection locked="0" hidden="0"/>
    </xf>
    <xf numFmtId="4" fontId="3" fillId="0" borderId="0" applyAlignment="1" applyProtection="1" pivotButton="0" quotePrefix="0" xfId="6">
      <alignment horizontal="right"/>
      <protection locked="0" hidden="0"/>
    </xf>
    <xf numFmtId="0" fontId="61" fillId="20" borderId="54" applyAlignment="1" pivotButton="0" quotePrefix="0" xfId="0">
      <alignment horizontal="left" vertical="center" wrapText="1" readingOrder="1"/>
    </xf>
    <xf numFmtId="0" fontId="62" fillId="19" borderId="54" applyAlignment="1" pivotButton="0" quotePrefix="0" xfId="0">
      <alignment vertical="center" wrapText="1" readingOrder="1"/>
    </xf>
    <xf numFmtId="0" fontId="63" fillId="20" borderId="55" applyAlignment="1" pivotButton="0" quotePrefix="0" xfId="0">
      <alignment horizontal="left" vertical="center" wrapText="1" readingOrder="1"/>
    </xf>
    <xf numFmtId="0" fontId="65" fillId="20" borderId="55" applyAlignment="1" pivotButton="0" quotePrefix="0" xfId="0">
      <alignment horizontal="left" vertical="center" wrapText="1" readingOrder="1"/>
    </xf>
    <xf numFmtId="0" fontId="0" fillId="20" borderId="64" pivotButton="0" quotePrefix="0" xfId="0"/>
    <xf numFmtId="0" fontId="0" fillId="20" borderId="56" pivotButton="0" quotePrefix="0" xfId="0"/>
    <xf numFmtId="0" fontId="64" fillId="20" borderId="64" applyAlignment="1" pivotButton="0" quotePrefix="0" xfId="0">
      <alignment horizontal="left" vertical="center" wrapText="1" readingOrder="1"/>
    </xf>
    <xf numFmtId="0" fontId="66" fillId="20" borderId="64" applyAlignment="1" pivotButton="0" quotePrefix="0" xfId="0">
      <alignment horizontal="left" vertical="center" wrapText="1" readingOrder="1"/>
    </xf>
    <xf numFmtId="2" fontId="0" fillId="0" borderId="0" pivotButton="0" quotePrefix="0" xfId="0"/>
    <xf numFmtId="0" fontId="51" fillId="27" borderId="65" applyAlignment="1" pivotButton="0" quotePrefix="0" xfId="0">
      <alignment vertical="center"/>
    </xf>
    <xf numFmtId="0" fontId="0" fillId="26" borderId="66" pivotButton="0" quotePrefix="0" xfId="0"/>
    <xf numFmtId="3" fontId="3" fillId="0" borderId="0" applyAlignment="1" applyProtection="1" pivotButton="0" quotePrefix="0" xfId="0">
      <alignment horizontal="right"/>
      <protection locked="0" hidden="0"/>
    </xf>
    <xf numFmtId="3" fontId="3" fillId="0" borderId="0" applyAlignment="1" pivotButton="0" quotePrefix="0" xfId="0">
      <alignment horizontal="right"/>
    </xf>
    <xf numFmtId="3" fontId="3" fillId="0" borderId="0" applyAlignment="1" applyProtection="1" pivotButton="0" quotePrefix="0" xfId="0">
      <alignment horizontal="right" vertical="top" wrapText="1"/>
      <protection locked="0" hidden="0"/>
    </xf>
    <xf numFmtId="0" fontId="11" fillId="0" borderId="0" applyAlignment="1" applyProtection="1" pivotButton="0" quotePrefix="0" xfId="0">
      <alignment horizontal="left" vertical="top"/>
      <protection locked="0" hidden="0"/>
    </xf>
    <xf numFmtId="0" fontId="14" fillId="0" borderId="0" applyAlignment="1" applyProtection="1" pivotButton="0" quotePrefix="0" xfId="1">
      <alignment horizontal="left"/>
      <protection locked="0" hidden="0"/>
    </xf>
    <xf numFmtId="0" fontId="16" fillId="0" borderId="0" applyAlignment="1" pivotButton="0" quotePrefix="1" xfId="0">
      <alignment horizontal="left"/>
    </xf>
    <xf numFmtId="0" fontId="2" fillId="0" borderId="0" applyAlignment="1" applyProtection="1" pivotButton="0" quotePrefix="0" xfId="0">
      <alignment horizontal="left"/>
      <protection locked="0" hidden="0"/>
    </xf>
    <xf numFmtId="4" fontId="2" fillId="0" borderId="0" applyAlignment="1" applyProtection="1" pivotButton="0" quotePrefix="0" xfId="6">
      <alignment horizontal="left"/>
      <protection locked="0" hidden="0"/>
    </xf>
    <xf numFmtId="0" fontId="2" fillId="0" borderId="0" applyAlignment="1" applyProtection="1" pivotButton="0" quotePrefix="1" xfId="0">
      <alignment horizontal="left"/>
      <protection locked="0" hidden="0"/>
    </xf>
    <xf numFmtId="0" fontId="67" fillId="0" borderId="0" applyAlignment="1" applyProtection="1" pivotButton="0" quotePrefix="0" xfId="0">
      <alignment horizontal="right"/>
      <protection locked="0" hidden="0"/>
    </xf>
    <xf numFmtId="2" fontId="67" fillId="0" borderId="0" applyAlignment="1" applyProtection="1" pivotButton="0" quotePrefix="0" xfId="6">
      <alignment horizontal="right"/>
      <protection locked="0" hidden="0"/>
    </xf>
    <xf numFmtId="4" fontId="68" fillId="0" borderId="0" applyAlignment="1" applyProtection="1" pivotButton="0" quotePrefix="0" xfId="6">
      <alignment horizontal="right"/>
      <protection locked="0" hidden="0"/>
    </xf>
    <xf numFmtId="2" fontId="3" fillId="0" borderId="0" applyAlignment="1" applyProtection="1" pivotButton="0" quotePrefix="0" xfId="0">
      <alignment horizontal="right"/>
      <protection locked="0" hidden="0"/>
    </xf>
    <xf numFmtId="2" fontId="3" fillId="0" borderId="0" applyAlignment="1" pivotButton="0" quotePrefix="0" xfId="0">
      <alignment horizontal="right"/>
    </xf>
    <xf numFmtId="0" fontId="3" fillId="0" borderId="0" applyAlignment="1" pivotButton="0" quotePrefix="0" xfId="0">
      <alignment horizontal="right"/>
    </xf>
    <xf numFmtId="0" fontId="36" fillId="28" borderId="13" applyAlignment="1" pivotButton="0" quotePrefix="0" xfId="0">
      <alignment horizontal="center"/>
    </xf>
    <xf numFmtId="0" fontId="69" fillId="28" borderId="13" applyAlignment="1" pivotButton="0" quotePrefix="0" xfId="0">
      <alignment horizontal="left" vertical="center" wrapText="1" readingOrder="1"/>
    </xf>
    <xf numFmtId="0" fontId="48" fillId="28" borderId="0" pivotButton="0" quotePrefix="0" xfId="0"/>
    <xf numFmtId="0" fontId="70" fillId="4" borderId="0" pivotButton="0" quotePrefix="0" xfId="0"/>
    <xf numFmtId="0" fontId="70" fillId="4" borderId="62" pivotButton="0" quotePrefix="0" xfId="0"/>
    <xf numFmtId="0" fontId="36" fillId="28" borderId="0" pivotButton="0" quotePrefix="0" xfId="0"/>
    <xf numFmtId="14" fontId="54" fillId="8" borderId="55" applyAlignment="1" pivotButton="0" quotePrefix="0" xfId="0">
      <alignment horizontal="center" vertical="center" wrapText="1" readingOrder="1"/>
    </xf>
    <xf numFmtId="0" fontId="54" fillId="8" borderId="54" applyAlignment="1" pivotButton="0" quotePrefix="0" xfId="0">
      <alignment horizontal="center" vertical="center" wrapText="1" readingOrder="1"/>
    </xf>
    <xf numFmtId="0" fontId="54" fillId="8" borderId="61" applyAlignment="1" pivotButton="0" quotePrefix="0" xfId="0">
      <alignment horizontal="center" vertical="center" wrapText="1" readingOrder="1"/>
    </xf>
    <xf numFmtId="0" fontId="54" fillId="8" borderId="55" applyAlignment="1" pivotButton="0" quotePrefix="0" xfId="0">
      <alignment horizontal="center" vertical="center" wrapText="1" readingOrder="1"/>
    </xf>
    <xf numFmtId="0" fontId="47" fillId="8" borderId="55" applyAlignment="1" pivotButton="0" quotePrefix="0" xfId="0">
      <alignment horizontal="center" vertical="center" wrapText="1" readingOrder="1"/>
    </xf>
    <xf numFmtId="0" fontId="52" fillId="8" borderId="60" applyAlignment="1" pivotButton="0" quotePrefix="0" xfId="0">
      <alignment horizontal="center" vertical="center" wrapText="1" readingOrder="1"/>
    </xf>
    <xf numFmtId="14" fontId="47" fillId="8" borderId="55" applyAlignment="1" pivotButton="0" quotePrefix="0" xfId="0">
      <alignment horizontal="center" vertical="center" wrapText="1" readingOrder="1"/>
    </xf>
    <xf numFmtId="0" fontId="58" fillId="8" borderId="54" applyAlignment="1" pivotButton="0" quotePrefix="0" xfId="0">
      <alignment horizontal="center" vertical="center" wrapText="1" readingOrder="1"/>
    </xf>
    <xf numFmtId="0" fontId="58" fillId="8" borderId="55" applyAlignment="1" pivotButton="0" quotePrefix="0" xfId="0">
      <alignment horizontal="center" vertical="center" wrapText="1" readingOrder="1"/>
    </xf>
    <xf numFmtId="0" fontId="47" fillId="8" borderId="54" applyAlignment="1" pivotButton="0" quotePrefix="0" xfId="0">
      <alignment horizontal="center" vertical="center" wrapText="1" readingOrder="1"/>
    </xf>
    <xf numFmtId="14" fontId="58" fillId="8" borderId="55" applyAlignment="1" pivotButton="0" quotePrefix="0" xfId="0">
      <alignment horizontal="center" vertical="center" wrapText="1" readingOrder="1"/>
    </xf>
    <xf numFmtId="14" fontId="54" fillId="8" borderId="54" applyAlignment="1" pivotButton="0" quotePrefix="0" xfId="0">
      <alignment horizontal="center" vertical="center" wrapText="1" readingOrder="1"/>
    </xf>
    <xf numFmtId="14" fontId="47" fillId="8" borderId="54" applyAlignment="1" pivotButton="0" quotePrefix="0" xfId="0">
      <alignment horizontal="center" vertical="center" wrapText="1" readingOrder="1"/>
    </xf>
    <xf numFmtId="14" fontId="54" fillId="8" borderId="60" applyAlignment="1" pivotButton="0" quotePrefix="0" xfId="0">
      <alignment horizontal="center" vertical="center" wrapText="1" readingOrder="1"/>
    </xf>
    <xf numFmtId="14" fontId="58" fillId="8" borderId="54" applyAlignment="1" pivotButton="0" quotePrefix="0" xfId="0">
      <alignment horizontal="center" vertical="center" wrapText="1" readingOrder="1"/>
    </xf>
    <xf numFmtId="0" fontId="54" fillId="8" borderId="60" applyAlignment="1" pivotButton="0" quotePrefix="0" xfId="0">
      <alignment horizontal="center" vertical="center" wrapText="1" readingOrder="1"/>
    </xf>
    <xf numFmtId="4" fontId="3" fillId="0" borderId="0" applyAlignment="1" applyProtection="1" pivotButton="0" quotePrefix="0" xfId="6">
      <alignment horizontal="left"/>
      <protection locked="0" hidden="0"/>
    </xf>
    <xf numFmtId="4" fontId="3" fillId="16" borderId="0" applyAlignment="1" applyProtection="1" pivotButton="0" quotePrefix="0" xfId="6">
      <alignment horizontal="right"/>
      <protection locked="0" hidden="0"/>
    </xf>
    <xf numFmtId="4" fontId="3" fillId="4" borderId="0" applyAlignment="1" applyProtection="1" pivotButton="0" quotePrefix="0" xfId="6">
      <alignment horizontal="right"/>
      <protection locked="0" hidden="0"/>
    </xf>
    <xf numFmtId="4" fontId="68" fillId="4" borderId="0" applyAlignment="1" applyProtection="1" pivotButton="0" quotePrefix="0" xfId="0">
      <alignment horizontal="right"/>
      <protection locked="0" hidden="0"/>
    </xf>
    <xf numFmtId="4" fontId="2" fillId="4" borderId="0" applyAlignment="1" applyProtection="1" pivotButton="0" quotePrefix="0" xfId="6">
      <alignment horizontal="right"/>
      <protection locked="0" hidden="0"/>
    </xf>
    <xf numFmtId="4" fontId="3" fillId="0" borderId="0" applyAlignment="1" applyProtection="1" pivotButton="0" quotePrefix="1" xfId="6">
      <alignment horizontal="left"/>
      <protection locked="0" hidden="0"/>
    </xf>
    <xf numFmtId="4" fontId="3" fillId="0" borderId="0" applyAlignment="1" applyProtection="1" pivotButton="0" quotePrefix="1" xfId="0">
      <alignment horizontal="left"/>
      <protection locked="0" hidden="0"/>
    </xf>
    <xf numFmtId="4" fontId="68" fillId="0" borderId="0" applyAlignment="1" applyProtection="1" pivotButton="0" quotePrefix="0" xfId="6">
      <alignment horizontal="right"/>
      <protection locked="0" hidden="0"/>
    </xf>
    <xf numFmtId="0" fontId="71" fillId="0" borderId="0" applyAlignment="1" pivotButton="0" quotePrefix="0" xfId="0">
      <alignment horizontal="left"/>
    </xf>
    <xf numFmtId="4" fontId="3" fillId="0" borderId="0" applyProtection="1" pivotButton="0" quotePrefix="0" xfId="0">
      <protection locked="0" hidden="0"/>
    </xf>
    <xf numFmtId="0" fontId="44" fillId="0" borderId="0" applyAlignment="1" applyProtection="1" pivotButton="0" quotePrefix="0" xfId="0">
      <alignment horizontal="left"/>
      <protection locked="0" hidden="0"/>
    </xf>
    <xf numFmtId="4" fontId="3" fillId="0" borderId="0" applyAlignment="1" applyProtection="1" pivotButton="0" quotePrefix="0" xfId="6">
      <alignment horizontal="right"/>
      <protection locked="0" hidden="0"/>
    </xf>
    <xf numFmtId="4" fontId="2" fillId="0" borderId="0" applyAlignment="1" applyProtection="1" pivotButton="0" quotePrefix="0" xfId="6">
      <alignment horizontal="right"/>
      <protection locked="0" hidden="0"/>
    </xf>
    <xf numFmtId="4" fontId="68" fillId="0" borderId="0" applyAlignment="1" applyProtection="1" pivotButton="0" quotePrefix="0" xfId="0">
      <alignment horizontal="right"/>
      <protection locked="0" hidden="0"/>
    </xf>
    <xf numFmtId="0" fontId="54" fillId="29" borderId="55" applyAlignment="1" pivotButton="0" quotePrefix="0" xfId="0">
      <alignment horizontal="center" vertical="center" wrapText="1" readingOrder="1"/>
    </xf>
    <xf numFmtId="0" fontId="47" fillId="29" borderId="54" applyAlignment="1" pivotButton="0" quotePrefix="0" xfId="0">
      <alignment horizontal="center" vertical="center" wrapText="1" readingOrder="1"/>
    </xf>
    <xf numFmtId="0" fontId="47" fillId="29" borderId="55" applyAlignment="1" pivotButton="0" quotePrefix="0" xfId="0">
      <alignment horizontal="center" vertical="center" wrapText="1" readingOrder="1"/>
    </xf>
    <xf numFmtId="0" fontId="54" fillId="29" borderId="54" applyAlignment="1" pivotButton="0" quotePrefix="0" xfId="0">
      <alignment horizontal="center" vertical="center" wrapText="1" readingOrder="1"/>
    </xf>
    <xf numFmtId="0" fontId="54" fillId="29" borderId="55" applyAlignment="1" pivotButton="0" quotePrefix="1" xfId="0">
      <alignment horizontal="center" vertical="center" readingOrder="1"/>
    </xf>
    <xf numFmtId="0" fontId="36" fillId="25" borderId="0" applyAlignment="1" pivotButton="0" quotePrefix="0" xfId="0">
      <alignment horizontal="right"/>
    </xf>
    <xf numFmtId="14" fontId="59" fillId="8" borderId="55" applyAlignment="1" pivotButton="0" quotePrefix="0" xfId="0">
      <alignment horizontal="center" vertical="center" wrapText="1" readingOrder="1"/>
    </xf>
    <xf numFmtId="0" fontId="61" fillId="20" borderId="55" applyAlignment="1" pivotButton="0" quotePrefix="0" xfId="0">
      <alignment horizontal="left" vertical="center" wrapText="1" readingOrder="1"/>
    </xf>
    <xf numFmtId="0" fontId="54" fillId="14" borderId="55" applyAlignment="1" pivotButton="0" quotePrefix="0" xfId="0">
      <alignment horizontal="center" vertical="center" wrapText="1" readingOrder="1"/>
    </xf>
    <xf numFmtId="0" fontId="0" fillId="0" borderId="62" pivotButton="0" quotePrefix="0" xfId="0"/>
    <xf numFmtId="0" fontId="54" fillId="30" borderId="55" applyAlignment="1" pivotButton="0" quotePrefix="0" xfId="0">
      <alignment horizontal="center" vertical="center" wrapText="1" readingOrder="1"/>
    </xf>
    <xf numFmtId="0" fontId="3" fillId="17" borderId="0" applyAlignment="1" applyProtection="1" pivotButton="0" quotePrefix="0" xfId="0">
      <alignment horizontal="left"/>
      <protection locked="0" hidden="0"/>
    </xf>
    <xf numFmtId="0" fontId="72" fillId="0" borderId="0" pivotButton="0" quotePrefix="0" xfId="0"/>
    <xf numFmtId="4" fontId="3" fillId="17" borderId="0" applyAlignment="1" applyProtection="1" pivotButton="0" quotePrefix="0" xfId="0">
      <alignment horizontal="right"/>
      <protection locked="0" hidden="0"/>
    </xf>
    <xf numFmtId="0" fontId="48" fillId="31" borderId="0" pivotButton="0" quotePrefix="0" xfId="0"/>
    <xf numFmtId="0" fontId="36" fillId="31" borderId="0" pivotButton="0" quotePrefix="0" xfId="0"/>
    <xf numFmtId="0" fontId="0" fillId="0" borderId="0" applyAlignment="1" pivotButton="0" quotePrefix="0" xfId="0">
      <alignment horizontal="center"/>
    </xf>
    <xf numFmtId="0" fontId="59" fillId="0" borderId="13" applyAlignment="1" pivotButton="0" quotePrefix="0" xfId="0">
      <alignment horizontal="left" vertical="center" wrapText="1" readingOrder="1"/>
    </xf>
    <xf numFmtId="0" fontId="51" fillId="0" borderId="13" applyAlignment="1" pivotButton="0" quotePrefix="0" xfId="0">
      <alignment horizontal="center"/>
    </xf>
    <xf numFmtId="0" fontId="0" fillId="0" borderId="13" pivotButton="0" quotePrefix="0" xfId="0"/>
    <xf numFmtId="0" fontId="0" fillId="0" borderId="13" applyAlignment="1" pivotButton="0" quotePrefix="0" xfId="0">
      <alignment horizontal="center"/>
    </xf>
    <xf numFmtId="0" fontId="36" fillId="32" borderId="13" applyAlignment="1" pivotButton="0" quotePrefix="0" xfId="0">
      <alignment horizontal="center"/>
    </xf>
    <xf numFmtId="0" fontId="51" fillId="0" borderId="0" pivotButton="0" quotePrefix="0" xfId="0"/>
    <xf numFmtId="0" fontId="0" fillId="33" borderId="13" applyAlignment="1" pivotButton="0" quotePrefix="0" xfId="0">
      <alignment horizontal="center"/>
    </xf>
    <xf numFmtId="0" fontId="0" fillId="0" borderId="0" pivotButton="0" quotePrefix="1" xfId="0"/>
    <xf numFmtId="0" fontId="59" fillId="8" borderId="55" applyAlignment="1" pivotButton="0" quotePrefix="0" xfId="0">
      <alignment horizontal="center" vertical="center" wrapText="1" readingOrder="1"/>
    </xf>
    <xf numFmtId="0" fontId="54" fillId="8" borderId="0" applyAlignment="1" pivotButton="0" quotePrefix="0" xfId="0">
      <alignment horizontal="center" vertical="center" wrapText="1" readingOrder="1"/>
    </xf>
    <xf numFmtId="0" fontId="0" fillId="26" borderId="0" pivotButton="0" quotePrefix="0" xfId="0"/>
    <xf numFmtId="0" fontId="56" fillId="19" borderId="63" applyAlignment="1" pivotButton="0" quotePrefix="0" xfId="0">
      <alignment horizontal="center" vertical="center" wrapText="1" readingOrder="1"/>
    </xf>
    <xf numFmtId="0" fontId="56" fillId="19" borderId="0" applyAlignment="1" pivotButton="0" quotePrefix="0" xfId="0">
      <alignment horizontal="center" vertical="center" wrapText="1" readingOrder="1"/>
    </xf>
    <xf numFmtId="0" fontId="50" fillId="19" borderId="57" applyAlignment="1" pivotButton="0" quotePrefix="0" xfId="0">
      <alignment horizontal="center" vertical="center" wrapText="1" readingOrder="1"/>
    </xf>
    <xf numFmtId="0" fontId="50" fillId="19" borderId="58" applyAlignment="1" pivotButton="0" quotePrefix="0" xfId="0">
      <alignment horizontal="center" vertical="center" wrapText="1" readingOrder="1"/>
    </xf>
    <xf numFmtId="0" fontId="50" fillId="19" borderId="59" applyAlignment="1" pivotButton="0" quotePrefix="0" xfId="0">
      <alignment horizontal="center" vertical="center" wrapText="1" readingOrder="1"/>
    </xf>
    <xf numFmtId="0" fontId="57" fillId="24" borderId="0" applyAlignment="1" pivotButton="0" quotePrefix="0" xfId="0">
      <alignment horizontal="center"/>
    </xf>
    <xf numFmtId="0" fontId="55" fillId="21" borderId="0" applyAlignment="1" pivotButton="0" quotePrefix="0" xfId="0">
      <alignment horizontal="center" vertical="center" wrapText="1" readingOrder="1"/>
    </xf>
    <xf numFmtId="0" fontId="55" fillId="22" borderId="0" applyAlignment="1" pivotButton="0" quotePrefix="0" xfId="0">
      <alignment horizontal="center" vertical="center" wrapText="1" readingOrder="1"/>
    </xf>
    <xf numFmtId="0" fontId="46" fillId="16" borderId="0" applyAlignment="1" pivotButton="0" quotePrefix="0" xfId="0">
      <alignment horizontal="center" vertical="center" wrapText="1" readingOrder="1"/>
    </xf>
    <xf numFmtId="0" fontId="46" fillId="29" borderId="0" applyAlignment="1" pivotButton="0" quotePrefix="0" xfId="0">
      <alignment horizontal="center" vertical="center" wrapText="1" readingOrder="1"/>
    </xf>
    <xf numFmtId="0" fontId="46" fillId="23" borderId="0" applyAlignment="1" pivotButton="0" quotePrefix="0" xfId="0">
      <alignment horizontal="center" vertical="center" wrapText="1" readingOrder="1"/>
    </xf>
    <xf numFmtId="0" fontId="55" fillId="18" borderId="0" applyAlignment="1" pivotButton="0" quotePrefix="0" xfId="0">
      <alignment horizontal="center" vertical="center" wrapText="1" readingOrder="1"/>
    </xf>
    <xf numFmtId="0" fontId="18" fillId="3" borderId="17" applyAlignment="1" pivotButton="0" quotePrefix="0" xfId="0">
      <alignment horizontal="center" vertical="center" wrapText="1"/>
    </xf>
    <xf numFmtId="0" fontId="18" fillId="3" borderId="18" applyAlignment="1" pivotButton="0" quotePrefix="0" xfId="0">
      <alignment horizontal="center" vertical="center" wrapText="1"/>
    </xf>
    <xf numFmtId="0" fontId="18" fillId="3" borderId="19" applyAlignment="1" pivotButton="0" quotePrefix="0" xfId="0">
      <alignment horizontal="center" vertical="center" wrapText="1"/>
    </xf>
    <xf numFmtId="0" fontId="7" fillId="4" borderId="21" applyAlignment="1" pivotButton="0" quotePrefix="0" xfId="0">
      <alignment horizontal="center" wrapText="1"/>
    </xf>
    <xf numFmtId="0" fontId="7" fillId="4" borderId="29" applyAlignment="1" pivotButton="0" quotePrefix="0" xfId="0">
      <alignment horizontal="center" wrapText="1"/>
    </xf>
    <xf numFmtId="0" fontId="7" fillId="4" borderId="39" applyAlignment="1" pivotButton="0" quotePrefix="0" xfId="0">
      <alignment horizontal="center" wrapText="1"/>
    </xf>
    <xf numFmtId="0" fontId="36" fillId="3" borderId="48" applyAlignment="1" pivotButton="0" quotePrefix="0" xfId="0">
      <alignment horizontal="center" vertical="center"/>
    </xf>
    <xf numFmtId="0" fontId="36" fillId="3" borderId="49" applyAlignment="1" pivotButton="0" quotePrefix="0" xfId="0">
      <alignment horizontal="center" vertical="center"/>
    </xf>
    <xf numFmtId="0" fontId="7" fillId="3" borderId="13" applyAlignment="1" pivotButton="0" quotePrefix="0" xfId="0">
      <alignment horizontal="center"/>
    </xf>
    <xf numFmtId="0" fontId="7" fillId="3" borderId="0" applyAlignment="1" pivotButton="0" quotePrefix="0" xfId="0">
      <alignment horizontal="center" wrapText="1"/>
    </xf>
    <xf numFmtId="0" fontId="7" fillId="3" borderId="43" applyAlignment="1" pivotButton="0" quotePrefix="0" xfId="0">
      <alignment horizontal="center" wrapText="1"/>
    </xf>
    <xf numFmtId="0" fontId="7" fillId="3" borderId="31" applyAlignment="1" pivotButton="0" quotePrefix="0" xfId="4">
      <alignment horizontal="center" wrapText="1"/>
    </xf>
    <xf numFmtId="0" fontId="7" fillId="3" borderId="33" applyAlignment="1" pivotButton="0" quotePrefix="0" xfId="4">
      <alignment horizontal="center" wrapText="1"/>
    </xf>
    <xf numFmtId="0" fontId="7" fillId="3" borderId="31" applyAlignment="1" pivotButton="0" quotePrefix="0" xfId="0">
      <alignment horizontal="center" wrapText="1"/>
    </xf>
    <xf numFmtId="0" fontId="7" fillId="3" borderId="33" applyAlignment="1" pivotButton="0" quotePrefix="0" xfId="0">
      <alignment horizontal="center" wrapText="1"/>
    </xf>
    <xf numFmtId="0" fontId="7" fillId="3" borderId="10" applyAlignment="1" pivotButton="0" quotePrefix="0" xfId="0">
      <alignment horizontal="center"/>
    </xf>
    <xf numFmtId="0" fontId="7" fillId="3" borderId="11" applyAlignment="1" pivotButton="0" quotePrefix="0" xfId="0">
      <alignment horizontal="center"/>
    </xf>
    <xf numFmtId="0" fontId="7" fillId="3" borderId="12" applyAlignment="1" pivotButton="0" quotePrefix="0" xfId="0">
      <alignment horizontal="center"/>
    </xf>
    <xf numFmtId="0" fontId="50" fillId="19" borderId="67" applyAlignment="1" pivotButton="0" quotePrefix="0" xfId="0">
      <alignment horizontal="center" vertical="center" wrapText="1" readingOrder="1"/>
    </xf>
    <xf numFmtId="0" fontId="0" fillId="0" borderId="58" pivotButton="0" quotePrefix="0" xfId="0"/>
    <xf numFmtId="0" fontId="0" fillId="0" borderId="59" pivotButton="0" quotePrefix="0" xfId="0"/>
    <xf numFmtId="167" fontId="0" fillId="4" borderId="0" pivotButton="0" quotePrefix="0" xfId="8"/>
    <xf numFmtId="168" fontId="0" fillId="4" borderId="0" pivotButton="0" quotePrefix="0" xfId="8"/>
    <xf numFmtId="167" fontId="0" fillId="4" borderId="62" pivotButton="0" quotePrefix="0" xfId="8"/>
    <xf numFmtId="168" fontId="0" fillId="4" borderId="62" pivotButton="0" quotePrefix="0" xfId="8"/>
    <xf numFmtId="168" fontId="0" fillId="4" borderId="0" pivotButton="0" quotePrefix="0" xfId="0"/>
    <xf numFmtId="168" fontId="36" fillId="25" borderId="0" pivotButton="0" quotePrefix="0" xfId="0"/>
    <xf numFmtId="164" fontId="3" fillId="0" borderId="0" applyAlignment="1" applyProtection="1" pivotButton="0" quotePrefix="1" xfId="0">
      <alignment horizontal="left"/>
      <protection locked="0" hidden="0"/>
    </xf>
    <xf numFmtId="166" fontId="3" fillId="0" borderId="0" applyAlignment="1" applyProtection="1" pivotButton="0" quotePrefix="0" xfId="6">
      <alignment horizontal="left"/>
      <protection locked="0" hidden="0"/>
    </xf>
    <xf numFmtId="0" fontId="36" fillId="3" borderId="73" applyAlignment="1" pivotButton="0" quotePrefix="0" xfId="0">
      <alignment horizontal="center" vertical="center"/>
    </xf>
    <xf numFmtId="0" fontId="0" fillId="0" borderId="49" pivotButton="0" quotePrefix="0" xfId="0"/>
    <xf numFmtId="0" fontId="18" fillId="3" borderId="39" applyAlignment="1" pivotButton="0" quotePrefix="0" xfId="0">
      <alignment horizontal="center" vertical="center" wrapText="1"/>
    </xf>
    <xf numFmtId="0" fontId="0" fillId="0" borderId="18" pivotButton="0" quotePrefix="0" xfId="0"/>
    <xf numFmtId="0" fontId="0" fillId="0" borderId="19" pivotButton="0" quotePrefix="0" xfId="0"/>
    <xf numFmtId="0" fontId="7" fillId="4" borderId="71" applyAlignment="1" pivotButton="0" quotePrefix="0" xfId="0">
      <alignment horizontal="center" wrapText="1"/>
    </xf>
    <xf numFmtId="0" fontId="0" fillId="0" borderId="29" pivotButton="0" quotePrefix="0" xfId="0"/>
    <xf numFmtId="0" fontId="0" fillId="0" borderId="39" pivotButton="0" quotePrefix="0" xfId="0"/>
    <xf numFmtId="0" fontId="0" fillId="0" borderId="77" pivotButton="0" quotePrefix="0" xfId="0"/>
    <xf numFmtId="0" fontId="0" fillId="0" borderId="14" pivotButton="0" quotePrefix="0" xfId="0"/>
    <xf numFmtId="0" fontId="0" fillId="0" borderId="43" pivotButton="0" quotePrefix="0" xfId="0"/>
    <xf numFmtId="0" fontId="7" fillId="3" borderId="78" applyAlignment="1" pivotButton="0" quotePrefix="0" xfId="4">
      <alignment horizontal="center" wrapText="1"/>
    </xf>
    <xf numFmtId="0" fontId="0" fillId="0" borderId="33" pivotButton="0" quotePrefix="0" xfId="0"/>
    <xf numFmtId="0" fontId="7" fillId="3" borderId="78" applyAlignment="1" pivotButton="0" quotePrefix="0" xfId="0">
      <alignment horizontal="center" wrapText="1"/>
    </xf>
    <xf numFmtId="0" fontId="7" fillId="3" borderId="4" applyAlignment="1" pivotButton="0" quotePrefix="0" xfId="0">
      <alignment horizontal="center"/>
    </xf>
    <xf numFmtId="0" fontId="0" fillId="0" borderId="11" pivotButton="0" quotePrefix="0" xfId="0"/>
    <xf numFmtId="0" fontId="0" fillId="0" borderId="12" pivotButton="0" quotePrefix="0" xfId="0"/>
  </cellXfs>
  <cellStyles count="21">
    <cellStyle name="Standard" xfId="0" builtinId="0"/>
    <cellStyle name="Eingabe" xfId="1" builtinId="20"/>
    <cellStyle name="Standaard 2" xfId="2"/>
    <cellStyle name="Standaard 3" xfId="3"/>
    <cellStyle name="Normal 2" xfId="4"/>
    <cellStyle name="Link" xfId="5" builtinId="8"/>
    <cellStyle name="Komma" xfId="6" builtinId="3"/>
    <cellStyle name="Normal 3" xfId="7"/>
    <cellStyle name="Währung" xfId="8" builtinId="4"/>
    <cellStyle name="Standard 2" xfId="9"/>
    <cellStyle name="Normal 2 2" xfId="10"/>
    <cellStyle name="Komma 2" xfId="11"/>
    <cellStyle name="Standard 3" xfId="12"/>
    <cellStyle name="Normal 2 3" xfId="13"/>
    <cellStyle name="Link 2" xfId="14"/>
    <cellStyle name="Komma 3" xfId="15"/>
    <cellStyle name="Währung 2" xfId="16"/>
    <cellStyle name="Percent 2" xfId="17"/>
    <cellStyle name="Komma 2 2" xfId="18"/>
    <cellStyle name="Prozent 2" xfId="19"/>
    <cellStyle name="Normal 3 2" xfId="2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161925</rowOff>
    </from>
    <to>
      <col>27</col>
      <colOff>73833</colOff>
      <row>53</row>
      <rowOff>3541</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61925"/>
          <a:ext cx="16533033" cy="993811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drive.google.com/uc?export=download&amp;id=1GXd9-b0XVCeg8Kw8Oto6XuCPDuGKR7Q7" TargetMode="External" Id="rId1"/><Relationship Type="http://schemas.openxmlformats.org/officeDocument/2006/relationships/hyperlink" Target="https://drive.google.com/file/d/1q2hZVC9r_erLflJQ_ixjh9Ht0WXBVCa_/view?usp=sharing" TargetMode="External" Id="rId2"/></Relationships>
</file>

<file path=xl/worksheets/sheet1.xml><?xml version="1.0" encoding="utf-8"?>
<worksheet xmlns="http://schemas.openxmlformats.org/spreadsheetml/2006/main">
  <sheetPr>
    <tabColor rgb="FFFF0000"/>
    <outlinePr summaryBelow="1" summaryRight="1"/>
    <pageSetUpPr fitToPage="1"/>
  </sheetPr>
  <dimension ref="A1:AC62"/>
  <sheetViews>
    <sheetView tabSelected="1" topLeftCell="A22" zoomScale="90" zoomScaleNormal="90" workbookViewId="0">
      <selection activeCell="B46" sqref="B46:H62"/>
    </sheetView>
  </sheetViews>
  <sheetFormatPr baseColWidth="10" defaultColWidth="9.1796875" defaultRowHeight="14.5"/>
  <cols>
    <col width="48.81640625" customWidth="1" min="2" max="2"/>
    <col width="8.7265625" bestFit="1" customWidth="1" min="3" max="3"/>
    <col width="9.7265625" bestFit="1" customWidth="1" min="4" max="4"/>
    <col width="1.54296875" customWidth="1" min="5" max="5"/>
    <col width="12.54296875" bestFit="1" customWidth="1" min="6" max="6"/>
    <col width="11.1796875" customWidth="1" min="7" max="7"/>
    <col width="11.26953125" bestFit="1" customWidth="1" min="8" max="8"/>
    <col width="1.26953125" customWidth="1" min="9" max="9"/>
    <col width="11.26953125" customWidth="1" min="10" max="10"/>
    <col width="10.7265625" bestFit="1" customWidth="1" min="11" max="11"/>
    <col width="11.1796875" bestFit="1" customWidth="1" min="12" max="12"/>
    <col width="1.26953125" customWidth="1" min="13" max="13"/>
    <col width="10.1796875" customWidth="1" min="14" max="14"/>
    <col width="11.81640625" bestFit="1" customWidth="1" min="15" max="15"/>
    <col width="11.1796875" bestFit="1" customWidth="1" min="16" max="16"/>
    <col width="1.1796875" customWidth="1" min="17" max="17"/>
    <col width="21.81640625" bestFit="1" customWidth="1" min="18" max="18"/>
    <col width="10.7265625" bestFit="1" customWidth="1" min="19" max="19"/>
    <col width="11.1796875" bestFit="1" customWidth="1" min="20" max="20"/>
    <col width="1.1796875" customWidth="1" min="21" max="21"/>
    <col width="10.26953125" bestFit="1" customWidth="1" min="22" max="22"/>
    <col width="11.26953125" bestFit="1" customWidth="1" min="23" max="23"/>
    <col width="11.1796875" bestFit="1" customWidth="1" min="24" max="24"/>
    <col width="16.7265625" customWidth="1" min="26" max="26"/>
    <col width="58.1796875" bestFit="1" customWidth="1" min="27" max="27"/>
    <col width="24.1796875" customWidth="1" min="28" max="28"/>
    <col width="9.453125" bestFit="1" customWidth="1" min="29" max="29"/>
  </cols>
  <sheetData>
    <row r="1"/>
    <row r="2"/>
    <row r="3" ht="24" customHeight="1">
      <c r="D3" s="380" t="inlineStr">
        <is>
          <t>Filing status</t>
        </is>
      </c>
    </row>
    <row r="4" ht="15" customHeight="1" thickBot="1"/>
    <row r="5" ht="19" customHeight="1" thickBot="1">
      <c r="C5" s="268" t="n"/>
      <c r="D5" s="267" t="n"/>
      <c r="E5" s="268" t="n"/>
      <c r="F5" s="410" t="inlineStr">
        <is>
          <t>Belgium</t>
        </is>
      </c>
      <c r="G5" s="411" t="n"/>
      <c r="H5" s="412" t="n"/>
      <c r="I5" s="268" t="n"/>
      <c r="J5" s="410" t="inlineStr">
        <is>
          <t>Germany</t>
        </is>
      </c>
      <c r="K5" s="411" t="n"/>
      <c r="L5" s="412" t="n"/>
      <c r="M5" s="268" t="n"/>
      <c r="N5" s="410" t="inlineStr">
        <is>
          <t>Great Britain</t>
        </is>
      </c>
      <c r="O5" s="411" t="n"/>
      <c r="P5" s="412" t="n"/>
      <c r="Q5" s="268" t="n"/>
      <c r="R5" s="410" t="inlineStr">
        <is>
          <t>Luxembourg</t>
        </is>
      </c>
      <c r="S5" s="411" t="n"/>
      <c r="T5" s="412" t="n"/>
      <c r="U5" s="268" t="n"/>
      <c r="V5" s="410" t="inlineStr">
        <is>
          <t>Netherlands</t>
        </is>
      </c>
      <c r="W5" s="411" t="n"/>
      <c r="X5" s="412" t="n"/>
    </row>
    <row r="6" ht="22" customHeight="1" thickBot="1" thickTop="1">
      <c r="C6" s="269" t="n"/>
      <c r="D6" s="266" t="inlineStr">
        <is>
          <t>Type</t>
        </is>
      </c>
      <c r="E6" s="269" t="n"/>
      <c r="F6" s="269" t="inlineStr">
        <is>
          <t>AIF/AIFM id</t>
        </is>
      </c>
      <c r="G6" s="269" t="inlineStr">
        <is>
          <t>registration date</t>
        </is>
      </c>
      <c r="H6" s="269" t="inlineStr">
        <is>
          <t>report frequency</t>
        </is>
      </c>
      <c r="I6" s="269" t="n"/>
      <c r="J6" s="269" t="inlineStr">
        <is>
          <t>AIF/AIFM id</t>
        </is>
      </c>
      <c r="K6" s="269" t="inlineStr">
        <is>
          <t>registration date</t>
        </is>
      </c>
      <c r="L6" s="269" t="inlineStr">
        <is>
          <t>report frequency</t>
        </is>
      </c>
      <c r="M6" s="269" t="n"/>
      <c r="N6" s="269" t="inlineStr">
        <is>
          <t>AIF/AIFM id</t>
        </is>
      </c>
      <c r="O6" s="269" t="inlineStr">
        <is>
          <t>registration date</t>
        </is>
      </c>
      <c r="P6" s="269" t="inlineStr">
        <is>
          <t>report frequency</t>
        </is>
      </c>
      <c r="Q6" s="269" t="n"/>
      <c r="R6" s="269" t="inlineStr">
        <is>
          <t>AIF/AIFM id</t>
        </is>
      </c>
      <c r="S6" s="269" t="inlineStr">
        <is>
          <t>registration date</t>
        </is>
      </c>
      <c r="T6" s="269" t="inlineStr">
        <is>
          <t>report frequency</t>
        </is>
      </c>
      <c r="U6" s="269" t="n"/>
      <c r="V6" s="269" t="inlineStr">
        <is>
          <t>AIF/AIFM id</t>
        </is>
      </c>
      <c r="W6" s="269" t="inlineStr">
        <is>
          <t>registration date</t>
        </is>
      </c>
      <c r="X6" s="269" t="inlineStr">
        <is>
          <t>report frequency</t>
        </is>
      </c>
    </row>
    <row r="7" ht="15" customHeight="1" thickBot="1">
      <c r="B7" s="265" t="inlineStr">
        <is>
          <t>Name legal entity</t>
        </is>
      </c>
      <c r="C7" s="269" t="n"/>
      <c r="D7" s="270" t="n"/>
      <c r="E7" s="269" t="n"/>
      <c r="F7" s="269" t="n"/>
      <c r="G7" s="269" t="n"/>
      <c r="H7" s="269" t="n"/>
      <c r="I7" s="269" t="n"/>
      <c r="J7" s="269" t="n"/>
      <c r="K7" s="269" t="n"/>
      <c r="L7" s="269" t="n"/>
      <c r="M7" s="269" t="n"/>
      <c r="N7" s="269" t="n"/>
      <c r="O7" s="269" t="n"/>
      <c r="P7" s="269" t="n"/>
      <c r="Q7" s="269" t="n"/>
      <c r="R7" s="269" t="n"/>
      <c r="S7" s="269" t="n"/>
      <c r="T7" s="269" t="n"/>
      <c r="U7" s="269" t="n"/>
      <c r="V7" s="269" t="n"/>
      <c r="W7" s="269" t="n"/>
      <c r="X7" s="269" t="n"/>
      <c r="Z7" s="299" t="inlineStr">
        <is>
          <t>Q3 data</t>
        </is>
      </c>
      <c r="AA7" s="291" t="inlineStr">
        <is>
          <t>Name legal entity</t>
        </is>
      </c>
      <c r="AB7" s="291" t="inlineStr">
        <is>
          <t>Reporting Countries</t>
        </is>
      </c>
    </row>
    <row r="8" ht="15.65" customHeight="1" thickBot="1">
      <c r="B8" s="263" t="inlineStr">
        <is>
          <t>Granite Peak Capital, LLC</t>
        </is>
      </c>
      <c r="C8" s="324" t="n"/>
      <c r="D8" s="271" t="inlineStr">
        <is>
          <t>AIFM</t>
        </is>
      </c>
      <c r="E8" s="324" t="n"/>
      <c r="F8" s="356" t="inlineStr">
        <is>
          <t>0000088701</t>
        </is>
      </c>
      <c r="G8" s="322" t="n"/>
      <c r="H8" s="323" t="inlineStr">
        <is>
          <t>Half-yearly</t>
        </is>
      </c>
      <c r="I8" s="324" t="n"/>
      <c r="J8" s="352" t="n">
        <v>60099730</v>
      </c>
      <c r="K8" s="322" t="n"/>
      <c r="L8" s="326" t="inlineStr">
        <is>
          <t>Half-yearly</t>
        </is>
      </c>
      <c r="M8" s="324" t="n"/>
      <c r="N8" s="352" t="n">
        <v>845672</v>
      </c>
      <c r="O8" s="322" t="n"/>
      <c r="P8" s="323" t="inlineStr">
        <is>
          <t>Half-yearly</t>
        </is>
      </c>
      <c r="Q8" s="324" t="n"/>
      <c r="R8" s="352" t="inlineStr">
        <is>
          <t>A00007891</t>
        </is>
      </c>
      <c r="S8" s="325" t="n"/>
      <c r="T8" s="323" t="inlineStr">
        <is>
          <t>Half-yearly</t>
        </is>
      </c>
      <c r="U8" s="324" t="n"/>
      <c r="V8" s="377" t="inlineStr">
        <is>
          <t>GPC042</t>
        </is>
      </c>
      <c r="W8" s="322" t="n">
        <v>42055</v>
      </c>
      <c r="X8" s="362" t="inlineStr">
        <is>
          <t>Annual</t>
        </is>
      </c>
      <c r="Z8" s="300" t="inlineStr">
        <is>
          <t>n/a</t>
        </is>
      </c>
      <c r="AA8" s="292">
        <f>B8</f>
        <v/>
      </c>
      <c r="AB8" s="296" t="inlineStr">
        <is>
          <t>BE, DE, GB, LU, NL</t>
        </is>
      </c>
      <c r="AC8" s="298" t="n"/>
    </row>
    <row r="9" ht="15.65" customHeight="1" thickBot="1">
      <c r="B9" s="262" t="inlineStr">
        <is>
          <t>Alpine III Parallel Fund, L.P.</t>
        </is>
      </c>
      <c r="C9" s="327" t="n"/>
      <c r="D9" s="271" t="inlineStr">
        <is>
          <t>AIF</t>
        </is>
      </c>
      <c r="E9" s="327" t="n"/>
      <c r="F9" s="325" t="n"/>
      <c r="G9" s="322" t="n"/>
      <c r="H9" s="325" t="n"/>
      <c r="I9" s="327" t="n"/>
      <c r="J9" s="326" t="n"/>
      <c r="K9" s="328" t="n"/>
      <c r="L9" s="326" t="n"/>
      <c r="M9" s="337" t="n"/>
      <c r="N9" s="352" t="n">
        <v>873698</v>
      </c>
      <c r="O9" s="322" t="n">
        <v>42664</v>
      </c>
      <c r="P9" s="323" t="inlineStr">
        <is>
          <t>Half-yearly</t>
        </is>
      </c>
      <c r="Q9" s="327" t="n"/>
      <c r="R9" s="326" t="n"/>
      <c r="S9" s="328" t="n"/>
      <c r="T9" s="326" t="n"/>
      <c r="U9" s="327" t="n"/>
      <c r="V9" s="354" t="n">
        <v>60039524</v>
      </c>
      <c r="W9" s="328" t="n">
        <v>42664</v>
      </c>
      <c r="X9" s="323" t="inlineStr">
        <is>
          <t>Half-yearly</t>
        </is>
      </c>
      <c r="Z9" s="300" t="inlineStr">
        <is>
          <t>n/a</t>
        </is>
      </c>
      <c r="AA9" s="293">
        <f>B9</f>
        <v/>
      </c>
      <c r="AB9" s="294" t="inlineStr">
        <is>
          <t>GB, NL</t>
        </is>
      </c>
    </row>
    <row r="10" ht="15.65" customHeight="1" thickBot="1">
      <c r="B10" s="262" t="inlineStr">
        <is>
          <t>Alpine IV Parallel Fund, L.P.</t>
        </is>
      </c>
      <c r="C10" s="327" t="n"/>
      <c r="D10" s="271" t="inlineStr">
        <is>
          <t>AIF</t>
        </is>
      </c>
      <c r="E10" s="327" t="n"/>
      <c r="F10" s="352" t="inlineStr">
        <is>
          <t>04315-0001</t>
        </is>
      </c>
      <c r="G10" s="322" t="n">
        <v>43510</v>
      </c>
      <c r="H10" s="323" t="inlineStr">
        <is>
          <t>Half-yearly</t>
        </is>
      </c>
      <c r="I10" s="327" t="n"/>
      <c r="J10" s="326" t="n"/>
      <c r="K10" s="328" t="n"/>
      <c r="L10" s="326" t="n"/>
      <c r="M10" s="337" t="n"/>
      <c r="N10" s="352" t="n">
        <v>944709</v>
      </c>
      <c r="O10" s="322" t="n">
        <v>43537</v>
      </c>
      <c r="P10" s="323" t="inlineStr">
        <is>
          <t>Half-yearly</t>
        </is>
      </c>
      <c r="Q10" s="327" t="n"/>
      <c r="R10" s="326" t="n"/>
      <c r="S10" s="328" t="n"/>
      <c r="T10" s="326" t="n"/>
      <c r="U10" s="327" t="n"/>
      <c r="V10" s="329" t="n"/>
      <c r="W10" s="329" t="n"/>
      <c r="X10" s="325" t="n"/>
      <c r="Z10" s="300" t="inlineStr">
        <is>
          <t>n/a</t>
        </is>
      </c>
      <c r="AA10" s="293">
        <f>B10</f>
        <v/>
      </c>
      <c r="AB10" s="294" t="inlineStr">
        <is>
          <t>BE, GB</t>
        </is>
      </c>
    </row>
    <row r="11" ht="15.65" customHeight="1" thickBot="1">
      <c r="B11" s="290" t="inlineStr">
        <is>
          <t>Alpine IV Parallel Feeder C.V.</t>
        </is>
      </c>
      <c r="C11" s="327" t="n"/>
      <c r="D11" s="271" t="inlineStr">
        <is>
          <t>AIF</t>
        </is>
      </c>
      <c r="E11" s="327" t="n"/>
      <c r="F11" s="325" t="n"/>
      <c r="G11" s="322" t="n"/>
      <c r="H11" s="323" t="n"/>
      <c r="I11" s="327" t="n"/>
      <c r="J11" s="326" t="n"/>
      <c r="K11" s="328" t="n"/>
      <c r="L11" s="326" t="n"/>
      <c r="M11" s="337" t="n"/>
      <c r="N11" s="322" t="n"/>
      <c r="O11" s="322" t="n"/>
      <c r="P11" s="323" t="n"/>
      <c r="Q11" s="327" t="n"/>
      <c r="R11" s="326" t="n"/>
      <c r="S11" s="328" t="n"/>
      <c r="T11" s="326" t="n"/>
      <c r="U11" s="327" t="n"/>
      <c r="V11" s="355" t="n">
        <v>60038775</v>
      </c>
      <c r="W11" s="333" t="n">
        <v>43495</v>
      </c>
      <c r="X11" s="323" t="inlineStr">
        <is>
          <t>Half-yearly</t>
        </is>
      </c>
      <c r="Z11" s="300" t="inlineStr">
        <is>
          <t>n/a</t>
        </is>
      </c>
      <c r="AA11" s="293">
        <f>B11</f>
        <v/>
      </c>
      <c r="AB11" s="297" t="inlineStr">
        <is>
          <t>NL</t>
        </is>
      </c>
    </row>
    <row r="12" ht="15.65" customHeight="1" thickBot="1">
      <c r="B12" s="262" t="inlineStr">
        <is>
          <t>Alpine V Parallel Fund, L.P.</t>
        </is>
      </c>
      <c r="C12" s="327" t="n"/>
      <c r="D12" s="271" t="inlineStr">
        <is>
          <t>AIF</t>
        </is>
      </c>
      <c r="E12" s="327" t="n"/>
      <c r="F12" s="352" t="inlineStr">
        <is>
          <t>06156-0001</t>
        </is>
      </c>
      <c r="G12" s="322" t="n">
        <v>44439</v>
      </c>
      <c r="H12" s="323" t="inlineStr">
        <is>
          <t>Half-yearly</t>
        </is>
      </c>
      <c r="I12" s="327" t="n"/>
      <c r="J12" s="326" t="n"/>
      <c r="K12" s="328" t="n"/>
      <c r="L12" s="326" t="n"/>
      <c r="M12" s="337" t="n"/>
      <c r="N12" s="352" t="n">
        <v>868588</v>
      </c>
      <c r="O12" s="322" t="n">
        <v>44433</v>
      </c>
      <c r="P12" s="323" t="inlineStr">
        <is>
          <t>Half-yearly</t>
        </is>
      </c>
      <c r="Q12" s="327" t="n"/>
      <c r="R12" s="326" t="n"/>
      <c r="S12" s="332" t="n"/>
      <c r="T12" s="323" t="n"/>
      <c r="U12" s="327" t="n"/>
      <c r="V12" s="326" t="n">
        <v>60039868</v>
      </c>
      <c r="W12" s="358" t="n">
        <v>44433</v>
      </c>
      <c r="X12" s="362" t="inlineStr">
        <is>
          <t>Annual</t>
        </is>
      </c>
      <c r="Z12" s="300" t="inlineStr">
        <is>
          <t>n/a</t>
        </is>
      </c>
      <c r="AA12" s="293">
        <f>B12</f>
        <v/>
      </c>
      <c r="AB12" s="294" t="inlineStr">
        <is>
          <t>BE, GB, NL</t>
        </is>
      </c>
    </row>
    <row r="13" ht="15.65" customHeight="1" thickBot="1">
      <c r="B13" s="262" t="inlineStr">
        <is>
          <t>Alpine VI Parallel Fund, L.P. (Nil-filing)</t>
        </is>
      </c>
      <c r="C13" s="327" t="n"/>
      <c r="D13" s="271" t="inlineStr">
        <is>
          <t>AIF</t>
        </is>
      </c>
      <c r="E13" s="327" t="n"/>
      <c r="F13" s="352" t="inlineStr">
        <is>
          <t>07940-0001</t>
        </is>
      </c>
      <c r="G13" s="333" t="n"/>
      <c r="H13" s="323" t="inlineStr">
        <is>
          <t>Half-yearly</t>
        </is>
      </c>
      <c r="I13" s="327" t="n"/>
      <c r="J13" s="331" t="n"/>
      <c r="K13" s="334" t="n"/>
      <c r="L13" s="331" t="n"/>
      <c r="M13" s="337" t="n"/>
      <c r="N13" s="352" t="n">
        <v>804083</v>
      </c>
      <c r="O13" s="322" t="n">
        <v>45222</v>
      </c>
      <c r="P13" s="360" t="inlineStr">
        <is>
          <t>Quarterly</t>
        </is>
      </c>
      <c r="Q13" s="327" t="n"/>
      <c r="R13" s="353" t="inlineStr">
        <is>
          <t>V00010370_00000000</t>
        </is>
      </c>
      <c r="S13" s="336" t="n"/>
      <c r="T13" s="323" t="inlineStr">
        <is>
          <t>Half-yearly</t>
        </is>
      </c>
      <c r="U13" s="327" t="n"/>
      <c r="V13" s="354" t="n">
        <v>60044957</v>
      </c>
      <c r="W13" s="336" t="n"/>
      <c r="X13" s="360" t="inlineStr">
        <is>
          <t>Quarterly</t>
        </is>
      </c>
      <c r="Z13" s="300" t="inlineStr">
        <is>
          <t>received</t>
        </is>
      </c>
      <c r="AA13" s="293">
        <f>B13</f>
        <v/>
      </c>
      <c r="AB13" s="294" t="n"/>
    </row>
    <row r="14" ht="15.65" customHeight="1" thickBot="1">
      <c r="B14" s="261" t="inlineStr">
        <is>
          <t>Alpine VI Parallel Feeder C.V. (Nil-filing)</t>
        </is>
      </c>
      <c r="C14" s="327" t="n"/>
      <c r="D14" s="271" t="inlineStr">
        <is>
          <t>AIF</t>
        </is>
      </c>
      <c r="E14" s="327" t="n"/>
      <c r="F14" s="323" t="n"/>
      <c r="G14" s="333" t="n"/>
      <c r="H14" s="323" t="n"/>
      <c r="I14" s="327" t="n"/>
      <c r="J14" s="331" t="n"/>
      <c r="K14" s="334" t="n"/>
      <c r="L14" s="331" t="n"/>
      <c r="M14" s="337" t="n"/>
      <c r="N14" s="352" t="n">
        <v>805905</v>
      </c>
      <c r="O14" s="322" t="n">
        <v>45222</v>
      </c>
      <c r="P14" s="360" t="inlineStr">
        <is>
          <t>Quarterly</t>
        </is>
      </c>
      <c r="Q14" s="327" t="n"/>
      <c r="R14" s="331" t="n"/>
      <c r="S14" s="336" t="n"/>
      <c r="T14" s="331" t="n"/>
      <c r="U14" s="327" t="n"/>
      <c r="V14" s="354" t="n">
        <v>60044958</v>
      </c>
      <c r="W14" s="336" t="n"/>
      <c r="X14" s="360" t="inlineStr">
        <is>
          <t>Quarterly</t>
        </is>
      </c>
      <c r="Z14" s="300" t="inlineStr">
        <is>
          <t>received</t>
        </is>
      </c>
      <c r="AA14" s="293">
        <f>B14</f>
        <v/>
      </c>
      <c r="AB14" s="294" t="n"/>
    </row>
    <row r="15" ht="15.65" customHeight="1" thickBot="1">
      <c r="B15" s="261" t="inlineStr">
        <is>
          <t>Ridgeline V Parallel Fund, L.P.</t>
        </is>
      </c>
      <c r="C15" s="337" t="n"/>
      <c r="D15" s="271" t="inlineStr">
        <is>
          <t>AIF</t>
        </is>
      </c>
      <c r="E15" s="337" t="n"/>
      <c r="F15" s="323" t="n"/>
      <c r="G15" s="333" t="n"/>
      <c r="H15" s="323" t="n"/>
      <c r="I15" s="337" t="n"/>
      <c r="J15" s="323" t="n"/>
      <c r="K15" s="333" t="n"/>
      <c r="L15" s="323" t="n"/>
      <c r="M15" s="337" t="n"/>
      <c r="N15" s="355" t="n">
        <v>783480</v>
      </c>
      <c r="O15" s="322" t="n">
        <v>42054</v>
      </c>
      <c r="P15" s="323" t="inlineStr">
        <is>
          <t>Half-yearly</t>
        </is>
      </c>
      <c r="Q15" s="337" t="n"/>
      <c r="R15" s="323" t="n"/>
      <c r="S15" s="323" t="n"/>
      <c r="T15" s="323" t="n"/>
      <c r="U15" s="337" t="n"/>
      <c r="V15" s="355" t="n">
        <v>60027096</v>
      </c>
      <c r="W15" s="335" t="n">
        <v>42054</v>
      </c>
      <c r="X15" s="323" t="inlineStr">
        <is>
          <t>Half-yearly</t>
        </is>
      </c>
      <c r="Z15" s="300" t="inlineStr">
        <is>
          <t>n/a</t>
        </is>
      </c>
      <c r="AA15" s="293">
        <f>B15</f>
        <v/>
      </c>
      <c r="AB15" s="294" t="inlineStr">
        <is>
          <t>GB, NL</t>
        </is>
      </c>
    </row>
    <row r="16" ht="15.65" customHeight="1" thickBot="1">
      <c r="B16" s="290" t="inlineStr">
        <is>
          <t>Ridgeline V Parallel Feeder C.V.</t>
        </is>
      </c>
      <c r="C16" s="337" t="n"/>
      <c r="D16" s="271" t="inlineStr">
        <is>
          <t>AIF</t>
        </is>
      </c>
      <c r="E16" s="337" t="n"/>
      <c r="F16" s="323" t="n"/>
      <c r="G16" s="333" t="n"/>
      <c r="H16" s="323" t="n"/>
      <c r="I16" s="337" t="n"/>
      <c r="J16" s="323" t="n"/>
      <c r="K16" s="333" t="n"/>
      <c r="L16" s="323" t="n"/>
      <c r="M16" s="337" t="n"/>
      <c r="N16" s="322" t="n"/>
      <c r="O16" s="322" t="n"/>
      <c r="P16" s="323" t="n"/>
      <c r="Q16" s="337" t="n"/>
      <c r="R16" s="323" t="n"/>
      <c r="S16" s="323" t="n"/>
      <c r="T16" s="323" t="n"/>
      <c r="U16" s="337" t="n"/>
      <c r="V16" s="355" t="n">
        <v>60027097</v>
      </c>
      <c r="W16" s="333" t="n">
        <v>42055</v>
      </c>
      <c r="X16" s="323" t="inlineStr">
        <is>
          <t>Half-yearly</t>
        </is>
      </c>
      <c r="Z16" s="300" t="inlineStr">
        <is>
          <t>n/a</t>
        </is>
      </c>
      <c r="AA16" s="293">
        <f>B16</f>
        <v/>
      </c>
      <c r="AB16" s="294" t="inlineStr">
        <is>
          <t>NL</t>
        </is>
      </c>
    </row>
    <row r="17" ht="15.65" customHeight="1" thickBot="1">
      <c r="B17" s="261" t="inlineStr">
        <is>
          <t>Ridgeline VI Parallel Fund, L.P</t>
        </is>
      </c>
      <c r="C17" s="337" t="n"/>
      <c r="D17" s="271" t="inlineStr">
        <is>
          <t>AIF</t>
        </is>
      </c>
      <c r="E17" s="337" t="n"/>
      <c r="F17" s="355" t="inlineStr">
        <is>
          <t>03749-0001</t>
        </is>
      </c>
      <c r="G17" s="322" t="n">
        <v>43075</v>
      </c>
      <c r="H17" s="323" t="inlineStr">
        <is>
          <t>Half-yearly</t>
        </is>
      </c>
      <c r="I17" s="337" t="n"/>
      <c r="J17" s="323" t="n"/>
      <c r="K17" s="333" t="n"/>
      <c r="L17" s="323" t="n"/>
      <c r="M17" s="337" t="n"/>
      <c r="N17" s="355" t="n">
        <v>890410</v>
      </c>
      <c r="O17" s="322" t="n">
        <v>42998</v>
      </c>
      <c r="P17" s="323" t="inlineStr">
        <is>
          <t>Half-yearly</t>
        </is>
      </c>
      <c r="Q17" s="337" t="n"/>
      <c r="R17" s="323" t="n"/>
      <c r="S17" s="323" t="n"/>
      <c r="T17" s="323" t="n"/>
      <c r="U17" s="337" t="n"/>
      <c r="V17" s="355" t="n">
        <v>60038767</v>
      </c>
      <c r="W17" s="333" t="n">
        <v>43003</v>
      </c>
      <c r="X17" s="323" t="inlineStr">
        <is>
          <t>Half-yearly</t>
        </is>
      </c>
      <c r="Z17" s="300" t="inlineStr">
        <is>
          <t>n/a</t>
        </is>
      </c>
      <c r="AA17" s="293">
        <f>B17</f>
        <v/>
      </c>
      <c r="AB17" s="294" t="inlineStr">
        <is>
          <t>BE, GB, NL</t>
        </is>
      </c>
    </row>
    <row r="18" ht="15.65" customHeight="1" thickBot="1">
      <c r="B18" s="290" t="inlineStr">
        <is>
          <t>Ridgeline VI Parallel Feeder C.V.</t>
        </is>
      </c>
      <c r="C18" s="337" t="n"/>
      <c r="D18" s="271" t="inlineStr">
        <is>
          <t>AIF</t>
        </is>
      </c>
      <c r="E18" s="337" t="n"/>
      <c r="F18" s="323" t="n"/>
      <c r="G18" s="333" t="n"/>
      <c r="H18" s="323" t="n"/>
      <c r="I18" s="337" t="n"/>
      <c r="J18" s="323" t="n"/>
      <c r="K18" s="333" t="n"/>
      <c r="L18" s="323" t="n"/>
      <c r="M18" s="337" t="n"/>
      <c r="N18" s="322" t="n"/>
      <c r="O18" s="322" t="n"/>
      <c r="P18" s="323" t="n"/>
      <c r="Q18" s="337" t="n"/>
      <c r="R18" s="323" t="n"/>
      <c r="S18" s="323" t="n"/>
      <c r="T18" s="323" t="n"/>
      <c r="U18" s="337" t="n"/>
      <c r="V18" s="355" t="n">
        <v>60038774</v>
      </c>
      <c r="W18" s="333" t="n">
        <v>43003</v>
      </c>
      <c r="X18" s="323" t="inlineStr">
        <is>
          <t>Half-yearly</t>
        </is>
      </c>
      <c r="Z18" s="300" t="inlineStr">
        <is>
          <t>n/a</t>
        </is>
      </c>
      <c r="AA18" s="293">
        <f>B18</f>
        <v/>
      </c>
      <c r="AB18" s="294" t="inlineStr">
        <is>
          <t>NL</t>
        </is>
      </c>
    </row>
    <row r="19" ht="15.65" customHeight="1" thickBot="1">
      <c r="B19" s="262" t="inlineStr">
        <is>
          <t>Ridgeline VII Parallel Fund, L.P.</t>
        </is>
      </c>
      <c r="C19" s="337" t="n"/>
      <c r="D19" s="271" t="inlineStr">
        <is>
          <t>AIF</t>
        </is>
      </c>
      <c r="E19" s="337" t="n"/>
      <c r="F19" s="355" t="inlineStr">
        <is>
          <t>05042-0001</t>
        </is>
      </c>
      <c r="G19" s="333" t="n">
        <v>43900</v>
      </c>
      <c r="H19" s="323" t="inlineStr">
        <is>
          <t>Half-yearly</t>
        </is>
      </c>
      <c r="I19" s="337" t="n"/>
      <c r="J19" s="323" t="n"/>
      <c r="K19" s="333" t="n"/>
      <c r="L19" s="323" t="n"/>
      <c r="M19" s="337" t="n"/>
      <c r="N19" s="355" t="n">
        <v>832364</v>
      </c>
      <c r="O19" s="322" t="n">
        <v>43878</v>
      </c>
      <c r="P19" s="323" t="inlineStr">
        <is>
          <t>Half-yearly</t>
        </is>
      </c>
      <c r="Q19" s="337" t="n"/>
      <c r="R19" s="323" t="n"/>
      <c r="S19" s="323" t="n"/>
      <c r="T19" s="323" t="n"/>
      <c r="U19" s="337" t="n"/>
      <c r="V19" s="323" t="n"/>
      <c r="W19" s="333" t="n"/>
      <c r="X19" s="325" t="n"/>
      <c r="Z19" s="300" t="inlineStr">
        <is>
          <t>n/a</t>
        </is>
      </c>
      <c r="AA19" s="293">
        <f>B19</f>
        <v/>
      </c>
      <c r="AB19" s="294" t="inlineStr">
        <is>
          <t>BE, GB</t>
        </is>
      </c>
    </row>
    <row r="20" ht="15.65" customHeight="1" thickBot="1">
      <c r="B20" s="262" t="inlineStr">
        <is>
          <t>Ridgeline VIII Parallel Fund, L.P.</t>
        </is>
      </c>
      <c r="C20" s="327" t="n"/>
      <c r="D20" s="271" t="inlineStr">
        <is>
          <t>AIF</t>
        </is>
      </c>
      <c r="E20" s="327" t="n"/>
      <c r="F20" s="331" t="n"/>
      <c r="G20" s="328" t="n"/>
      <c r="H20" s="331" t="n"/>
      <c r="I20" s="327" t="n"/>
      <c r="J20" s="331" t="n"/>
      <c r="K20" s="334" t="n"/>
      <c r="L20" s="326" t="n"/>
      <c r="M20" s="337" t="n"/>
      <c r="N20" s="322" t="n"/>
      <c r="O20" s="328" t="n"/>
      <c r="P20" s="331" t="n"/>
      <c r="Q20" s="327" t="n"/>
      <c r="R20" s="353" t="inlineStr">
        <is>
          <t>V00008465_00000000</t>
        </is>
      </c>
      <c r="S20" s="334" t="n">
        <v>44651</v>
      </c>
      <c r="T20" s="323" t="inlineStr">
        <is>
          <t>Half-yearly</t>
        </is>
      </c>
      <c r="U20" s="327" t="n"/>
      <c r="V20" s="331" t="n"/>
      <c r="W20" s="334" t="n"/>
      <c r="X20" s="326" t="n"/>
      <c r="Z20" s="300" t="inlineStr">
        <is>
          <t>n/a</t>
        </is>
      </c>
      <c r="AA20" s="293">
        <f>B20</f>
        <v/>
      </c>
      <c r="AB20" s="295" t="inlineStr">
        <is>
          <t>LU</t>
        </is>
      </c>
    </row>
    <row r="21" ht="15.65" customHeight="1" thickBot="1">
      <c r="B21" s="262" t="inlineStr">
        <is>
          <t>Ridgeline VIII Lux Feeder, SCSp</t>
        </is>
      </c>
      <c r="C21" s="337" t="n"/>
      <c r="D21" s="271" t="inlineStr">
        <is>
          <t>AIF</t>
        </is>
      </c>
      <c r="E21" s="337" t="n"/>
      <c r="F21" s="352" t="inlineStr">
        <is>
          <t>06753-0001</t>
        </is>
      </c>
      <c r="G21" s="322" t="n">
        <v>44739</v>
      </c>
      <c r="H21" s="325" t="inlineStr">
        <is>
          <t>Half-yearly</t>
        </is>
      </c>
      <c r="I21" s="337" t="n"/>
      <c r="J21" s="352" t="n">
        <v>80276182</v>
      </c>
      <c r="K21" s="322" t="n">
        <v>44819</v>
      </c>
      <c r="L21" s="326" t="inlineStr">
        <is>
          <t>Half-yearly</t>
        </is>
      </c>
      <c r="M21" s="337" t="n"/>
      <c r="N21" s="352" t="n">
        <v>889394</v>
      </c>
      <c r="O21" s="322" t="n">
        <v>44742</v>
      </c>
      <c r="P21" s="325" t="inlineStr">
        <is>
          <t>Half-yearly</t>
        </is>
      </c>
      <c r="Q21" s="337" t="n"/>
      <c r="R21" s="352" t="inlineStr">
        <is>
          <t>V00008464_00000000</t>
        </is>
      </c>
      <c r="S21" s="322" t="n">
        <v>44743</v>
      </c>
      <c r="T21" s="323" t="inlineStr">
        <is>
          <t>Half-yearly</t>
        </is>
      </c>
      <c r="U21" s="337" t="n"/>
      <c r="V21" s="325" t="n">
        <v>60040662</v>
      </c>
      <c r="W21" s="322" t="n">
        <v>44742</v>
      </c>
      <c r="X21" s="362" t="inlineStr">
        <is>
          <t>Annual</t>
        </is>
      </c>
      <c r="Z21" s="300" t="inlineStr">
        <is>
          <t>n/a</t>
        </is>
      </c>
      <c r="AA21" s="293">
        <f>B21</f>
        <v/>
      </c>
      <c r="AB21" s="294" t="inlineStr">
        <is>
          <t>BE, DE, GB, LU, NL</t>
        </is>
      </c>
    </row>
    <row r="22" ht="15.65" customHeight="1" thickBot="1">
      <c r="B22" s="262" t="inlineStr">
        <is>
          <t>Ridgeline IX Lux Feeder, SCSp</t>
        </is>
      </c>
      <c r="C22" s="378" t="n"/>
      <c r="D22" s="271" t="inlineStr">
        <is>
          <t>AIF</t>
        </is>
      </c>
      <c r="E22" s="378" t="n"/>
      <c r="F22" s="323" t="n"/>
      <c r="G22" s="323" t="n"/>
      <c r="H22" s="323" t="n"/>
      <c r="I22" s="378" t="n"/>
      <c r="J22" s="323" t="n"/>
      <c r="K22" s="323" t="n"/>
      <c r="L22" s="323" t="n"/>
      <c r="M22" s="378" t="n"/>
      <c r="N22" s="352" t="n">
        <v>820233</v>
      </c>
      <c r="O22" s="323" t="n"/>
      <c r="P22" s="323" t="n"/>
      <c r="Q22" s="378" t="n"/>
      <c r="R22" s="323" t="n"/>
      <c r="S22" s="323" t="n"/>
      <c r="T22" s="323" t="n"/>
      <c r="U22" s="378" t="n"/>
      <c r="V22" s="323" t="n"/>
      <c r="W22" s="323" t="n"/>
      <c r="X22" s="323" t="n"/>
      <c r="Z22" s="379" t="n"/>
      <c r="AA22" s="293" t="inlineStr">
        <is>
          <t>Ridgeline IX Lux Feeder, SCSp</t>
        </is>
      </c>
      <c r="AB22" s="294" t="n"/>
    </row>
    <row r="23" ht="15.65" customHeight="1" thickBot="1">
      <c r="B23" s="262" t="inlineStr">
        <is>
          <t>Ridgeline IX Parallel Fund, L.P.</t>
        </is>
      </c>
      <c r="C23" s="378" t="n"/>
      <c r="D23" s="271" t="inlineStr">
        <is>
          <t>AIF</t>
        </is>
      </c>
      <c r="E23" s="378" t="n"/>
      <c r="F23" s="323" t="n"/>
      <c r="G23" s="323" t="n"/>
      <c r="H23" s="323" t="n"/>
      <c r="I23" s="378" t="n"/>
      <c r="J23" s="323" t="n"/>
      <c r="K23" s="323" t="n"/>
      <c r="L23" s="323" t="n"/>
      <c r="M23" s="378" t="n"/>
      <c r="N23" s="352" t="n">
        <v>820234</v>
      </c>
      <c r="O23" s="323" t="n"/>
      <c r="P23" s="323" t="n"/>
      <c r="Q23" s="378" t="n"/>
      <c r="R23" s="323" t="n"/>
      <c r="S23" s="323" t="n"/>
      <c r="T23" s="323" t="n"/>
      <c r="U23" s="378" t="n"/>
      <c r="V23" s="323" t="n"/>
      <c r="W23" s="323" t="n"/>
      <c r="X23" s="323" t="n"/>
      <c r="Z23" s="379" t="n"/>
      <c r="AA23" s="293" t="inlineStr">
        <is>
          <t>Ridgeline IX Parallel Fund, L.P.</t>
        </is>
      </c>
      <c r="AB23" s="294" t="n"/>
    </row>
    <row r="24">
      <c r="B24" s="317">
        <f>"Total legal entities "</f>
        <v/>
      </c>
      <c r="C24" s="316" t="n"/>
      <c r="D24" s="316">
        <f>COUNTA(B8:B21)</f>
        <v/>
      </c>
    </row>
    <row r="25" ht="15.65" customHeight="1"/>
    <row r="26">
      <c r="B26" s="369" t="inlineStr">
        <is>
          <t>Total reportable entities</t>
        </is>
      </c>
      <c r="D26" s="370">
        <f>SUM(F26:X26)</f>
        <v/>
      </c>
      <c r="E26" s="368" t="n"/>
      <c r="F26" s="370">
        <f>COUNTA(F8:F21)</f>
        <v/>
      </c>
      <c r="G26" s="368" t="n"/>
      <c r="H26" s="368" t="n"/>
      <c r="I26" s="368" t="n"/>
      <c r="J26" s="370">
        <f>COUNTA(J8:J21)</f>
        <v/>
      </c>
      <c r="K26" s="368" t="n"/>
      <c r="L26" s="368" t="n"/>
      <c r="M26" s="368" t="n"/>
      <c r="N26" s="370">
        <f>COUNTA(N8:N23)</f>
        <v/>
      </c>
      <c r="O26" s="368" t="n"/>
      <c r="P26" s="368" t="n"/>
      <c r="Q26" s="368" t="n"/>
      <c r="R26" s="370">
        <f>COUNTA(R8:R21)</f>
        <v/>
      </c>
      <c r="S26" s="368" t="n"/>
      <c r="T26" s="368" t="n"/>
      <c r="U26" s="368" t="n"/>
      <c r="V26" s="370">
        <f>COUNTA(V8:V21)</f>
        <v/>
      </c>
      <c r="Z26" s="318" t="inlineStr">
        <is>
          <t>unique AIFs</t>
        </is>
      </c>
      <c r="AA26" s="318">
        <f>COUNTA(AA9:AA21)</f>
        <v/>
      </c>
    </row>
    <row r="27">
      <c r="B27" s="371" t="inlineStr">
        <is>
          <t>Not reported this reporting cycle</t>
        </is>
      </c>
      <c r="D27" s="372">
        <f>SUM(F27:V27)</f>
        <v/>
      </c>
      <c r="E27" s="368" t="n"/>
      <c r="F27" s="375" t="n">
        <v>7</v>
      </c>
      <c r="G27" s="368" t="n"/>
      <c r="H27" s="368" t="n"/>
      <c r="I27" s="368" t="n"/>
      <c r="J27" s="375" t="n">
        <v>2</v>
      </c>
      <c r="K27" s="368" t="n"/>
      <c r="L27" s="368" t="n"/>
      <c r="M27" s="368" t="n"/>
      <c r="N27" s="375" t="n">
        <v>10</v>
      </c>
      <c r="O27" s="368" t="n"/>
      <c r="P27" s="368" t="n"/>
      <c r="Q27" s="368" t="n"/>
      <c r="R27" s="375" t="n">
        <v>4</v>
      </c>
      <c r="S27" s="368" t="n"/>
      <c r="T27" s="368" t="n"/>
      <c r="U27" s="368" t="n"/>
      <c r="V27" s="375" t="n">
        <v>9</v>
      </c>
      <c r="Z27" s="376" t="inlineStr">
        <is>
          <t>&lt;=== Correct manually</t>
        </is>
      </c>
    </row>
    <row r="28" customFormat="1" s="374">
      <c r="B28" s="373" t="inlineStr">
        <is>
          <t>Reports created</t>
        </is>
      </c>
      <c r="D28" s="373">
        <f>D26-D27</f>
        <v/>
      </c>
      <c r="F28" s="373">
        <f>F26-F27</f>
        <v/>
      </c>
      <c r="J28" s="373">
        <f>J26-J27</f>
        <v/>
      </c>
      <c r="N28" s="373">
        <f>N26-N27</f>
        <v/>
      </c>
      <c r="R28" s="373">
        <f>R26-R27</f>
        <v/>
      </c>
      <c r="V28" s="373">
        <f>V26-V27</f>
        <v/>
      </c>
    </row>
    <row r="29"/>
    <row r="30"/>
    <row r="31" ht="15" customHeight="1" thickBot="1">
      <c r="B31" s="367" t="inlineStr">
        <is>
          <t>Delisted entities</t>
        </is>
      </c>
      <c r="C31" s="366" t="n"/>
      <c r="D31" s="366" t="n"/>
    </row>
    <row r="32" ht="15.65" customHeight="1" thickBot="1">
      <c r="B32" s="359" t="inlineStr">
        <is>
          <t>Alpine V, L.P. (Nil+Last-filing) &amp; Delisted</t>
        </is>
      </c>
      <c r="C32" s="327" t="n"/>
      <c r="D32" s="271" t="inlineStr">
        <is>
          <t>AIF</t>
        </is>
      </c>
      <c r="E32" s="327" t="n"/>
      <c r="F32" s="352" t="inlineStr">
        <is>
          <t>06155-0001</t>
        </is>
      </c>
      <c r="G32" s="322" t="n">
        <v>44439</v>
      </c>
      <c r="H32" s="331" t="inlineStr">
        <is>
          <t>Half-yearly</t>
        </is>
      </c>
      <c r="I32" s="327" t="n"/>
      <c r="J32" s="326" t="n"/>
      <c r="K32" s="328" t="n"/>
      <c r="L32" s="326" t="n"/>
      <c r="M32" s="337" t="n"/>
      <c r="N32" s="322" t="n"/>
      <c r="O32" s="322" t="n"/>
      <c r="P32" s="323" t="n"/>
      <c r="Q32" s="327" t="n"/>
      <c r="R32" s="330" t="n"/>
      <c r="S32" s="332" t="n"/>
      <c r="T32" s="326" t="n"/>
      <c r="U32" s="327" t="n"/>
      <c r="V32" s="329" t="n"/>
      <c r="W32" s="329" t="n"/>
      <c r="X32" s="325" t="n"/>
      <c r="Z32" s="300" t="inlineStr">
        <is>
          <t>n/a</t>
        </is>
      </c>
      <c r="AA32" s="293">
        <f>B32</f>
        <v/>
      </c>
      <c r="AB32" s="294" t="inlineStr">
        <is>
          <t>BE</t>
        </is>
      </c>
    </row>
    <row r="33"/>
    <row r="34"/>
    <row r="35"/>
    <row r="36"/>
    <row r="37"/>
    <row r="38">
      <c r="F38" s="387" t="inlineStr">
        <is>
          <t>Legend</t>
        </is>
      </c>
      <c r="Z38" t="inlineStr">
        <is>
          <t>For the Hudson funds, all investments are SEC_UEQ_UEQY.</t>
        </is>
      </c>
    </row>
    <row r="39">
      <c r="F39" s="388" t="inlineStr">
        <is>
          <t>Submitted</t>
        </is>
      </c>
      <c r="Z39" t="inlineStr">
        <is>
          <t>For the Stuyvesant funds, all investments are SEC_UEQ_UEQY or CIU_NAM_OTHR.</t>
        </is>
      </c>
    </row>
    <row r="40">
      <c r="F40" s="389" t="inlineStr">
        <is>
          <t>Accepted</t>
        </is>
      </c>
      <c r="Z40" t="inlineStr">
        <is>
          <t>For the Stuyvesant C.V.s and Feeders, all investments are CIU_OAM_OTHR.</t>
        </is>
      </c>
    </row>
    <row r="41" ht="15.5" customHeight="1">
      <c r="F41" s="390" t="inlineStr">
        <is>
          <t>Rejected</t>
        </is>
      </c>
      <c r="Z41" s="284" t="n"/>
    </row>
    <row r="42">
      <c r="F42" s="386" t="inlineStr">
        <is>
          <t xml:space="preserve">Pending re-registration regulator </t>
        </is>
      </c>
      <c r="Z42" t="inlineStr">
        <is>
          <t>For the Stuyvesant funds, turnover gets OTH_OTH_OTH.</t>
        </is>
      </c>
    </row>
    <row r="43">
      <c r="F43" s="391" t="inlineStr">
        <is>
          <t>No reporting obligation</t>
        </is>
      </c>
    </row>
    <row r="44" ht="15.5" customHeight="1">
      <c r="B44" s="284" t="n"/>
      <c r="F44" s="385" t="inlineStr">
        <is>
          <t>No access</t>
        </is>
      </c>
    </row>
    <row r="45" ht="15.5" customHeight="1">
      <c r="B45" s="284" t="n"/>
    </row>
    <row r="46">
      <c r="B46" s="321" t="inlineStr">
        <is>
          <t xml:space="preserve">Invoice </t>
        </is>
      </c>
      <c r="C46" s="321" t="inlineStr">
        <is>
          <t>Q3 2023</t>
        </is>
      </c>
      <c r="D46" s="321" t="n"/>
      <c r="E46" s="321" t="n"/>
      <c r="F46" s="321" t="n"/>
      <c r="G46" s="321" t="n"/>
      <c r="H46" s="321" t="n"/>
    </row>
    <row r="47">
      <c r="B47" s="282" t="inlineStr">
        <is>
          <t>AIFMD reporting fees</t>
        </is>
      </c>
      <c r="C47" s="357" t="inlineStr">
        <is>
          <t>Quantity</t>
        </is>
      </c>
      <c r="D47" s="357" t="inlineStr">
        <is>
          <t>Price</t>
        </is>
      </c>
      <c r="E47" s="357" t="n"/>
      <c r="F47" s="357" t="inlineStr">
        <is>
          <t>Discount</t>
        </is>
      </c>
      <c r="G47" s="357" t="inlineStr">
        <is>
          <t>Sub-Total</t>
        </is>
      </c>
      <c r="H47" s="357" t="inlineStr">
        <is>
          <t>Total</t>
        </is>
      </c>
    </row>
    <row r="48">
      <c r="B48" s="42" t="n"/>
      <c r="C48" s="42" t="n"/>
      <c r="D48" s="42" t="n"/>
      <c r="E48" s="42" t="n"/>
      <c r="F48" s="42" t="n"/>
      <c r="G48" s="42" t="n"/>
      <c r="H48" s="42" t="n"/>
    </row>
    <row r="49">
      <c r="B49" s="272" t="inlineStr">
        <is>
          <t>Software AIFMD license</t>
        </is>
      </c>
      <c r="C49" s="42" t="n"/>
      <c r="D49" s="42" t="n"/>
      <c r="E49" s="42" t="n"/>
      <c r="F49" s="42" t="n"/>
      <c r="G49" s="42" t="n"/>
      <c r="H49" s="42" t="n"/>
    </row>
    <row r="50">
      <c r="B50" s="42" t="inlineStr">
        <is>
          <t>AIFM (manager) - XML reports -single jurisdiction</t>
        </is>
      </c>
      <c r="C50" s="319" t="n">
        <v>0</v>
      </c>
      <c r="D50" s="413">
        <f>320/4*1.0633</f>
        <v/>
      </c>
      <c r="E50" s="413" t="n"/>
      <c r="F50" s="274" t="n">
        <v>0.35</v>
      </c>
      <c r="G50" s="414">
        <f>C50*D50*(1-F50)</f>
        <v/>
      </c>
      <c r="H50" s="42" t="n"/>
    </row>
    <row r="51">
      <c r="B51" s="42" t="inlineStr">
        <is>
          <t>AIF (fund) - XML reports - single juridisction</t>
        </is>
      </c>
      <c r="C51" s="319" t="n">
        <v>2</v>
      </c>
      <c r="D51" s="413">
        <f>635/4*1.0633</f>
        <v/>
      </c>
      <c r="E51" s="413" t="n"/>
      <c r="F51" s="274" t="n">
        <v>0.35</v>
      </c>
      <c r="G51" s="414">
        <f>C51*D51*(1-F51)</f>
        <v/>
      </c>
      <c r="H51" s="42" t="n"/>
    </row>
    <row r="52">
      <c r="B52" s="42" t="inlineStr">
        <is>
          <t>Additional Jurisdictions</t>
        </is>
      </c>
      <c r="C52" s="319" t="n">
        <v>2</v>
      </c>
      <c r="D52" s="413">
        <f>100/4*1.0633</f>
        <v/>
      </c>
      <c r="E52" s="413" t="n"/>
      <c r="F52" s="274" t="n">
        <v>0.35</v>
      </c>
      <c r="G52" s="414">
        <f>C52*D52*(1-F52)</f>
        <v/>
      </c>
      <c r="H52" s="42" t="n"/>
    </row>
    <row r="53">
      <c r="B53" s="276" t="inlineStr">
        <is>
          <t>Use CSSF transmission channel</t>
        </is>
      </c>
      <c r="C53" s="320" t="n">
        <v>0</v>
      </c>
      <c r="D53" s="415">
        <f>75*1.0633</f>
        <v/>
      </c>
      <c r="E53" s="415" t="n"/>
      <c r="F53" s="279" t="n">
        <v>0.35</v>
      </c>
      <c r="G53" s="416">
        <f>C53*D53*(1-F53)</f>
        <v/>
      </c>
      <c r="H53" s="281" t="n"/>
    </row>
    <row r="54">
      <c r="B54" s="42" t="n"/>
      <c r="C54" s="42" t="n"/>
      <c r="D54" s="42" t="n"/>
      <c r="E54" s="42" t="n"/>
      <c r="F54" s="42" t="n"/>
      <c r="G54" s="417">
        <f>SUM(G50:G53)</f>
        <v/>
      </c>
      <c r="H54" s="417">
        <f>G54</f>
        <v/>
      </c>
    </row>
    <row r="55">
      <c r="B55" s="42" t="n"/>
      <c r="C55" s="42" t="n"/>
      <c r="D55" s="42" t="n"/>
      <c r="E55" s="42" t="n"/>
      <c r="F55" s="42" t="n"/>
      <c r="G55" s="42" t="n"/>
      <c r="H55" s="42" t="n"/>
    </row>
    <row r="56">
      <c r="B56" s="272" t="inlineStr">
        <is>
          <t>Labour</t>
        </is>
      </c>
      <c r="C56" s="42" t="n"/>
      <c r="D56" s="42" t="n"/>
      <c r="E56" s="42" t="n"/>
      <c r="F56" s="42" t="n"/>
      <c r="G56" s="42" t="n"/>
      <c r="H56" s="42" t="n"/>
    </row>
    <row r="57">
      <c r="B57" s="42" t="inlineStr">
        <is>
          <t>Data entry (avg. 45min per legal entity x hourly rate 150,-)</t>
        </is>
      </c>
      <c r="C57" s="319" t="n">
        <v>0</v>
      </c>
      <c r="D57" s="414">
        <f>0.75*150*1.0633</f>
        <v/>
      </c>
      <c r="E57" s="414" t="n"/>
      <c r="F57" s="42" t="n"/>
      <c r="G57" s="414">
        <f>C57*D57</f>
        <v/>
      </c>
      <c r="H57" s="42" t="n"/>
    </row>
    <row r="58">
      <c r="B58" s="42" t="inlineStr">
        <is>
          <t>Filing (avg. 10 min per filing x hourly rate 150,-)</t>
        </is>
      </c>
      <c r="C58" s="319">
        <f>D28</f>
        <v/>
      </c>
      <c r="D58" s="414">
        <f>10/60*150*1.0633</f>
        <v/>
      </c>
      <c r="E58" s="414" t="n"/>
      <c r="F58" s="42" t="n"/>
      <c r="G58" s="414">
        <f>C58*D58</f>
        <v/>
      </c>
      <c r="H58" s="42" t="n"/>
    </row>
    <row r="59">
      <c r="B59" s="42" t="inlineStr">
        <is>
          <t>Miscellaneous</t>
        </is>
      </c>
      <c r="C59" s="361" t="n">
        <v>0</v>
      </c>
      <c r="D59" s="416">
        <f>150*1.0633</f>
        <v/>
      </c>
      <c r="E59" s="416" t="n"/>
      <c r="F59" s="281" t="n"/>
      <c r="G59" s="416">
        <f>C59*D59</f>
        <v/>
      </c>
      <c r="H59" s="281" t="n"/>
    </row>
    <row r="60">
      <c r="B60" s="42" t="n"/>
      <c r="C60" s="42" t="n"/>
      <c r="D60" s="42" t="n"/>
      <c r="E60" s="42" t="n"/>
      <c r="F60" s="42" t="n"/>
      <c r="G60" s="414">
        <f>SUM(G57:G59)</f>
        <v/>
      </c>
      <c r="H60" s="417">
        <f>G60</f>
        <v/>
      </c>
    </row>
    <row r="61">
      <c r="B61" s="276" t="n"/>
      <c r="C61" s="42" t="n"/>
      <c r="D61" s="42" t="n"/>
      <c r="E61" s="42" t="n"/>
      <c r="F61" s="42" t="n"/>
      <c r="G61" s="42" t="n"/>
      <c r="H61" s="42" t="n"/>
    </row>
    <row r="62">
      <c r="B62" s="282" t="inlineStr">
        <is>
          <t>Total Fee</t>
        </is>
      </c>
      <c r="C62" s="282" t="n"/>
      <c r="D62" s="282" t="n"/>
      <c r="E62" s="282" t="n"/>
      <c r="F62" s="282" t="n"/>
      <c r="G62" s="282" t="n"/>
      <c r="H62" s="418">
        <f>H54+H60</f>
        <v/>
      </c>
    </row>
  </sheetData>
  <mergeCells count="13">
    <mergeCell ref="J5:L5"/>
    <mergeCell ref="F38:H38"/>
    <mergeCell ref="F5:H5"/>
    <mergeCell ref="F42:H42"/>
    <mergeCell ref="V5:X5"/>
    <mergeCell ref="R5:T5"/>
    <mergeCell ref="F41:H41"/>
    <mergeCell ref="N5:P5"/>
    <mergeCell ref="F40:H40"/>
    <mergeCell ref="F43:H43"/>
    <mergeCell ref="F44:H44"/>
    <mergeCell ref="F39:H39"/>
    <mergeCell ref="D3:X3"/>
  </mergeCells>
  <dataValidations disablePrompts="1" count="1">
    <dataValidation sqref="V13:V14" showDropDown="0" showInputMessage="1" showErrorMessage="1" allowBlank="1" promptTitle="Mandatory" prompt="Unique reference identifying each AIF allocated by the national competent authority of the reporting Member State._x000a__x000a_Note: this is not the Chamber of Commerce number."/>
  </dataValidations>
  <pageMargins left="0.7086614173228347" right="0.7086614173228347" top="0.7480314960629921" bottom="0.7480314960629921" header="0.3149606299212598" footer="0.3149606299212598"/>
  <pageSetup orientation="landscape" scale="50"/>
</worksheet>
</file>

<file path=xl/worksheets/sheet2.xml><?xml version="1.0" encoding="utf-8"?>
<worksheet xmlns="http://schemas.openxmlformats.org/spreadsheetml/2006/main">
  <sheetPr>
    <tabColor theme="4" tint="-0.499984740745262"/>
    <outlinePr summaryBelow="1" summaryRight="1"/>
    <pageSetUpPr/>
  </sheetPr>
  <dimension ref="A1:AM251"/>
  <sheetViews>
    <sheetView zoomScale="90" zoomScaleNormal="90" workbookViewId="0">
      <selection activeCell="E15" sqref="E15"/>
    </sheetView>
  </sheetViews>
  <sheetFormatPr baseColWidth="10" defaultColWidth="0" defaultRowHeight="10.5" zeroHeight="1"/>
  <cols>
    <col width="24.1796875" customWidth="1" style="25" min="1" max="1"/>
    <col width="34.54296875"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230">
      <c r="A1" s="229" t="inlineStr">
        <is>
          <t>#Copyright Matterhorn Reporting Services.</t>
        </is>
      </c>
      <c r="D1" s="231" t="n"/>
      <c r="E1" s="231" t="n"/>
    </row>
    <row r="2" customFormat="1" s="232">
      <c r="A2" s="232" t="inlineStr">
        <is>
          <t>INPUT_FORMAT</t>
        </is>
      </c>
      <c r="B2" s="232" t="inlineStr">
        <is>
          <t>AIFMD</t>
        </is>
      </c>
      <c r="C2" s="232" t="inlineStr">
        <is>
          <t>V1</t>
        </is>
      </c>
      <c r="D2" s="229" t="inlineStr">
        <is>
          <t>IGNnotORE_UNKNOWN_AIF_ID</t>
        </is>
      </c>
      <c r="E2" s="229" t="n"/>
    </row>
    <row r="3" customFormat="1" s="26">
      <c r="A3" s="26" t="inlineStr">
        <is>
          <t>INPUT_FORMAT</t>
        </is>
      </c>
      <c r="B3" s="26" t="inlineStr">
        <is>
          <t>AIFMD</t>
        </is>
      </c>
      <c r="C3" s="26" t="inlineStr">
        <is>
          <t>V1</t>
        </is>
      </c>
      <c r="D3" s="27" t="inlineStr">
        <is>
          <t>MASTER_CHECK_AS_WARNING IGNORE_UNKNOWN_AIF_ID LEVERAGE_CHECK_WARNING</t>
        </is>
      </c>
      <c r="E3" s="27" t="n"/>
    </row>
    <row r="4" customFormat="1" s="156">
      <c r="A4" s="156" t="inlineStr">
        <is>
          <t>#START QUESTIONS FOR MANAGER (AIFM) REPORT</t>
        </is>
      </c>
      <c r="E4" s="156" t="inlineStr">
        <is>
          <t>#START QUESTIONS FOR MANAGER (AIFM) REPORT</t>
        </is>
      </c>
      <c r="J4" s="156" t="inlineStr">
        <is>
          <t>#START QUESTIONS FOR MANAGER (AIFM) REPORT</t>
        </is>
      </c>
      <c r="P4" s="156" t="inlineStr">
        <is>
          <t>#START QUESTIONS FOR MANAGER (AIFM) REPORT</t>
        </is>
      </c>
      <c r="U4" s="156" t="inlineStr">
        <is>
          <t>#START QUESTIONS FOR MANAGER (AIFM) REPORT</t>
        </is>
      </c>
    </row>
    <row r="5"/>
    <row r="6" customFormat="1" s="28">
      <c r="A6" s="23" t="inlineStr">
        <is>
          <t>#AIFM</t>
        </is>
      </c>
      <c r="B6" s="23" t="inlineStr">
        <is>
          <t>Filing Type</t>
        </is>
      </c>
      <c r="C6" s="23" t="inlineStr">
        <is>
          <t>AIFM Content Type</t>
        </is>
      </c>
      <c r="D6" s="172" t="inlineStr">
        <is>
          <t>(Legacy) Reporting Period Start Date</t>
        </is>
      </c>
      <c r="E6" s="172" t="inlineStr">
        <is>
          <t>(Legacy) Reporting Period End Date</t>
        </is>
      </c>
      <c r="F6" s="23" t="inlineStr">
        <is>
          <t>Reporting Period Type</t>
        </is>
      </c>
      <c r="G6" s="23" t="inlineStr">
        <is>
          <t>Reporting Period Year</t>
        </is>
      </c>
      <c r="H6" s="23" t="inlineStr">
        <is>
          <t>Change in AIFM Reporting Obligation Frequency Code</t>
        </is>
      </c>
      <c r="I6" s="23" t="inlineStr">
        <is>
          <t>Change in AIFM Reporting Obligation contents Code</t>
        </is>
      </c>
      <c r="J6" s="23" t="inlineStr">
        <is>
          <t>Change in AIFM Reporting Obligation Quarter</t>
        </is>
      </c>
      <c r="K6" s="23" t="inlineStr">
        <is>
          <t>Last Reporting Flag</t>
        </is>
      </c>
      <c r="L6" s="23" t="inlineStr">
        <is>
          <t>AIFM Reporting Code</t>
        </is>
      </c>
      <c r="M6" s="23" t="inlineStr">
        <is>
          <t>AIFM Jurisdiction</t>
        </is>
      </c>
      <c r="N6" s="23" t="inlineStr">
        <is>
          <t>AIFM Name</t>
        </is>
      </c>
      <c r="O6" s="172" t="inlineStr">
        <is>
          <t>(Legacy) AIFM EEA Flag</t>
        </is>
      </c>
      <c r="P6" s="23" t="inlineStr">
        <is>
          <t>AIFM no reporting flag (Nothing to report)</t>
        </is>
      </c>
      <c r="Q6" s="23" t="inlineStr">
        <is>
          <t>AIFM LEI Code</t>
        </is>
      </c>
      <c r="R6" s="23" t="inlineStr">
        <is>
          <t>AIFM BIC Code</t>
        </is>
      </c>
    </row>
    <row r="7" customFormat="1" s="30">
      <c r="A7" s="29" t="inlineStr">
        <is>
          <t>#AIFM fieldnummers</t>
        </is>
      </c>
      <c r="B7" s="29" t="n">
        <v>4</v>
      </c>
      <c r="C7" s="29" t="n">
        <v>5</v>
      </c>
      <c r="D7" s="29" t="n">
        <v>6</v>
      </c>
      <c r="E7" s="29" t="n">
        <v>7</v>
      </c>
      <c r="F7" s="233" t="inlineStr">
        <is>
          <t>8, 6, 7</t>
        </is>
      </c>
      <c r="G7" s="233" t="inlineStr">
        <is>
          <t>9, 6, 7</t>
        </is>
      </c>
      <c r="H7" s="29" t="n">
        <v>10</v>
      </c>
      <c r="I7" s="29" t="n">
        <v>11</v>
      </c>
      <c r="J7" s="29" t="n">
        <v>12</v>
      </c>
      <c r="K7" s="29" t="n">
        <v>13</v>
      </c>
      <c r="L7" s="29" t="n">
        <v>16</v>
      </c>
      <c r="M7" s="233" t="inlineStr">
        <is>
          <t>17, 20</t>
        </is>
      </c>
      <c r="N7" s="29" t="n">
        <v>19</v>
      </c>
      <c r="O7" s="29" t="n">
        <v>20</v>
      </c>
      <c r="P7" s="29" t="n">
        <v>21</v>
      </c>
      <c r="Q7" s="29" t="n">
        <v>22</v>
      </c>
      <c r="R7" s="29" t="n">
        <v>23</v>
      </c>
    </row>
    <row r="8" customFormat="1" s="151">
      <c r="A8" s="25" t="inlineStr">
        <is>
          <t>AIFM</t>
        </is>
      </c>
      <c r="C8" s="151" t="n">
        <v>3</v>
      </c>
      <c r="D8" s="152" t="n"/>
      <c r="E8" s="152" t="n"/>
      <c r="F8" s="244" t="inlineStr">
        <is>
          <t>Q3</t>
        </is>
      </c>
      <c r="G8" s="244" t="n">
        <v>2024</v>
      </c>
      <c r="L8" s="151" t="n">
        <v>9</v>
      </c>
      <c r="M8" s="151" t="inlineStr">
        <is>
          <t>US</t>
        </is>
      </c>
      <c r="N8" s="151" t="inlineStr">
        <is>
          <t>Granite Peak Capital, LLC</t>
        </is>
      </c>
    </row>
    <row r="9">
      <c r="E9" s="309" t="n"/>
    </row>
    <row r="10">
      <c r="E10" s="152" t="n"/>
    </row>
    <row r="11">
      <c r="A11" s="23" t="inlineStr">
        <is>
          <t>#AIFM_NATIONAL_CODE</t>
        </is>
      </c>
      <c r="B11" s="23" t="inlineStr">
        <is>
          <t>AIFM Reporting Member State</t>
        </is>
      </c>
      <c r="C11" s="23" t="inlineStr">
        <is>
          <t>AIFM National Code</t>
        </is>
      </c>
      <c r="D11" s="23" t="inlineStr">
        <is>
          <t>Old AIFM Reporting Member State</t>
        </is>
      </c>
      <c r="E11" s="23" t="inlineStr">
        <is>
          <t>Old AIFM National Code</t>
        </is>
      </c>
      <c r="F11" s="23" t="inlineStr">
        <is>
          <t>Custom National Code</t>
        </is>
      </c>
    </row>
    <row r="12" customFormat="1" s="30">
      <c r="A12" s="29" t="inlineStr">
        <is>
          <t>#AIFM fieldnummers</t>
        </is>
      </c>
      <c r="B12" s="29" t="n">
        <v>1</v>
      </c>
      <c r="C12" s="29" t="n">
        <v>18</v>
      </c>
      <c r="D12" s="29" t="n">
        <v>24</v>
      </c>
      <c r="E12" s="29" t="n">
        <v>25</v>
      </c>
      <c r="F12" s="37" t="inlineStr">
        <is>
          <t>CNC</t>
        </is>
      </c>
    </row>
    <row r="13" ht="12.75" customFormat="1" customHeight="1" s="151">
      <c r="A13" s="151" t="inlineStr">
        <is>
          <t>AIFM_NATIONAL_CODE</t>
        </is>
      </c>
      <c r="B13" s="151" t="inlineStr">
        <is>
          <t>BE</t>
        </is>
      </c>
      <c r="C13" s="152" t="inlineStr">
        <is>
          <t>0000088701</t>
        </is>
      </c>
    </row>
    <row r="14" ht="12.75" customFormat="1" customHeight="1" s="151">
      <c r="A14" s="151" t="inlineStr">
        <is>
          <t>AIFM_NATIONAL_CODE</t>
        </is>
      </c>
      <c r="B14" s="151" t="inlineStr">
        <is>
          <t>DE</t>
        </is>
      </c>
      <c r="C14" s="151" t="n">
        <v>60099730</v>
      </c>
    </row>
    <row r="15" ht="12.75" customFormat="1" customHeight="1" s="151">
      <c r="A15" s="151" t="inlineStr">
        <is>
          <t>AIFM_NATIONAL_CODE</t>
        </is>
      </c>
      <c r="B15" s="151" t="inlineStr">
        <is>
          <t>LU</t>
        </is>
      </c>
      <c r="C15" s="151" t="inlineStr">
        <is>
          <t>A00007891</t>
        </is>
      </c>
      <c r="F15" s="151" t="n">
        <v>200005846</v>
      </c>
    </row>
    <row r="16" ht="12.75" customFormat="1" customHeight="1" s="245">
      <c r="A16" s="151" t="inlineStr">
        <is>
          <t>AIFM_NATIONAL_CODE</t>
        </is>
      </c>
      <c r="B16" s="151" t="inlineStr">
        <is>
          <t>NL</t>
        </is>
      </c>
      <c r="C16" s="151" t="inlineStr">
        <is>
          <t>GPC042</t>
        </is>
      </c>
    </row>
    <row r="17" ht="12.75" customFormat="1" customHeight="1" s="151">
      <c r="A17" s="151" t="inlineStr">
        <is>
          <t>AIFM_NATIONAL_CODE</t>
        </is>
      </c>
      <c r="B17" s="151" t="inlineStr">
        <is>
          <t>GB</t>
        </is>
      </c>
      <c r="C17" s="151" t="n">
        <v>845672</v>
      </c>
    </row>
    <row r="18" customFormat="1" s="151"/>
    <row r="19">
      <c r="A19" s="23" t="inlineStr">
        <is>
          <t>#AIFM_ASSUMPTION</t>
        </is>
      </c>
      <c r="B19" s="23" t="inlineStr">
        <is>
          <t>Question Number</t>
        </is>
      </c>
      <c r="C19" s="23" t="inlineStr">
        <is>
          <t>Assumption Description</t>
        </is>
      </c>
    </row>
    <row r="20">
      <c r="A20" s="29" t="inlineStr">
        <is>
          <t>#AIFM fieldnummers</t>
        </is>
      </c>
      <c r="B20" s="29" t="n">
        <v>14</v>
      </c>
      <c r="C20" s="29" t="n">
        <v>15</v>
      </c>
    </row>
    <row r="21" customFormat="1" s="151">
      <c r="C21" s="185" t="n"/>
    </row>
    <row r="22" customFormat="1" s="151">
      <c r="C22" s="185" t="n"/>
    </row>
    <row r="23"/>
    <row r="24"/>
    <row r="25"/>
    <row r="26" customFormat="1" s="28">
      <c r="A26" s="23" t="inlineStr">
        <is>
          <t>#AIF</t>
        </is>
      </c>
      <c r="B26" s="23" t="inlineStr">
        <is>
          <t>Custom AIF Identification</t>
        </is>
      </c>
      <c r="C26" s="23" t="inlineStr">
        <is>
          <t>Filing Type</t>
        </is>
      </c>
      <c r="D26" s="23" t="inlineStr">
        <is>
          <t>AIF Content Type</t>
        </is>
      </c>
      <c r="E26" s="172" t="inlineStr">
        <is>
          <t>(Legacy) Reporting Period Start Date</t>
        </is>
      </c>
      <c r="F26" s="172" t="inlineStr">
        <is>
          <t>(Legacy) Reporting Period End Date</t>
        </is>
      </c>
      <c r="G26" s="23" t="inlineStr">
        <is>
          <t>Reporting Period Type</t>
        </is>
      </c>
      <c r="H26" s="172" t="inlineStr">
        <is>
          <t>(Legacy) Reporting Period Year</t>
        </is>
      </c>
      <c r="I26" s="23" t="inlineStr">
        <is>
          <t>Change in AIF Reporting Obligation Frequency Code</t>
        </is>
      </c>
      <c r="J26" s="23" t="inlineStr">
        <is>
          <t>Change in AIF Reporting Obligation contents Code</t>
        </is>
      </c>
      <c r="K26" s="23" t="inlineStr">
        <is>
          <t>Change in AIF Reporting Obligation Quarter</t>
        </is>
      </c>
      <c r="L26" s="23" t="inlineStr">
        <is>
          <t>Last reporting flag</t>
        </is>
      </c>
      <c r="M26" s="23" t="inlineStr">
        <is>
          <t>AIF Name</t>
        </is>
      </c>
      <c r="N26" s="172" t="inlineStr">
        <is>
          <t>(Legacy) AIF EEA Flag</t>
        </is>
      </c>
      <c r="O26" s="23" t="inlineStr">
        <is>
          <t>AIF reporting code</t>
        </is>
      </c>
      <c r="P26" s="23" t="inlineStr">
        <is>
          <t>Domicile of the AIF</t>
        </is>
      </c>
      <c r="Q26" s="23" t="inlineStr">
        <is>
          <t>Inception Date of AIF</t>
        </is>
      </c>
      <c r="R26" s="23" t="inlineStr">
        <is>
          <t>AIF No Reporting Flag (Nothing to report)</t>
        </is>
      </c>
      <c r="S26" s="23" t="inlineStr">
        <is>
          <t>AIF LEI code</t>
        </is>
      </c>
      <c r="T26" s="23" t="inlineStr">
        <is>
          <t>AIF ISIN code</t>
        </is>
      </c>
      <c r="U26" s="23" t="inlineStr">
        <is>
          <t>AIF CUSIP code</t>
        </is>
      </c>
      <c r="V26" s="23" t="inlineStr">
        <is>
          <t>AIF Sedol code</t>
        </is>
      </c>
      <c r="W26" s="23" t="inlineStr">
        <is>
          <t>AIF Bloomberg code</t>
        </is>
      </c>
      <c r="X26" s="23" t="inlineStr">
        <is>
          <t>AIF Reuters code</t>
        </is>
      </c>
      <c r="Y26" s="23" t="inlineStr">
        <is>
          <t>AIF ECB code</t>
        </is>
      </c>
      <c r="Z26" s="172" t="inlineStr">
        <is>
          <t>(Legacy) Master feeder status</t>
        </is>
      </c>
      <c r="AA26" s="23" t="inlineStr">
        <is>
          <t>Base currency of the AIF</t>
        </is>
      </c>
      <c r="AB26" s="23" t="inlineStr">
        <is>
          <t>Total AuM amount of the AIF in base currency</t>
        </is>
      </c>
      <c r="AC26" s="23" t="inlineStr">
        <is>
          <t>Total Net Asset Value of the AIF (NAV)</t>
        </is>
      </c>
      <c r="AD26" s="23" t="inlineStr">
        <is>
          <t>First funding source country</t>
        </is>
      </c>
      <c r="AE26" s="23" t="inlineStr">
        <is>
          <t>Second funding source country</t>
        </is>
      </c>
      <c r="AF26" s="23" t="inlineStr">
        <is>
          <t>Third funding source country</t>
        </is>
      </c>
      <c r="AG26" s="23" t="inlineStr">
        <is>
          <t>Number of transactions under HFT</t>
        </is>
      </c>
      <c r="AH26" s="23" t="inlineStr">
        <is>
          <t>Market value of buys and sells in base currency under HFT</t>
        </is>
      </c>
      <c r="AI26" s="23" t="inlineStr">
        <is>
          <t>Typical deal / position size</t>
        </is>
      </c>
      <c r="AJ26" s="23" t="inlineStr">
        <is>
          <t>Beneficially owned percentage by top 5 beneficial owners</t>
        </is>
      </c>
      <c r="AK26" s="23" t="inlineStr">
        <is>
          <t>Expected annual investment return percentage</t>
        </is>
      </c>
      <c r="AL26" s="23" t="inlineStr">
        <is>
          <t xml:space="preserve">Investor Concentration percentage by retail investors </t>
        </is>
      </c>
      <c r="AM26" s="23" t="inlineStr">
        <is>
          <t>Total number of open positions</t>
        </is>
      </c>
    </row>
    <row r="27" customFormat="1" s="30">
      <c r="A27" s="29" t="inlineStr">
        <is>
          <t>#AIF fieldnummers</t>
        </is>
      </c>
      <c r="B27" s="38" t="inlineStr">
        <is>
          <t>AIF_ID</t>
        </is>
      </c>
      <c r="C27" s="29" t="n">
        <v>4</v>
      </c>
      <c r="D27" s="29" t="n">
        <v>5</v>
      </c>
      <c r="E27" s="29" t="n">
        <v>6</v>
      </c>
      <c r="F27" s="29" t="n">
        <v>7</v>
      </c>
      <c r="G27" s="233" t="inlineStr">
        <is>
          <t>8, 6, 7</t>
        </is>
      </c>
      <c r="H27" s="29" t="n">
        <v>9</v>
      </c>
      <c r="I27" s="29" t="n">
        <v>10</v>
      </c>
      <c r="J27" s="29" t="n">
        <v>11</v>
      </c>
      <c r="K27" s="29" t="n">
        <v>12</v>
      </c>
      <c r="L27" s="29" t="n">
        <v>13</v>
      </c>
      <c r="M27" s="29" t="n">
        <v>18</v>
      </c>
      <c r="N27" s="29" t="n">
        <v>19</v>
      </c>
      <c r="O27" s="29" t="n">
        <v>20</v>
      </c>
      <c r="P27" s="233" t="inlineStr">
        <is>
          <t>21, 19</t>
        </is>
      </c>
      <c r="Q27" s="29" t="n">
        <v>22</v>
      </c>
      <c r="R27" s="29" t="n">
        <v>23</v>
      </c>
      <c r="S27" s="29" t="n">
        <v>24</v>
      </c>
      <c r="T27" s="29" t="n">
        <v>25</v>
      </c>
      <c r="U27" s="29" t="n">
        <v>26</v>
      </c>
      <c r="V27" s="29" t="n">
        <v>27</v>
      </c>
      <c r="W27" s="29" t="n">
        <v>28</v>
      </c>
      <c r="X27" s="29" t="n">
        <v>29</v>
      </c>
      <c r="Y27" s="29" t="n">
        <v>30</v>
      </c>
      <c r="Z27" s="29" t="n">
        <v>41</v>
      </c>
      <c r="AA27" s="29" t="n">
        <v>49</v>
      </c>
      <c r="AB27" s="29" t="n">
        <v>48</v>
      </c>
      <c r="AC27" s="29" t="n">
        <v>53</v>
      </c>
      <c r="AD27" s="29" t="n">
        <v>54</v>
      </c>
      <c r="AE27" s="29" t="n">
        <v>55</v>
      </c>
      <c r="AF27" s="29" t="n">
        <v>56</v>
      </c>
      <c r="AG27" s="29" t="n">
        <v>62</v>
      </c>
      <c r="AH27" s="29" t="n">
        <v>63</v>
      </c>
      <c r="AI27" s="29" t="n">
        <v>113</v>
      </c>
      <c r="AJ27" s="29" t="n">
        <v>118</v>
      </c>
      <c r="AK27" s="29" t="n">
        <v>137</v>
      </c>
      <c r="AL27" s="233" t="inlineStr">
        <is>
          <t>120, 119</t>
        </is>
      </c>
      <c r="AM27" s="29" t="n">
        <v>218</v>
      </c>
    </row>
    <row r="28" customFormat="1" s="151">
      <c r="A28" s="151" t="inlineStr">
        <is>
          <t>#ignore this line</t>
        </is>
      </c>
      <c r="B28" s="305" t="inlineStr">
        <is>
          <t>Alpine III Parallel Fund, L.P.</t>
        </is>
      </c>
      <c r="D28" s="151" t="n">
        <v>2</v>
      </c>
      <c r="E28" s="152" t="n"/>
      <c r="F28" s="152" t="n"/>
      <c r="H28" s="152" t="n"/>
      <c r="M28" s="151" t="inlineStr">
        <is>
          <t>Alpine III Parallel Fund, L.P.</t>
        </is>
      </c>
      <c r="O28" s="151" t="n">
        <v>39</v>
      </c>
      <c r="P28" s="151" t="inlineStr">
        <is>
          <t>US</t>
        </is>
      </c>
      <c r="Q28" s="419" t="n">
        <v>42664</v>
      </c>
      <c r="Z28" s="152" t="n"/>
      <c r="AA28" s="151" t="inlineStr">
        <is>
          <t>USD</t>
        </is>
      </c>
      <c r="AB28" s="338" t="n">
        <v>18977102</v>
      </c>
      <c r="AC28" s="338" t="n">
        <v>12517632</v>
      </c>
      <c r="AG28" s="420" t="n"/>
      <c r="AH28" s="256" t="n"/>
      <c r="AJ28" s="349" t="n">
        <v>46.57</v>
      </c>
      <c r="AK28" s="313" t="n">
        <v>20</v>
      </c>
      <c r="AL28" s="254" t="n"/>
      <c r="AM28" s="259" t="n"/>
    </row>
    <row r="29">
      <c r="A29" s="151" t="inlineStr">
        <is>
          <t>#ignore this line</t>
        </is>
      </c>
      <c r="B29" s="25" t="inlineStr">
        <is>
          <t>Alpine IV Parallel Fund, L.P.</t>
        </is>
      </c>
      <c r="C29" s="151" t="n"/>
      <c r="D29" s="151" t="n">
        <v>2</v>
      </c>
      <c r="E29" s="152" t="n"/>
      <c r="F29" s="152" t="n"/>
      <c r="G29" s="151" t="n"/>
      <c r="H29" s="152" t="n"/>
      <c r="I29" s="151" t="n"/>
      <c r="J29" s="151" t="n"/>
      <c r="K29" s="151" t="n"/>
      <c r="L29" s="151" t="n"/>
      <c r="M29" s="151" t="inlineStr">
        <is>
          <t>Alpine IV Parallel Fund, L.P.</t>
        </is>
      </c>
      <c r="N29" s="151" t="n"/>
      <c r="O29" s="151" t="n">
        <v>39</v>
      </c>
      <c r="P29" s="151" t="inlineStr">
        <is>
          <t>US</t>
        </is>
      </c>
      <c r="Q29" s="419" t="n">
        <v>43510</v>
      </c>
      <c r="R29" s="151" t="n"/>
      <c r="S29" s="151" t="n"/>
      <c r="T29" s="151" t="n"/>
      <c r="U29" s="151" t="n"/>
      <c r="V29" s="151" t="n"/>
      <c r="W29" s="151" t="n"/>
      <c r="X29" s="151" t="n"/>
      <c r="Y29" s="151" t="n"/>
      <c r="Z29" s="152" t="n"/>
      <c r="AA29" s="151" t="inlineStr">
        <is>
          <t>USD</t>
        </is>
      </c>
      <c r="AB29" s="338" t="n">
        <v>41410793</v>
      </c>
      <c r="AC29" s="338" t="n">
        <v>39917066</v>
      </c>
      <c r="AD29" s="151" t="n"/>
      <c r="AE29" s="151" t="n"/>
      <c r="AF29" s="151" t="n"/>
      <c r="AG29" s="420" t="n"/>
      <c r="AH29" s="256" t="n"/>
      <c r="AI29" s="151" t="n"/>
      <c r="AJ29" s="349" t="n">
        <v>44.87</v>
      </c>
      <c r="AK29" s="313" t="n">
        <v>20</v>
      </c>
      <c r="AL29" s="254" t="n"/>
      <c r="AM29" s="259" t="n"/>
    </row>
    <row r="30">
      <c r="A30" s="151" t="inlineStr">
        <is>
          <t>#ignore this line</t>
        </is>
      </c>
      <c r="B30" s="25" t="inlineStr">
        <is>
          <t>Alpine IV Parallel Feeder C.V.</t>
        </is>
      </c>
      <c r="C30" s="151" t="n"/>
      <c r="D30" s="151" t="n">
        <v>2</v>
      </c>
      <c r="E30" s="152" t="n"/>
      <c r="F30" s="152" t="n"/>
      <c r="G30" s="151" t="n"/>
      <c r="H30" s="152" t="n"/>
      <c r="I30" s="151" t="n"/>
      <c r="J30" s="151" t="n"/>
      <c r="K30" s="151" t="n"/>
      <c r="L30" s="151" t="n"/>
      <c r="M30" s="151" t="inlineStr">
        <is>
          <t>Alpine IV Parallel Feeder C.V.</t>
        </is>
      </c>
      <c r="N30" s="151" t="n"/>
      <c r="O30" s="151" t="n">
        <v>39</v>
      </c>
      <c r="P30" s="151" t="inlineStr">
        <is>
          <t>NL</t>
        </is>
      </c>
      <c r="Q30" s="419" t="n">
        <v>43495</v>
      </c>
      <c r="R30" s="151" t="n"/>
      <c r="S30" s="151" t="n"/>
      <c r="T30" s="151" t="n"/>
      <c r="U30" s="151" t="n"/>
      <c r="V30" s="151" t="n"/>
      <c r="W30" s="151" t="n"/>
      <c r="X30" s="151" t="n"/>
      <c r="Y30" s="151" t="n"/>
      <c r="Z30" s="152" t="n"/>
      <c r="AA30" s="151" t="inlineStr">
        <is>
          <t>USD</t>
        </is>
      </c>
      <c r="AB30" s="338" t="n"/>
      <c r="AC30" s="338" t="n"/>
      <c r="AD30" s="151" t="n"/>
      <c r="AE30" s="151" t="n"/>
      <c r="AF30" s="151" t="n"/>
      <c r="AG30" s="420" t="n"/>
      <c r="AH30" s="256" t="n"/>
      <c r="AI30" s="151" t="n"/>
      <c r="AJ30" s="349" t="n">
        <v>51.94</v>
      </c>
      <c r="AK30" s="313" t="n">
        <v>20</v>
      </c>
      <c r="AL30" s="254" t="n"/>
      <c r="AM30" s="259" t="n"/>
    </row>
    <row r="31">
      <c r="A31" s="151" t="inlineStr">
        <is>
          <t>#ignore this line</t>
        </is>
      </c>
      <c r="B31" s="25" t="inlineStr">
        <is>
          <t>Alpine V Parallel Fund, L.P.</t>
        </is>
      </c>
      <c r="C31" s="151" t="n"/>
      <c r="D31" s="151" t="n">
        <v>2</v>
      </c>
      <c r="E31" s="152" t="n"/>
      <c r="F31" s="152" t="n"/>
      <c r="G31" s="151" t="n"/>
      <c r="H31" s="152" t="n"/>
      <c r="I31" s="151" t="n"/>
      <c r="J31" s="151" t="n"/>
      <c r="K31" s="151" t="n"/>
      <c r="L31" s="151" t="n"/>
      <c r="M31" s="151" t="inlineStr">
        <is>
          <t>Alpine V Parallel Fund, L.P.</t>
        </is>
      </c>
      <c r="N31" s="151" t="n"/>
      <c r="O31" s="151" t="n">
        <v>39</v>
      </c>
      <c r="P31" s="151" t="inlineStr">
        <is>
          <t>US</t>
        </is>
      </c>
      <c r="Q31" s="419" t="n">
        <v>44433</v>
      </c>
      <c r="R31" s="151" t="n"/>
      <c r="S31" s="151" t="n"/>
      <c r="T31" s="151" t="n"/>
      <c r="U31" s="151" t="n"/>
      <c r="V31" s="151" t="n"/>
      <c r="W31" s="151" t="n"/>
      <c r="X31" s="151" t="n"/>
      <c r="Y31" s="151" t="n"/>
      <c r="Z31" s="152" t="n"/>
      <c r="AA31" s="151" t="inlineStr">
        <is>
          <t>USD</t>
        </is>
      </c>
      <c r="AB31" s="338" t="n">
        <v>48391917</v>
      </c>
      <c r="AC31" s="338" t="n">
        <v>46844526</v>
      </c>
      <c r="AD31" s="151" t="n"/>
      <c r="AE31" s="151" t="n"/>
      <c r="AF31" s="151" t="n"/>
      <c r="AG31" s="420" t="n"/>
      <c r="AH31" s="256" t="n"/>
      <c r="AI31" s="151" t="n"/>
      <c r="AJ31" s="349" t="n">
        <v>36.34</v>
      </c>
      <c r="AK31" s="313" t="n">
        <v>20</v>
      </c>
      <c r="AL31" s="254" t="n"/>
      <c r="AM31" s="259" t="n"/>
    </row>
    <row r="32">
      <c r="A32" s="151" t="inlineStr">
        <is>
          <t>AIF</t>
        </is>
      </c>
      <c r="B32" s="25" t="inlineStr">
        <is>
          <t>Alpine VI Parallel Fund, L.P.</t>
        </is>
      </c>
      <c r="D32" s="151" t="n">
        <v>2</v>
      </c>
      <c r="M32" s="25" t="inlineStr">
        <is>
          <t>Alpine VI Parallel Fund, L.P.</t>
        </is>
      </c>
      <c r="O32" s="363" t="n">
        <v>45</v>
      </c>
      <c r="P32" s="151" t="inlineStr">
        <is>
          <t>US</t>
        </is>
      </c>
      <c r="Q32" s="419" t="n">
        <v>45199</v>
      </c>
      <c r="R32" s="25" t="inlineStr">
        <is>
          <t>yes</t>
        </is>
      </c>
      <c r="AK32" s="314" t="n"/>
      <c r="AL32" s="254" t="n"/>
      <c r="AM32" s="259" t="n"/>
    </row>
    <row r="33">
      <c r="A33" s="151" t="inlineStr">
        <is>
          <t>AIF</t>
        </is>
      </c>
      <c r="B33" s="25" t="inlineStr">
        <is>
          <t>Alpine VI Parallel Feeder C.V.</t>
        </is>
      </c>
      <c r="D33" s="151" t="n">
        <v>2</v>
      </c>
      <c r="M33" s="25" t="inlineStr">
        <is>
          <t>Alpine VI Parallel Feeder C.V.</t>
        </is>
      </c>
      <c r="O33" s="363" t="n">
        <v>45</v>
      </c>
      <c r="P33" s="151" t="inlineStr">
        <is>
          <t>NL</t>
        </is>
      </c>
      <c r="Q33" s="419" t="n">
        <v>45199</v>
      </c>
      <c r="R33" s="25" t="inlineStr">
        <is>
          <t>yes</t>
        </is>
      </c>
      <c r="AK33" s="314" t="n"/>
      <c r="AL33" s="254" t="n"/>
      <c r="AM33" s="259" t="n"/>
    </row>
    <row r="34">
      <c r="A34" s="151" t="inlineStr">
        <is>
          <t>#ignore this line</t>
        </is>
      </c>
      <c r="B34" s="25" t="inlineStr">
        <is>
          <t>Ridgeline V Parallel Fund, L.P.</t>
        </is>
      </c>
      <c r="C34" s="151" t="n"/>
      <c r="D34" s="151" t="n">
        <v>2</v>
      </c>
      <c r="E34" s="152" t="n"/>
      <c r="F34" s="152" t="n"/>
      <c r="G34" s="151" t="n"/>
      <c r="H34" s="152" t="n"/>
      <c r="I34" s="151" t="n"/>
      <c r="J34" s="151" t="n"/>
      <c r="K34" s="151" t="n"/>
      <c r="L34" s="151" t="n"/>
      <c r="M34" s="151" t="inlineStr">
        <is>
          <t>Ridgeline V Parallel Fund, L.P.</t>
        </is>
      </c>
      <c r="N34" s="151" t="n"/>
      <c r="O34" s="151" t="n">
        <v>39</v>
      </c>
      <c r="P34" s="151" t="inlineStr">
        <is>
          <t>US</t>
        </is>
      </c>
      <c r="Q34" s="419" t="n">
        <v>42054</v>
      </c>
      <c r="R34" s="151" t="n"/>
      <c r="S34" s="151" t="n"/>
      <c r="T34" s="151" t="n"/>
      <c r="U34" s="151" t="n"/>
      <c r="V34" s="151" t="n"/>
      <c r="W34" s="151" t="n"/>
      <c r="X34" s="151" t="n"/>
      <c r="Y34" s="151" t="n"/>
      <c r="Z34" s="152" t="n"/>
      <c r="AA34" s="151" t="inlineStr">
        <is>
          <t>USD</t>
        </is>
      </c>
      <c r="AB34" s="338" t="n">
        <v>77408278</v>
      </c>
      <c r="AC34" s="338" t="n">
        <v>47131044</v>
      </c>
      <c r="AD34" s="151" t="n"/>
      <c r="AE34" s="151" t="n"/>
      <c r="AF34" s="151" t="n"/>
      <c r="AG34" s="420" t="n"/>
      <c r="AH34" s="256" t="n"/>
      <c r="AI34" s="151" t="n"/>
      <c r="AJ34" s="349" t="n">
        <v>44.2</v>
      </c>
      <c r="AK34" s="313" t="n">
        <v>14.5</v>
      </c>
      <c r="AL34" s="254" t="n"/>
      <c r="AM34" s="259" t="n"/>
    </row>
    <row r="35">
      <c r="A35" s="151" t="inlineStr">
        <is>
          <t>#ignore this line</t>
        </is>
      </c>
      <c r="B35" s="25" t="inlineStr">
        <is>
          <t>Ridgeline V Parallel Feeder C.V.</t>
        </is>
      </c>
      <c r="C35" s="151" t="n"/>
      <c r="D35" s="151" t="n">
        <v>2</v>
      </c>
      <c r="E35" s="152" t="n"/>
      <c r="F35" s="152" t="n"/>
      <c r="G35" s="151" t="n"/>
      <c r="H35" s="152" t="n"/>
      <c r="I35" s="151" t="n"/>
      <c r="J35" s="151" t="n"/>
      <c r="K35" s="151" t="n"/>
      <c r="L35" s="151" t="n"/>
      <c r="M35" s="151" t="inlineStr">
        <is>
          <t>Ridgeline V Parallel Feeder C.V.</t>
        </is>
      </c>
      <c r="N35" s="151" t="n"/>
      <c r="O35" s="151" t="n">
        <v>39</v>
      </c>
      <c r="P35" s="151" t="inlineStr">
        <is>
          <t>NL</t>
        </is>
      </c>
      <c r="Q35" s="419" t="n">
        <v>42055</v>
      </c>
      <c r="R35" s="151" t="n"/>
      <c r="S35" s="151" t="n"/>
      <c r="T35" s="151" t="n"/>
      <c r="U35" s="151" t="n"/>
      <c r="V35" s="151" t="n"/>
      <c r="W35" s="151" t="n"/>
      <c r="X35" s="151" t="n"/>
      <c r="Y35" s="151" t="n"/>
      <c r="Z35" s="152" t="n"/>
      <c r="AA35" s="151" t="inlineStr">
        <is>
          <t>USD</t>
        </is>
      </c>
      <c r="AB35" s="338" t="n"/>
      <c r="AC35" s="338" t="n"/>
      <c r="AD35" s="151" t="n"/>
      <c r="AE35" s="151" t="n"/>
      <c r="AF35" s="151" t="n"/>
      <c r="AG35" s="420" t="n"/>
      <c r="AH35" s="256" t="n"/>
      <c r="AI35" s="151" t="n"/>
      <c r="AJ35" s="349" t="n">
        <v>56.17</v>
      </c>
      <c r="AK35" s="313" t="n">
        <v>14.5</v>
      </c>
      <c r="AL35" s="254" t="n"/>
      <c r="AM35" s="259" t="n"/>
    </row>
    <row r="36">
      <c r="A36" s="151" t="inlineStr">
        <is>
          <t>#ignore this line</t>
        </is>
      </c>
      <c r="B36" s="25" t="inlineStr">
        <is>
          <t>Ridgeline VI Parallel Fund, L.P</t>
        </is>
      </c>
      <c r="C36" s="151" t="n"/>
      <c r="D36" s="151" t="n">
        <v>2</v>
      </c>
      <c r="E36" s="152" t="n"/>
      <c r="F36" s="152" t="n"/>
      <c r="G36" s="151" t="n"/>
      <c r="H36" s="152" t="n"/>
      <c r="I36" s="151" t="n"/>
      <c r="J36" s="151" t="n"/>
      <c r="K36" s="151" t="n"/>
      <c r="L36" s="151" t="n"/>
      <c r="M36" s="151" t="inlineStr">
        <is>
          <t>Ridgeline VI Parallel Fund, L.P</t>
        </is>
      </c>
      <c r="N36" s="151" t="n"/>
      <c r="O36" s="363" t="n">
        <v>45</v>
      </c>
      <c r="P36" s="151" t="inlineStr">
        <is>
          <t>US</t>
        </is>
      </c>
      <c r="Q36" s="419" t="n">
        <v>42998</v>
      </c>
      <c r="R36" s="151" t="n"/>
      <c r="S36" s="151" t="n"/>
      <c r="T36" s="151" t="n"/>
      <c r="U36" s="151" t="n"/>
      <c r="V36" s="151" t="n"/>
      <c r="W36" s="151" t="n"/>
      <c r="X36" s="151" t="n"/>
      <c r="Y36" s="151" t="n"/>
      <c r="Z36" s="152" t="n"/>
      <c r="AA36" s="151" t="inlineStr">
        <is>
          <t>USD</t>
        </is>
      </c>
      <c r="AB36" s="338" t="n">
        <v>119917909</v>
      </c>
      <c r="AC36" s="338" t="n">
        <v>90315952</v>
      </c>
      <c r="AD36" s="151" t="n"/>
      <c r="AE36" s="151" t="n"/>
      <c r="AF36" s="151" t="n"/>
      <c r="AG36" s="420" t="n"/>
      <c r="AH36" s="256" t="n"/>
      <c r="AI36" s="151" t="n"/>
      <c r="AJ36" s="349" t="n">
        <v>35.31</v>
      </c>
      <c r="AK36" s="313" t="n">
        <v>14.5</v>
      </c>
      <c r="AL36" s="254" t="n"/>
      <c r="AM36" s="259" t="n"/>
    </row>
    <row r="37">
      <c r="A37" s="151" t="inlineStr">
        <is>
          <t>#ignore this line</t>
        </is>
      </c>
      <c r="B37" s="25" t="inlineStr">
        <is>
          <t>Ridgeline VI Parallel Feeder C.V.</t>
        </is>
      </c>
      <c r="C37" s="151" t="n"/>
      <c r="D37" s="151" t="n">
        <v>2</v>
      </c>
      <c r="E37" s="152" t="n"/>
      <c r="F37" s="152" t="n"/>
      <c r="G37" s="151" t="n"/>
      <c r="H37" s="152" t="n"/>
      <c r="I37" s="151" t="n"/>
      <c r="J37" s="151" t="n"/>
      <c r="K37" s="151" t="n"/>
      <c r="L37" s="151" t="n"/>
      <c r="M37" s="151" t="inlineStr">
        <is>
          <t>Ridgeline VI Parallel Feeder C.V.</t>
        </is>
      </c>
      <c r="N37" s="151" t="n"/>
      <c r="O37" s="363" t="n">
        <v>45</v>
      </c>
      <c r="P37" s="151" t="inlineStr">
        <is>
          <t>NL</t>
        </is>
      </c>
      <c r="Q37" s="419" t="n">
        <v>43003</v>
      </c>
      <c r="R37" s="151" t="n"/>
      <c r="S37" s="151" t="n"/>
      <c r="T37" s="151" t="n"/>
      <c r="U37" s="151" t="n"/>
      <c r="V37" s="151" t="n"/>
      <c r="W37" s="151" t="n"/>
      <c r="X37" s="151" t="n"/>
      <c r="Y37" s="151" t="n"/>
      <c r="Z37" s="152" t="n"/>
      <c r="AA37" s="151" t="inlineStr">
        <is>
          <t>USD</t>
        </is>
      </c>
      <c r="AB37" s="338" t="n"/>
      <c r="AC37" s="338" t="n"/>
      <c r="AD37" s="151" t="n"/>
      <c r="AE37" s="151" t="n"/>
      <c r="AF37" s="151" t="n"/>
      <c r="AG37" s="420" t="n"/>
      <c r="AH37" s="256" t="n"/>
      <c r="AI37" s="151" t="n"/>
      <c r="AJ37" s="315" t="n">
        <v>55.09</v>
      </c>
      <c r="AK37" s="313" t="n">
        <v>14.5</v>
      </c>
      <c r="AL37" s="254" t="n"/>
      <c r="AM37" s="259" t="n"/>
    </row>
    <row r="38">
      <c r="A38" s="151" t="inlineStr">
        <is>
          <t>#ignore this line</t>
        </is>
      </c>
      <c r="B38" s="25" t="inlineStr">
        <is>
          <t>Ridgeline VII Parallel Fund, L.P.</t>
        </is>
      </c>
      <c r="C38" s="151" t="n"/>
      <c r="D38" s="151" t="n">
        <v>2</v>
      </c>
      <c r="E38" s="152" t="n"/>
      <c r="F38" s="152" t="n"/>
      <c r="G38" s="151" t="n"/>
      <c r="H38" s="152" t="n"/>
      <c r="I38" s="151" t="n"/>
      <c r="J38" s="151" t="n"/>
      <c r="K38" s="151" t="n"/>
      <c r="L38" s="151" t="n"/>
      <c r="M38" s="151" t="inlineStr">
        <is>
          <t>Ridgeline VII Parallel Fund, L.P.</t>
        </is>
      </c>
      <c r="N38" s="151" t="n"/>
      <c r="O38" s="151" t="n">
        <v>39</v>
      </c>
      <c r="P38" s="151" t="inlineStr">
        <is>
          <t>US</t>
        </is>
      </c>
      <c r="Q38" s="419" t="n">
        <v>43878</v>
      </c>
      <c r="R38" s="151" t="n"/>
      <c r="S38" s="151" t="n"/>
      <c r="T38" s="151" t="n"/>
      <c r="U38" s="151" t="n"/>
      <c r="V38" s="151" t="n"/>
      <c r="W38" s="151" t="n"/>
      <c r="X38" s="151" t="n"/>
      <c r="Y38" s="151" t="n"/>
      <c r="Z38" s="152" t="n"/>
      <c r="AA38" s="151" t="inlineStr">
        <is>
          <t>USD</t>
        </is>
      </c>
      <c r="AB38" s="338" t="n">
        <v>55947403</v>
      </c>
      <c r="AC38" s="338" t="n">
        <v>67439762</v>
      </c>
      <c r="AD38" s="151" t="n"/>
      <c r="AE38" s="151" t="n"/>
      <c r="AF38" s="151" t="n"/>
      <c r="AG38" s="420" t="n"/>
      <c r="AH38" s="256" t="n"/>
      <c r="AI38" s="151" t="n"/>
      <c r="AJ38" s="349" t="n">
        <v>32.38</v>
      </c>
      <c r="AK38" s="313" t="n">
        <v>14.5</v>
      </c>
      <c r="AL38" s="254" t="n"/>
      <c r="AM38" s="259" t="n"/>
    </row>
    <row r="39">
      <c r="A39" s="151" t="inlineStr">
        <is>
          <t>#ignore this line</t>
        </is>
      </c>
      <c r="B39" s="25" t="inlineStr">
        <is>
          <t>Ridgeline VIII Lux Feeder, SCSp</t>
        </is>
      </c>
      <c r="C39" s="151" t="n"/>
      <c r="D39" s="151" t="n">
        <v>2</v>
      </c>
      <c r="E39" s="152" t="n"/>
      <c r="F39" s="152" t="n"/>
      <c r="G39" s="151" t="n"/>
      <c r="H39" s="152" t="n"/>
      <c r="I39" s="151" t="n"/>
      <c r="J39" s="151" t="n"/>
      <c r="K39" s="151" t="n"/>
      <c r="L39" s="151" t="n"/>
      <c r="M39" s="151" t="inlineStr">
        <is>
          <t>Ridgeline VIII Lux Feeder, SCSp</t>
        </is>
      </c>
      <c r="N39" s="151" t="n"/>
      <c r="O39" s="151" t="n">
        <v>39</v>
      </c>
      <c r="P39" s="151" t="inlineStr">
        <is>
          <t>LU</t>
        </is>
      </c>
      <c r="Q39" s="419" t="n">
        <v>44739</v>
      </c>
      <c r="R39" s="151" t="n"/>
      <c r="S39" s="151" t="n"/>
      <c r="T39" s="151" t="n"/>
      <c r="U39" s="151" t="n"/>
      <c r="V39" s="151" t="n"/>
      <c r="W39" s="151" t="n"/>
      <c r="X39" s="151" t="n"/>
      <c r="Y39" s="151" t="n"/>
      <c r="Z39" s="152" t="n"/>
      <c r="AA39" s="151" t="inlineStr">
        <is>
          <t>USD</t>
        </is>
      </c>
      <c r="AB39" s="338" t="n"/>
      <c r="AC39" s="338" t="n"/>
      <c r="AD39" s="151" t="n"/>
      <c r="AE39" s="151" t="n"/>
      <c r="AF39" s="151" t="n"/>
      <c r="AG39" s="420" t="n"/>
      <c r="AH39" s="256" t="n"/>
      <c r="AI39" s="151" t="n"/>
      <c r="AJ39" s="349" t="n">
        <v>48.22</v>
      </c>
      <c r="AK39" s="313" t="n">
        <v>14.5</v>
      </c>
      <c r="AL39" s="254" t="n"/>
      <c r="AM39" s="259" t="n"/>
    </row>
    <row r="40">
      <c r="A40" s="151" t="inlineStr">
        <is>
          <t>#ignore this line</t>
        </is>
      </c>
      <c r="B40" s="25" t="inlineStr">
        <is>
          <t>Ridgeline VIII Parallel Fund, L.P.</t>
        </is>
      </c>
      <c r="C40" s="151" t="n"/>
      <c r="D40" s="151" t="n">
        <v>2</v>
      </c>
      <c r="E40" s="152" t="n"/>
      <c r="F40" s="152" t="n"/>
      <c r="G40" s="151" t="n"/>
      <c r="H40" s="152" t="n"/>
      <c r="I40" s="151" t="n"/>
      <c r="J40" s="151" t="n"/>
      <c r="K40" s="151" t="n"/>
      <c r="L40" s="151" t="n"/>
      <c r="M40" s="151" t="inlineStr">
        <is>
          <t>Ridgeline VIII Parallel Fund, L.P.</t>
        </is>
      </c>
      <c r="N40" s="151" t="n"/>
      <c r="O40" s="151" t="n">
        <v>39</v>
      </c>
      <c r="P40" s="151" t="inlineStr">
        <is>
          <t>US</t>
        </is>
      </c>
      <c r="Q40" s="419" t="n">
        <v>44651</v>
      </c>
      <c r="R40" s="151" t="n"/>
      <c r="S40" s="151" t="n"/>
      <c r="T40" s="151" t="n"/>
      <c r="U40" s="151" t="n"/>
      <c r="V40" s="151" t="n"/>
      <c r="W40" s="151" t="n"/>
      <c r="X40" s="151" t="n"/>
      <c r="Y40" s="151" t="n"/>
      <c r="Z40" s="152" t="n"/>
      <c r="AA40" s="151" t="inlineStr">
        <is>
          <t>USD</t>
        </is>
      </c>
      <c r="AB40" s="338" t="n">
        <v>18266017</v>
      </c>
      <c r="AC40" s="338" t="n">
        <v>18256203</v>
      </c>
      <c r="AD40" s="151" t="n"/>
      <c r="AE40" s="151" t="n"/>
      <c r="AF40" s="151" t="n"/>
      <c r="AG40" s="420" t="n"/>
      <c r="AH40" s="256" t="n"/>
      <c r="AI40" s="151" t="n"/>
      <c r="AJ40" s="349" t="n">
        <v>42.51</v>
      </c>
      <c r="AK40" s="313" t="n">
        <v>14.5</v>
      </c>
      <c r="AL40" s="254" t="n"/>
      <c r="AM40" s="259" t="n"/>
    </row>
    <row r="41">
      <c r="A41" s="151" t="inlineStr">
        <is>
          <t>#ignore this line</t>
        </is>
      </c>
      <c r="B41" s="151" t="inlineStr">
        <is>
          <t xml:space="preserve">ALPINE VI, L.P.                                                                       </t>
        </is>
      </c>
      <c r="C41" s="151" t="n"/>
      <c r="D41" s="151" t="n">
        <v>2</v>
      </c>
      <c r="E41" s="152" t="n"/>
      <c r="F41" s="152" t="n"/>
      <c r="G41" s="151" t="n"/>
      <c r="H41" s="152" t="n"/>
      <c r="I41" s="151" t="n"/>
      <c r="J41" s="151" t="n"/>
      <c r="K41" s="151" t="n"/>
      <c r="L41" s="151" t="inlineStr">
        <is>
          <t>yes</t>
        </is>
      </c>
      <c r="M41" s="151" t="inlineStr">
        <is>
          <t xml:space="preserve">ALPINE VI, L.P.                                                                       </t>
        </is>
      </c>
      <c r="N41" s="151" t="n"/>
      <c r="O41" s="151" t="n">
        <v>39</v>
      </c>
      <c r="P41" s="151" t="n"/>
      <c r="Q41" s="419" t="n">
        <v>45156</v>
      </c>
      <c r="R41" s="151" t="inlineStr">
        <is>
          <t>yes</t>
        </is>
      </c>
      <c r="S41" s="151" t="n"/>
      <c r="T41" s="151" t="n"/>
      <c r="U41" s="151" t="n"/>
      <c r="V41" s="151" t="n"/>
      <c r="W41" s="151" t="n"/>
      <c r="X41" s="151" t="n"/>
      <c r="Y41" s="151" t="n"/>
      <c r="Z41" s="152" t="n"/>
      <c r="AA41" s="151" t="n"/>
      <c r="AB41" s="338" t="n"/>
      <c r="AC41" s="338" t="n"/>
      <c r="AD41" s="151" t="n"/>
      <c r="AE41" s="151" t="n"/>
      <c r="AF41" s="151" t="n"/>
      <c r="AG41" s="420" t="n"/>
      <c r="AH41" s="256" t="n"/>
      <c r="AI41" s="151" t="n"/>
      <c r="AJ41" s="349" t="n"/>
      <c r="AK41" s="313" t="n"/>
      <c r="AL41" s="254" t="n"/>
      <c r="AM41" s="259" t="n"/>
    </row>
    <row r="42">
      <c r="A42" s="151" t="inlineStr">
        <is>
          <t>#ignore this line</t>
        </is>
      </c>
      <c r="B42" s="25" t="inlineStr">
        <is>
          <t>Alpine V, L.P.</t>
        </is>
      </c>
      <c r="D42" s="151" t="n">
        <v>2</v>
      </c>
      <c r="L42" s="25" t="inlineStr">
        <is>
          <t>yes</t>
        </is>
      </c>
      <c r="M42" s="25" t="inlineStr">
        <is>
          <t>Alpine V, L.P.</t>
        </is>
      </c>
      <c r="O42" s="151" t="n">
        <v>39</v>
      </c>
      <c r="P42" s="151" t="inlineStr">
        <is>
          <t>US</t>
        </is>
      </c>
      <c r="Q42" s="419" t="n">
        <v>44651</v>
      </c>
      <c r="R42" s="25" t="inlineStr">
        <is>
          <t>yes</t>
        </is>
      </c>
      <c r="AK42" s="314" t="n"/>
    </row>
    <row r="43">
      <c r="AK43" s="314" t="n"/>
    </row>
    <row r="44">
      <c r="A44" s="23" t="inlineStr">
        <is>
          <t>#AIF_NATIONAL_CODE</t>
        </is>
      </c>
      <c r="B44" s="23" t="inlineStr">
        <is>
          <t>Custom AIF Identification</t>
        </is>
      </c>
      <c r="C44" s="23" t="inlineStr">
        <is>
          <t>AIF Reporting Member State</t>
        </is>
      </c>
      <c r="D44" s="23" t="inlineStr">
        <is>
          <t>AIF National Code</t>
        </is>
      </c>
      <c r="E44" s="23" t="inlineStr">
        <is>
          <t>Old AIF Reporting Member State</t>
        </is>
      </c>
      <c r="F44" s="23" t="inlineStr">
        <is>
          <t>Old AIF National Code</t>
        </is>
      </c>
    </row>
    <row r="45">
      <c r="A45" s="29" t="inlineStr">
        <is>
          <t>#AIF fieldnummers</t>
        </is>
      </c>
      <c r="B45" s="38" t="inlineStr">
        <is>
          <t>AIF_ID</t>
        </is>
      </c>
      <c r="C45" s="233" t="inlineStr">
        <is>
          <t>1, 43</t>
        </is>
      </c>
      <c r="D45" s="233" t="inlineStr">
        <is>
          <t>17, 44</t>
        </is>
      </c>
      <c r="E45" s="29" t="n">
        <v>31</v>
      </c>
      <c r="F45" s="29" t="n">
        <v>32</v>
      </c>
    </row>
    <row r="46">
      <c r="A46" s="151" t="n"/>
      <c r="B46" s="305" t="n"/>
      <c r="C46" s="151" t="n"/>
      <c r="D46" s="151" t="n"/>
      <c r="E46" s="151" t="n"/>
      <c r="F46" s="151" t="n"/>
    </row>
    <row r="47">
      <c r="A47" s="151" t="inlineStr">
        <is>
          <t>AIF_NATIONAL_CODE</t>
        </is>
      </c>
      <c r="B47" s="151" t="inlineStr">
        <is>
          <t xml:space="preserve">ALPINE VI, L.P.                                                                       </t>
        </is>
      </c>
      <c r="C47" s="151" t="inlineStr">
        <is>
          <t>LU</t>
        </is>
      </c>
      <c r="D47" s="151" t="inlineStr">
        <is>
          <t>V00010370_00000000</t>
        </is>
      </c>
      <c r="E47" s="151" t="n"/>
      <c r="F47" s="151" t="n"/>
    </row>
    <row r="48">
      <c r="A48" s="151" t="inlineStr">
        <is>
          <t>AIF_NATIONAL_CODE</t>
        </is>
      </c>
      <c r="B48" s="151" t="inlineStr">
        <is>
          <t xml:space="preserve">ALPINE VI, L.P.                                                                       </t>
        </is>
      </c>
      <c r="C48" s="151" t="inlineStr">
        <is>
          <t>BE</t>
        </is>
      </c>
      <c r="D48" s="151" t="inlineStr">
        <is>
          <t>06155-0001</t>
        </is>
      </c>
      <c r="E48" s="151" t="n"/>
      <c r="F48" s="151" t="n"/>
    </row>
    <row r="49">
      <c r="A49" s="151" t="n"/>
      <c r="B49" s="305" t="n"/>
      <c r="C49" s="151" t="n"/>
      <c r="D49" s="151" t="n"/>
      <c r="E49" s="151" t="n"/>
      <c r="F49" s="151" t="n"/>
    </row>
    <row r="50">
      <c r="A50" s="151" t="inlineStr">
        <is>
          <t>AIF_NATIONAL_CODE</t>
        </is>
      </c>
      <c r="B50" s="151" t="inlineStr">
        <is>
          <t>Alpine III Parallel Fund, L.P.</t>
        </is>
      </c>
      <c r="C50" s="151" t="inlineStr">
        <is>
          <t>NL</t>
        </is>
      </c>
      <c r="D50" s="151" t="n">
        <v>60039524</v>
      </c>
      <c r="E50" s="151" t="n"/>
      <c r="F50" s="151" t="n"/>
    </row>
    <row r="51">
      <c r="A51" s="151" t="inlineStr">
        <is>
          <t>AIF_NATIONAL_CODE</t>
        </is>
      </c>
      <c r="B51" s="151" t="inlineStr">
        <is>
          <t>Alpine III Parallel Fund, L.P.</t>
        </is>
      </c>
      <c r="C51" s="151" t="inlineStr">
        <is>
          <t>GB</t>
        </is>
      </c>
      <c r="D51" s="151" t="n">
        <v>873698</v>
      </c>
      <c r="E51" s="151" t="n"/>
      <c r="F51" s="151" t="n"/>
    </row>
    <row r="52">
      <c r="A52" s="151" t="n"/>
      <c r="B52" s="305" t="n"/>
      <c r="C52" s="151" t="n"/>
      <c r="D52" s="151" t="n"/>
      <c r="E52" s="151" t="n"/>
      <c r="F52" s="151" t="n"/>
    </row>
    <row r="53">
      <c r="A53" s="151" t="inlineStr">
        <is>
          <t>AIF_NATIONAL_CODE</t>
        </is>
      </c>
      <c r="B53" s="25" t="inlineStr">
        <is>
          <t>Alpine IV Parallel Fund, L.P.</t>
        </is>
      </c>
      <c r="C53" s="151" t="inlineStr">
        <is>
          <t>BE</t>
        </is>
      </c>
      <c r="D53" s="151" t="inlineStr">
        <is>
          <t>04315-0001</t>
        </is>
      </c>
      <c r="E53" s="151" t="n"/>
      <c r="F53" s="151" t="n"/>
    </row>
    <row r="54">
      <c r="A54" s="151" t="inlineStr">
        <is>
          <t>AIF_NATIONAL_CODE</t>
        </is>
      </c>
      <c r="B54" s="25" t="inlineStr">
        <is>
          <t>Alpine IV Parallel Fund, L.P.</t>
        </is>
      </c>
      <c r="C54" s="151" t="inlineStr">
        <is>
          <t>GB</t>
        </is>
      </c>
      <c r="D54" s="151" t="n">
        <v>944709</v>
      </c>
      <c r="E54" s="151" t="n"/>
      <c r="F54" s="151" t="n"/>
    </row>
    <row r="55">
      <c r="A55" s="151" t="n"/>
      <c r="C55" s="151" t="n"/>
      <c r="D55" s="151" t="n"/>
      <c r="E55" s="151" t="n"/>
      <c r="F55" s="151" t="n"/>
    </row>
    <row r="56">
      <c r="A56" s="151" t="inlineStr">
        <is>
          <t>AIF_NATIONAL_CODE</t>
        </is>
      </c>
      <c r="B56" s="25" t="inlineStr">
        <is>
          <t>Alpine IV Parallel Feeder C.V.</t>
        </is>
      </c>
      <c r="C56" s="151" t="inlineStr">
        <is>
          <t>NL</t>
        </is>
      </c>
      <c r="D56" s="151" t="n">
        <v>60038775</v>
      </c>
      <c r="E56" s="151" t="n"/>
      <c r="F56" s="151" t="n"/>
    </row>
    <row r="57">
      <c r="A57" s="151" t="n"/>
      <c r="C57" s="151" t="n"/>
      <c r="D57" s="151" t="n"/>
      <c r="E57" s="151" t="n"/>
      <c r="F57" s="151" t="n"/>
    </row>
    <row r="58">
      <c r="A58" s="151" t="inlineStr">
        <is>
          <t>AIF_NATIONAL_CODE</t>
        </is>
      </c>
      <c r="B58" s="151" t="inlineStr">
        <is>
          <t>Alpine V Parallel Fund, L.P.</t>
        </is>
      </c>
      <c r="C58" s="151" t="inlineStr">
        <is>
          <t>BE</t>
        </is>
      </c>
      <c r="D58" s="151" t="inlineStr">
        <is>
          <t>06156-0001</t>
        </is>
      </c>
      <c r="E58" s="151" t="n"/>
      <c r="F58" s="151" t="n"/>
    </row>
    <row r="59">
      <c r="A59" s="151" t="inlineStr">
        <is>
          <t>AIF_NATIONAL_CODE</t>
        </is>
      </c>
      <c r="B59" s="151" t="inlineStr">
        <is>
          <t>Alpine V Parallel Fund, L.P.</t>
        </is>
      </c>
      <c r="C59" s="151" t="inlineStr">
        <is>
          <t>NL</t>
        </is>
      </c>
      <c r="D59" s="151" t="n">
        <v>60039868</v>
      </c>
      <c r="E59" s="151" t="n"/>
      <c r="F59" s="151" t="n"/>
    </row>
    <row r="60">
      <c r="A60" s="151" t="inlineStr">
        <is>
          <t>AIF_NATIONAL_CODE</t>
        </is>
      </c>
      <c r="B60" s="151" t="inlineStr">
        <is>
          <t>Alpine V Parallel Fund, L.P.</t>
        </is>
      </c>
      <c r="C60" s="151" t="inlineStr">
        <is>
          <t>GB</t>
        </is>
      </c>
      <c r="D60" s="151" t="n">
        <v>868588</v>
      </c>
      <c r="E60" s="151" t="n"/>
      <c r="F60" s="151" t="n"/>
    </row>
    <row r="61">
      <c r="A61" s="151" t="n"/>
      <c r="B61" s="151" t="n"/>
      <c r="C61" s="151" t="n"/>
      <c r="D61" s="151" t="n"/>
      <c r="E61" s="151" t="n"/>
      <c r="F61" s="151" t="n"/>
    </row>
    <row r="62">
      <c r="A62" s="151" t="inlineStr">
        <is>
          <t>AIF_NATIONAL_CODE</t>
        </is>
      </c>
      <c r="B62" s="151" t="inlineStr">
        <is>
          <t>Alpine VI Parallel Fund, L.P.</t>
        </is>
      </c>
      <c r="C62" s="151" t="inlineStr">
        <is>
          <t>GB</t>
        </is>
      </c>
      <c r="D62" s="151" t="n">
        <v>804083</v>
      </c>
      <c r="E62" s="151" t="n"/>
      <c r="F62" s="151" t="n"/>
    </row>
    <row r="63">
      <c r="A63" s="151" t="inlineStr">
        <is>
          <t>AIF_NATIONAL_CODE</t>
        </is>
      </c>
      <c r="B63" s="151" t="inlineStr">
        <is>
          <t>Alpine VI Parallel Fund, L.P.</t>
        </is>
      </c>
      <c r="C63" s="151" t="inlineStr">
        <is>
          <t>NL</t>
        </is>
      </c>
      <c r="D63" s="151" t="n">
        <v>60044957</v>
      </c>
      <c r="E63" s="151" t="n"/>
      <c r="F63" s="151" t="n"/>
    </row>
    <row r="64">
      <c r="A64" s="151" t="inlineStr">
        <is>
          <t>AIF_NATIONAL_CODE</t>
        </is>
      </c>
      <c r="B64" s="151" t="inlineStr">
        <is>
          <t>Alpine VI Parallel Fund, L.P.</t>
        </is>
      </c>
      <c r="C64" s="151" t="inlineStr">
        <is>
          <t>LU</t>
        </is>
      </c>
      <c r="D64" s="151" t="inlineStr">
        <is>
          <t>O00025390_00000000</t>
        </is>
      </c>
      <c r="E64" s="151" t="n"/>
      <c r="F64" s="151" t="n"/>
    </row>
    <row r="65">
      <c r="A65" s="151" t="n"/>
      <c r="B65" s="151" t="n"/>
      <c r="C65" s="151" t="n"/>
      <c r="D65" s="151" t="n"/>
      <c r="E65" s="151" t="n"/>
      <c r="F65" s="151" t="n"/>
    </row>
    <row r="66">
      <c r="A66" s="151" t="inlineStr">
        <is>
          <t>AIF_NATIONAL_CODE</t>
        </is>
      </c>
      <c r="B66" s="151" t="inlineStr">
        <is>
          <t>Alpine VI Parallel Feeder C.V.</t>
        </is>
      </c>
      <c r="C66" s="151" t="inlineStr">
        <is>
          <t>GB</t>
        </is>
      </c>
      <c r="D66" s="151" t="n">
        <v>805905</v>
      </c>
      <c r="E66" s="151" t="n"/>
      <c r="F66" s="151" t="n"/>
    </row>
    <row r="67">
      <c r="A67" s="151" t="inlineStr">
        <is>
          <t>AIF_NATIONAL_CODE</t>
        </is>
      </c>
      <c r="B67" s="151" t="inlineStr">
        <is>
          <t>Alpine VI Parallel Feeder C.V.</t>
        </is>
      </c>
      <c r="C67" s="151" t="inlineStr">
        <is>
          <t>NL</t>
        </is>
      </c>
      <c r="D67" s="151" t="n">
        <v>60044958</v>
      </c>
      <c r="E67" s="151" t="n"/>
      <c r="F67" s="151" t="n"/>
    </row>
    <row r="68">
      <c r="A68" s="151" t="n"/>
      <c r="B68" s="151" t="n"/>
      <c r="C68" s="151" t="n"/>
      <c r="D68" s="151" t="n"/>
      <c r="E68" s="151" t="n"/>
      <c r="F68" s="151" t="n"/>
    </row>
    <row r="69">
      <c r="A69" s="151" t="inlineStr">
        <is>
          <t>AIF_NATIONAL_CODE</t>
        </is>
      </c>
      <c r="B69" s="25" t="inlineStr">
        <is>
          <t>Ridgeline V Parallel Fund, L.P.</t>
        </is>
      </c>
      <c r="C69" s="151" t="inlineStr">
        <is>
          <t>NL</t>
        </is>
      </c>
      <c r="D69" s="151" t="n">
        <v>60027096</v>
      </c>
      <c r="E69" s="151" t="n"/>
      <c r="F69" s="151" t="n"/>
    </row>
    <row r="70">
      <c r="A70" s="151" t="inlineStr">
        <is>
          <t>AIF_NATIONAL_CODE</t>
        </is>
      </c>
      <c r="B70" s="25" t="inlineStr">
        <is>
          <t>Ridgeline V Parallel Fund, L.P.</t>
        </is>
      </c>
      <c r="C70" s="151" t="inlineStr">
        <is>
          <t>GB</t>
        </is>
      </c>
      <c r="D70" s="151" t="n">
        <v>783480</v>
      </c>
      <c r="E70" s="151" t="n"/>
      <c r="F70" s="151" t="n"/>
    </row>
    <row r="71">
      <c r="A71" s="151" t="n"/>
      <c r="C71" s="151" t="n"/>
      <c r="D71" s="151" t="n"/>
      <c r="E71" s="151" t="n"/>
      <c r="F71" s="151" t="n"/>
    </row>
    <row r="72">
      <c r="A72" s="151" t="inlineStr">
        <is>
          <t>AIF_NATIONAL_CODE</t>
        </is>
      </c>
      <c r="B72" s="151" t="inlineStr">
        <is>
          <t>Ridgeline V Parallel Feeder C.V.</t>
        </is>
      </c>
      <c r="C72" s="151" t="inlineStr">
        <is>
          <t>NL</t>
        </is>
      </c>
      <c r="D72" s="151" t="n">
        <v>60027097</v>
      </c>
      <c r="E72" s="151" t="n"/>
      <c r="F72" s="151" t="n"/>
    </row>
    <row r="73">
      <c r="A73" s="151" t="n"/>
      <c r="B73" s="151" t="n"/>
      <c r="C73" s="151" t="n"/>
      <c r="D73" s="151" t="n"/>
      <c r="E73" s="151" t="n"/>
      <c r="F73" s="151" t="n"/>
    </row>
    <row r="74">
      <c r="A74" s="151" t="inlineStr">
        <is>
          <t>AIF_NATIONAL_CODE</t>
        </is>
      </c>
      <c r="B74" s="25" t="inlineStr">
        <is>
          <t>Ridgeline VI Parallel Fund, L.P</t>
        </is>
      </c>
      <c r="C74" s="151" t="inlineStr">
        <is>
          <t>NL</t>
        </is>
      </c>
      <c r="D74" s="151" t="n">
        <v>60038767</v>
      </c>
      <c r="E74" s="151" t="n"/>
      <c r="F74" s="151" t="n"/>
    </row>
    <row r="75">
      <c r="A75" s="151" t="inlineStr">
        <is>
          <t>AIF_NATIONAL_CODE</t>
        </is>
      </c>
      <c r="B75" s="25" t="inlineStr">
        <is>
          <t>Ridgeline VI Parallel Fund, L.P</t>
        </is>
      </c>
      <c r="C75" s="151" t="inlineStr">
        <is>
          <t>BE</t>
        </is>
      </c>
      <c r="D75" s="151" t="inlineStr">
        <is>
          <t>03749-0001</t>
        </is>
      </c>
      <c r="E75" s="151" t="n"/>
      <c r="F75" s="151" t="n"/>
    </row>
    <row r="76">
      <c r="A76" s="151" t="inlineStr">
        <is>
          <t>AIF_NATIONAL_CODE</t>
        </is>
      </c>
      <c r="B76" s="25" t="inlineStr">
        <is>
          <t>Ridgeline VI Parallel Fund, L.P</t>
        </is>
      </c>
      <c r="C76" s="151" t="inlineStr">
        <is>
          <t>GB</t>
        </is>
      </c>
      <c r="D76" s="151" t="n">
        <v>890410</v>
      </c>
      <c r="E76" s="151" t="n"/>
      <c r="F76" s="151" t="n"/>
    </row>
    <row r="77">
      <c r="A77" s="151" t="n"/>
      <c r="C77" s="151" t="n"/>
      <c r="D77" s="151" t="n"/>
      <c r="E77" s="151" t="n"/>
      <c r="F77" s="151" t="n"/>
    </row>
    <row r="78">
      <c r="A78" s="151" t="inlineStr">
        <is>
          <t>AIF_NATIONAL_CODE</t>
        </is>
      </c>
      <c r="B78" s="151" t="inlineStr">
        <is>
          <t>Ridgeline VI Parallel Feeder C.V.</t>
        </is>
      </c>
      <c r="C78" s="151" t="inlineStr">
        <is>
          <t>NL</t>
        </is>
      </c>
      <c r="D78" s="151" t="n">
        <v>60038774</v>
      </c>
      <c r="E78" s="151" t="n"/>
      <c r="F78" s="151" t="n"/>
    </row>
    <row r="79">
      <c r="A79" s="151" t="n"/>
      <c r="B79" s="151" t="n"/>
      <c r="C79" s="151" t="n"/>
      <c r="D79" s="151" t="n"/>
      <c r="E79" s="151" t="n"/>
      <c r="F79" s="151" t="n"/>
    </row>
    <row r="80">
      <c r="A80" s="151" t="inlineStr">
        <is>
          <t>AIF_NATIONAL_CODE</t>
        </is>
      </c>
      <c r="B80" s="25" t="inlineStr">
        <is>
          <t>Ridgeline VII Parallel Fund, L.P.</t>
        </is>
      </c>
      <c r="C80" s="151" t="inlineStr">
        <is>
          <t>BE</t>
        </is>
      </c>
      <c r="D80" s="151" t="inlineStr">
        <is>
          <t>05042-0001</t>
        </is>
      </c>
      <c r="E80" s="151" t="n"/>
      <c r="F80" s="151" t="n"/>
    </row>
    <row r="81">
      <c r="A81" s="151" t="inlineStr">
        <is>
          <t>AIF_NATIONAL_CODE</t>
        </is>
      </c>
      <c r="B81" s="25" t="inlineStr">
        <is>
          <t>Ridgeline VII Parallel Fund, L.P.</t>
        </is>
      </c>
      <c r="C81" s="151" t="inlineStr">
        <is>
          <t>GB</t>
        </is>
      </c>
      <c r="D81" s="151" t="n">
        <v>832364</v>
      </c>
      <c r="E81" s="151" t="n"/>
      <c r="F81" s="151" t="n"/>
    </row>
    <row r="82">
      <c r="A82" s="151" t="n"/>
      <c r="C82" s="151" t="n"/>
      <c r="D82" s="151" t="n"/>
      <c r="E82" s="151" t="n"/>
      <c r="F82" s="151" t="n"/>
    </row>
    <row r="83">
      <c r="A83" s="151" t="inlineStr">
        <is>
          <t>AIF_NATIONAL_CODE</t>
        </is>
      </c>
      <c r="B83" s="25" t="inlineStr">
        <is>
          <t>Ridgeline VIII Lux Feeder, SCSp</t>
        </is>
      </c>
      <c r="C83" s="151" t="inlineStr">
        <is>
          <t>BE</t>
        </is>
      </c>
      <c r="D83" s="151" t="inlineStr">
        <is>
          <t>06753-0001</t>
        </is>
      </c>
      <c r="E83" s="151" t="n"/>
      <c r="F83" s="151" t="n"/>
    </row>
    <row r="84">
      <c r="A84" s="151" t="inlineStr">
        <is>
          <t>AIF_NATIONAL_CODE</t>
        </is>
      </c>
      <c r="B84" s="25" t="inlineStr">
        <is>
          <t>Ridgeline VIII Lux Feeder, SCSp</t>
        </is>
      </c>
      <c r="C84" s="151" t="inlineStr">
        <is>
          <t>DE</t>
        </is>
      </c>
      <c r="D84" s="151" t="n">
        <v>80276182</v>
      </c>
      <c r="E84" s="151" t="n"/>
      <c r="F84" s="151" t="n"/>
    </row>
    <row r="85">
      <c r="A85" s="151" t="inlineStr">
        <is>
          <t>AIF_NATIONAL_CODE</t>
        </is>
      </c>
      <c r="B85" s="25" t="inlineStr">
        <is>
          <t>Ridgeline VIII Lux Feeder, SCSp</t>
        </is>
      </c>
      <c r="C85" s="151" t="inlineStr">
        <is>
          <t>LU</t>
        </is>
      </c>
      <c r="D85" s="151" t="inlineStr">
        <is>
          <t>V00008464_00000000</t>
        </is>
      </c>
      <c r="E85" s="151" t="n"/>
      <c r="F85" s="151" t="n"/>
    </row>
    <row r="86">
      <c r="A86" s="151" t="inlineStr">
        <is>
          <t>AIF_NATIONAL_CODE</t>
        </is>
      </c>
      <c r="B86" s="25" t="inlineStr">
        <is>
          <t>Ridgeline VIII Lux Feeder, SCSp</t>
        </is>
      </c>
      <c r="C86" s="151" t="inlineStr">
        <is>
          <t>NL</t>
        </is>
      </c>
      <c r="D86" s="151" t="n">
        <v>60040662</v>
      </c>
      <c r="E86" s="151" t="n"/>
      <c r="F86" s="151" t="n"/>
    </row>
    <row r="87">
      <c r="A87" s="151" t="inlineStr">
        <is>
          <t>AIF_NATIONAL_CODE</t>
        </is>
      </c>
      <c r="B87" s="25" t="inlineStr">
        <is>
          <t>Ridgeline VIII Lux Feeder, SCSp</t>
        </is>
      </c>
      <c r="C87" s="151" t="inlineStr">
        <is>
          <t>GB</t>
        </is>
      </c>
      <c r="D87" s="151" t="n">
        <v>889394</v>
      </c>
      <c r="E87" s="151" t="n"/>
      <c r="F87" s="151" t="n"/>
    </row>
    <row r="88">
      <c r="A88" s="151" t="n"/>
      <c r="C88" s="151" t="n"/>
      <c r="D88" s="151" t="n"/>
      <c r="E88" s="151" t="n"/>
      <c r="F88" s="151" t="n"/>
    </row>
    <row r="89">
      <c r="A89" s="151" t="inlineStr">
        <is>
          <t>AIF_NATIONAL_CODE</t>
        </is>
      </c>
      <c r="B89" s="25" t="inlineStr">
        <is>
          <t>Ridgeline VIII Parallel Fund, L.P.</t>
        </is>
      </c>
      <c r="C89" s="151" t="inlineStr">
        <is>
          <t>LU</t>
        </is>
      </c>
      <c r="D89" s="151" t="inlineStr">
        <is>
          <t>V00008465_00000000</t>
        </is>
      </c>
      <c r="E89" s="151" t="n"/>
      <c r="F89" s="151" t="n"/>
    </row>
    <row r="90">
      <c r="A90" s="151" t="n"/>
      <c r="C90" s="151" t="n"/>
      <c r="D90" s="151" t="n"/>
      <c r="E90" s="151" t="n"/>
      <c r="F90" s="151" t="n"/>
    </row>
    <row r="91">
      <c r="A91" s="151" t="inlineStr">
        <is>
          <t>AIF_NATIONAL_CODE</t>
        </is>
      </c>
      <c r="B91" s="25" t="inlineStr">
        <is>
          <t>Alpine V, L.P.</t>
        </is>
      </c>
      <c r="C91" s="151" t="inlineStr">
        <is>
          <t>BE</t>
        </is>
      </c>
      <c r="D91" s="151" t="inlineStr">
        <is>
          <t>06155-0001</t>
        </is>
      </c>
      <c r="E91" s="151" t="n"/>
      <c r="F91" s="151" t="n"/>
    </row>
    <row r="92">
      <c r="A92" s="151" t="n"/>
      <c r="B92" s="151" t="n"/>
      <c r="C92" s="151" t="n"/>
      <c r="D92" s="151" t="n"/>
      <c r="E92" s="151" t="n"/>
      <c r="F92" s="151" t="n"/>
    </row>
    <row r="93">
      <c r="A93" s="23" t="inlineStr">
        <is>
          <t>#AIF_ASSUMPTION</t>
        </is>
      </c>
      <c r="B93" s="23" t="inlineStr">
        <is>
          <t>Custom AIF Identification</t>
        </is>
      </c>
      <c r="C93" s="23" t="inlineStr">
        <is>
          <t>Question Number</t>
        </is>
      </c>
      <c r="D93" s="23" t="inlineStr">
        <is>
          <t>Assumption Description</t>
        </is>
      </c>
    </row>
    <row r="94">
      <c r="A94" s="29" t="inlineStr">
        <is>
          <t>#AIF fieldnummers</t>
        </is>
      </c>
      <c r="B94" s="38" t="inlineStr">
        <is>
          <t>AIF_ID</t>
        </is>
      </c>
      <c r="C94" s="29" t="n">
        <v>14</v>
      </c>
      <c r="D94" s="29" t="n">
        <v>15</v>
      </c>
    </row>
    <row r="95">
      <c r="A95" s="151" t="inlineStr">
        <is>
          <t>AIF_ASSUMPTION</t>
        </is>
      </c>
      <c r="B95" s="305" t="inlineStr">
        <is>
          <t>Alpine III Parallel Fund, L.P.</t>
        </is>
      </c>
      <c r="C95" s="151" t="n">
        <v>8</v>
      </c>
      <c r="D95" s="185" t="inlineStr">
        <is>
          <t>All numbers are from the previous quarter</t>
        </is>
      </c>
    </row>
    <row r="96">
      <c r="A96" s="151" t="inlineStr">
        <is>
          <t>AIF_ASSUMPTION</t>
        </is>
      </c>
      <c r="B96" s="25" t="inlineStr">
        <is>
          <t>Alpine IV Parallel Fund, L.P.</t>
        </is>
      </c>
      <c r="C96" s="151" t="n">
        <v>8</v>
      </c>
      <c r="D96" s="185" t="inlineStr">
        <is>
          <t>All numbers are from the previous quarter</t>
        </is>
      </c>
    </row>
    <row r="97">
      <c r="A97" s="151" t="inlineStr">
        <is>
          <t>AIF_ASSUMPTION</t>
        </is>
      </c>
      <c r="B97" s="25" t="inlineStr">
        <is>
          <t>Alpine IV Parallel Feeder C.V.</t>
        </is>
      </c>
      <c r="C97" s="151" t="n">
        <v>8</v>
      </c>
      <c r="D97" s="185" t="inlineStr">
        <is>
          <t>All numbers are from the previous quarter</t>
        </is>
      </c>
    </row>
    <row r="98">
      <c r="A98" s="151" t="inlineStr">
        <is>
          <t>AIF_ASSUMPTION</t>
        </is>
      </c>
      <c r="B98" s="25" t="inlineStr">
        <is>
          <t>Alpine V Parallel Fund, L.P.</t>
        </is>
      </c>
      <c r="C98" s="151" t="n">
        <v>8</v>
      </c>
      <c r="D98" s="185" t="inlineStr">
        <is>
          <t>All numbers are from the previous quarter</t>
        </is>
      </c>
    </row>
    <row r="99">
      <c r="A99" s="151" t="inlineStr">
        <is>
          <t>AIF_ASSUMPTION</t>
        </is>
      </c>
      <c r="B99" s="25" t="inlineStr">
        <is>
          <t>Ridgeline V Parallel Fund, L.P.</t>
        </is>
      </c>
      <c r="C99" s="151" t="n">
        <v>8</v>
      </c>
      <c r="D99" s="185" t="inlineStr">
        <is>
          <t>All numbers are from the previous quarter</t>
        </is>
      </c>
    </row>
    <row r="100">
      <c r="A100" s="151" t="inlineStr">
        <is>
          <t>AIF_ASSUMPTION</t>
        </is>
      </c>
      <c r="B100" s="25" t="inlineStr">
        <is>
          <t>Ridgeline V Parallel Feeder C.V.</t>
        </is>
      </c>
      <c r="C100" s="151" t="n">
        <v>8</v>
      </c>
      <c r="D100" s="185" t="inlineStr">
        <is>
          <t>All numbers are from the previous quarter</t>
        </is>
      </c>
    </row>
    <row r="101">
      <c r="A101" s="151" t="inlineStr">
        <is>
          <t>AIF_ASSUMPTION</t>
        </is>
      </c>
      <c r="B101" s="25" t="inlineStr">
        <is>
          <t>Ridgeline VI Parallel Fund, L.P</t>
        </is>
      </c>
      <c r="C101" s="151" t="n">
        <v>8</v>
      </c>
      <c r="D101" s="185" t="inlineStr">
        <is>
          <t>All numbers are from the previous quarter</t>
        </is>
      </c>
    </row>
    <row r="102">
      <c r="A102" s="151" t="inlineStr">
        <is>
          <t>AIF_ASSUMPTION</t>
        </is>
      </c>
      <c r="B102" s="25" t="inlineStr">
        <is>
          <t>Ridgeline VI Parallel Feeder C.V.</t>
        </is>
      </c>
      <c r="C102" s="151" t="n">
        <v>8</v>
      </c>
      <c r="D102" s="185" t="inlineStr">
        <is>
          <t>All numbers are from the previous quarter</t>
        </is>
      </c>
    </row>
    <row r="103">
      <c r="A103" s="151" t="inlineStr">
        <is>
          <t>AIF_ASSUMPTION</t>
        </is>
      </c>
      <c r="B103" s="25" t="inlineStr">
        <is>
          <t>Ridgeline VII Parallel Fund, L.P.</t>
        </is>
      </c>
      <c r="C103" s="151" t="n">
        <v>8</v>
      </c>
      <c r="D103" s="185" t="inlineStr">
        <is>
          <t>All numbers are from the previous quarter</t>
        </is>
      </c>
    </row>
    <row r="104">
      <c r="A104" s="151" t="inlineStr">
        <is>
          <t>AIF_ASSUMPTION</t>
        </is>
      </c>
      <c r="B104" s="25" t="inlineStr">
        <is>
          <t>Ridgeline VIII Lux Feeder, SCSp</t>
        </is>
      </c>
      <c r="C104" s="151" t="n">
        <v>8</v>
      </c>
      <c r="D104" s="185" t="inlineStr">
        <is>
          <t>All numbers are from the previous quarter</t>
        </is>
      </c>
    </row>
    <row r="105">
      <c r="A105" s="151" t="inlineStr">
        <is>
          <t>AIF_ASSUMPTION</t>
        </is>
      </c>
      <c r="B105" s="25" t="inlineStr">
        <is>
          <t>Ridgeline VIII Parallel Fund, L.P.</t>
        </is>
      </c>
      <c r="C105" s="151" t="n">
        <v>8</v>
      </c>
      <c r="D105" s="185" t="inlineStr">
        <is>
          <t>All numbers are from the previous quarter</t>
        </is>
      </c>
    </row>
    <row r="106"/>
    <row r="107"/>
    <row r="108">
      <c r="A108" s="23" t="inlineStr">
        <is>
          <t>#SHARE_CLASS</t>
        </is>
      </c>
      <c r="B108" s="23" t="inlineStr">
        <is>
          <t>Custom AIF Identification</t>
        </is>
      </c>
      <c r="C108" s="23" t="inlineStr">
        <is>
          <t>Share class national code</t>
        </is>
      </c>
      <c r="D108" s="23" t="inlineStr">
        <is>
          <t>Share class ISIN code</t>
        </is>
      </c>
      <c r="E108" s="23" t="inlineStr">
        <is>
          <t>Share class SEDOL code</t>
        </is>
      </c>
      <c r="F108" s="23" t="inlineStr">
        <is>
          <t>Share class CUSIP code</t>
        </is>
      </c>
      <c r="G108" s="23" t="inlineStr">
        <is>
          <t>Share class Bloomberg code</t>
        </is>
      </c>
      <c r="H108" s="23" t="inlineStr">
        <is>
          <t>Share class Reuters code</t>
        </is>
      </c>
      <c r="I108" s="23" t="inlineStr">
        <is>
          <t>Share class name</t>
        </is>
      </c>
      <c r="J108" s="28" t="n"/>
      <c r="K108" s="28" t="n"/>
      <c r="L108" s="28" t="n"/>
      <c r="M108" s="28" t="n"/>
    </row>
    <row r="109">
      <c r="A109" s="29" t="inlineStr">
        <is>
          <t>#AIF fieldnummers</t>
        </is>
      </c>
      <c r="B109" s="38" t="inlineStr">
        <is>
          <t>AIF_ID</t>
        </is>
      </c>
      <c r="C109" s="29" t="n">
        <v>34</v>
      </c>
      <c r="D109" s="29" t="n">
        <v>35</v>
      </c>
      <c r="E109" s="29" t="n">
        <v>36</v>
      </c>
      <c r="F109" s="29" t="n">
        <v>37</v>
      </c>
      <c r="G109" s="29" t="n">
        <v>38</v>
      </c>
      <c r="H109" s="29" t="n">
        <v>39</v>
      </c>
      <c r="I109" s="29" t="n">
        <v>40</v>
      </c>
    </row>
    <row r="110" customFormat="1" s="151">
      <c r="C110" s="152" t="n"/>
      <c r="D110" s="152" t="n"/>
      <c r="E110" s="152" t="n"/>
      <c r="F110" s="152" t="n"/>
      <c r="G110" s="152" t="n"/>
      <c r="H110" s="152" t="n"/>
    </row>
    <row r="111" customFormat="1" s="151">
      <c r="C111" s="152" t="n"/>
      <c r="D111" s="152" t="n"/>
      <c r="E111" s="152" t="n"/>
      <c r="F111" s="152" t="n"/>
      <c r="G111" s="152" t="n"/>
      <c r="H111" s="152" t="n"/>
    </row>
    <row r="112" customFormat="1" s="151">
      <c r="C112" s="152" t="n"/>
      <c r="D112" s="152" t="n"/>
      <c r="E112" s="152" t="n"/>
      <c r="F112" s="152" t="n"/>
      <c r="G112" s="152" t="n"/>
      <c r="H112" s="152" t="n"/>
    </row>
    <row r="113">
      <c r="A113" s="23" t="inlineStr">
        <is>
          <t>#PRIME_BROKER</t>
        </is>
      </c>
      <c r="B113" s="23" t="inlineStr">
        <is>
          <t>Custom AIF Identification</t>
        </is>
      </c>
      <c r="C113" s="23" t="inlineStr">
        <is>
          <t>Prime Broker Name</t>
        </is>
      </c>
      <c r="D113" s="23" t="inlineStr">
        <is>
          <t>Prime Broker LEI Code</t>
        </is>
      </c>
      <c r="E113" s="23" t="inlineStr">
        <is>
          <t xml:space="preserve">Prime Broker BIC Code </t>
        </is>
      </c>
    </row>
    <row r="114">
      <c r="A114" s="29" t="inlineStr">
        <is>
          <t>#AIF fieldnummers</t>
        </is>
      </c>
      <c r="B114" s="38" t="inlineStr">
        <is>
          <t>AIF_ID</t>
        </is>
      </c>
      <c r="C114" s="29" t="n">
        <v>45</v>
      </c>
      <c r="D114" s="29" t="n">
        <v>46</v>
      </c>
      <c r="E114" s="29" t="n">
        <v>47</v>
      </c>
    </row>
    <row r="115" customFormat="1" s="151"/>
    <row r="116" customFormat="1" s="151"/>
    <row r="117" customFormat="1" s="151"/>
    <row r="118">
      <c r="A118" s="23" t="inlineStr">
        <is>
          <t>#STRATEGY</t>
        </is>
      </c>
      <c r="B118" s="23" t="inlineStr">
        <is>
          <t>Custom AIF Identification</t>
        </is>
      </c>
      <c r="C118" s="23" t="inlineStr">
        <is>
          <t>Investment strategy code</t>
        </is>
      </c>
      <c r="D118" s="172" t="inlineStr">
        <is>
          <t>(Legacy) Indicate whether the sub strategy best describes the AIF’s strategy</t>
        </is>
      </c>
      <c r="E118" s="23" t="inlineStr">
        <is>
          <t>Share in NAV (%)</t>
        </is>
      </c>
      <c r="F118" s="23" t="inlineStr">
        <is>
          <t>Description for strategy type Other</t>
        </is>
      </c>
      <c r="G118" s="28" t="n"/>
      <c r="H118" s="28" t="n"/>
      <c r="I118" s="28" t="n"/>
      <c r="J118" s="28" t="n"/>
      <c r="K118" s="28" t="n"/>
      <c r="L118" s="28" t="n"/>
      <c r="M118" s="28" t="n"/>
    </row>
    <row r="119">
      <c r="A119" s="29" t="inlineStr">
        <is>
          <t>#AIF fieldnummers</t>
        </is>
      </c>
      <c r="B119" s="38" t="inlineStr">
        <is>
          <t>AIF_ID</t>
        </is>
      </c>
      <c r="C119" s="233" t="inlineStr">
        <is>
          <t>58, 57</t>
        </is>
      </c>
      <c r="D119" s="29" t="n">
        <v>59</v>
      </c>
      <c r="E119" s="29" t="n">
        <v>60</v>
      </c>
      <c r="F119" s="29" t="n">
        <v>61</v>
      </c>
    </row>
    <row r="120" customFormat="1" s="151">
      <c r="A120" s="151" t="inlineStr">
        <is>
          <t>STRATEGY</t>
        </is>
      </c>
      <c r="B120" s="151" t="inlineStr">
        <is>
          <t>Alpine III Parallel Fund, L.P.</t>
        </is>
      </c>
      <c r="C120" s="363" t="inlineStr">
        <is>
          <t>OTHR_PEQF</t>
        </is>
      </c>
      <c r="E120" s="256" t="n">
        <v>100</v>
      </c>
      <c r="F120" s="185" t="inlineStr">
        <is>
          <t>The fund invests in PE</t>
        </is>
      </c>
    </row>
    <row r="121">
      <c r="A121" s="151" t="inlineStr">
        <is>
          <t>STRATEGY</t>
        </is>
      </c>
      <c r="B121" s="25" t="inlineStr">
        <is>
          <t>Alpine IV Parallel Fund, L.P.</t>
        </is>
      </c>
      <c r="C121" s="363" t="inlineStr">
        <is>
          <t>OTHR_PEQF</t>
        </is>
      </c>
      <c r="E121" s="256" t="n">
        <v>100</v>
      </c>
      <c r="F121" s="25" t="inlineStr">
        <is>
          <t>The fund invests in PE</t>
        </is>
      </c>
    </row>
    <row r="122">
      <c r="A122" s="151" t="inlineStr">
        <is>
          <t>STRATEGY</t>
        </is>
      </c>
      <c r="B122" s="25" t="inlineStr">
        <is>
          <t>Alpine IV Parallel Feeder C.V.</t>
        </is>
      </c>
      <c r="C122" s="363" t="inlineStr">
        <is>
          <t>OTHR_PEQF</t>
        </is>
      </c>
      <c r="E122" s="256" t="n">
        <v>100</v>
      </c>
      <c r="F122" s="25" t="inlineStr">
        <is>
          <t>The fund invests in PE</t>
        </is>
      </c>
    </row>
    <row r="123">
      <c r="A123" s="151" t="inlineStr">
        <is>
          <t>STRATEGY</t>
        </is>
      </c>
      <c r="B123" s="25" t="inlineStr">
        <is>
          <t>Alpine V Parallel Fund, L.P.</t>
        </is>
      </c>
      <c r="C123" s="363" t="inlineStr">
        <is>
          <t>OTHR_PEQF</t>
        </is>
      </c>
      <c r="E123" s="256" t="n">
        <v>100</v>
      </c>
      <c r="F123" s="25" t="inlineStr">
        <is>
          <t>The fund invests in PE</t>
        </is>
      </c>
    </row>
    <row r="124">
      <c r="A124" s="151" t="inlineStr">
        <is>
          <t>STRATEGY</t>
        </is>
      </c>
      <c r="B124" s="25" t="inlineStr">
        <is>
          <t>Ridgeline V Parallel Fund, L.P.</t>
        </is>
      </c>
      <c r="C124" s="151" t="inlineStr">
        <is>
          <t>FOFS_PRIV</t>
        </is>
      </c>
      <c r="E124" s="256" t="n">
        <v>100</v>
      </c>
    </row>
    <row r="125">
      <c r="A125" s="151" t="inlineStr">
        <is>
          <t>STRATEGY</t>
        </is>
      </c>
      <c r="B125" s="25" t="inlineStr">
        <is>
          <t>Ridgeline V Parallel Feeder C.V.</t>
        </is>
      </c>
      <c r="C125" s="151" t="inlineStr">
        <is>
          <t>FOFS_PRIV</t>
        </is>
      </c>
      <c r="E125" s="256" t="n">
        <v>100</v>
      </c>
    </row>
    <row r="126">
      <c r="A126" s="151" t="inlineStr">
        <is>
          <t>STRATEGY</t>
        </is>
      </c>
      <c r="B126" s="25" t="inlineStr">
        <is>
          <t>Ridgeline VI Parallel Fund, L.P</t>
        </is>
      </c>
      <c r="C126" s="151" t="inlineStr">
        <is>
          <t>FOFS_PRIV</t>
        </is>
      </c>
      <c r="E126" s="256" t="n">
        <v>100</v>
      </c>
    </row>
    <row r="127">
      <c r="A127" s="151" t="inlineStr">
        <is>
          <t>STRATEGY</t>
        </is>
      </c>
      <c r="B127" s="25" t="inlineStr">
        <is>
          <t>Ridgeline VI Parallel Feeder C.V.</t>
        </is>
      </c>
      <c r="C127" s="151" t="inlineStr">
        <is>
          <t>FOFS_PRIV</t>
        </is>
      </c>
      <c r="E127" s="256" t="n">
        <v>100</v>
      </c>
    </row>
    <row r="128">
      <c r="A128" s="151" t="inlineStr">
        <is>
          <t>STRATEGY</t>
        </is>
      </c>
      <c r="B128" s="25" t="inlineStr">
        <is>
          <t>Ridgeline VII Parallel Fund, L.P.</t>
        </is>
      </c>
      <c r="C128" s="151" t="inlineStr">
        <is>
          <t>FOFS_PRIV</t>
        </is>
      </c>
      <c r="E128" s="256" t="n">
        <v>100</v>
      </c>
    </row>
    <row r="129">
      <c r="A129" s="151" t="inlineStr">
        <is>
          <t>STRATEGY</t>
        </is>
      </c>
      <c r="B129" s="25" t="inlineStr">
        <is>
          <t>Ridgeline VIII Lux Feeder, SCSp</t>
        </is>
      </c>
      <c r="C129" s="151" t="inlineStr">
        <is>
          <t>FOFS_PRIV</t>
        </is>
      </c>
      <c r="E129" s="256" t="n">
        <v>100</v>
      </c>
    </row>
    <row r="130">
      <c r="A130" s="151" t="inlineStr">
        <is>
          <t>STRATEGY</t>
        </is>
      </c>
      <c r="B130" s="25" t="inlineStr">
        <is>
          <t>Ridgeline VIII Parallel Fund, L.P.</t>
        </is>
      </c>
      <c r="C130" s="151" t="inlineStr">
        <is>
          <t>FOFS_PRIV</t>
        </is>
      </c>
      <c r="E130" s="256" t="n">
        <v>100</v>
      </c>
    </row>
    <row r="131"/>
    <row r="132"/>
    <row r="133">
      <c r="A133" s="23" t="inlineStr">
        <is>
          <t>#DOMINANT_INFLUENCE</t>
        </is>
      </c>
      <c r="B133" s="23" t="inlineStr">
        <is>
          <t>Custom AIF Identification</t>
        </is>
      </c>
      <c r="C133" s="23" t="inlineStr">
        <is>
          <t>Dominant influence company name</t>
        </is>
      </c>
      <c r="D133" s="23" t="inlineStr">
        <is>
          <t>Dominant influence company LEI code</t>
        </is>
      </c>
      <c r="E133" s="23" t="inlineStr">
        <is>
          <t xml:space="preserve">Dominant influence company BIC code </t>
        </is>
      </c>
      <c r="F133" s="23" t="inlineStr">
        <is>
          <t>Transaction Type</t>
        </is>
      </c>
      <c r="G133" s="23" t="inlineStr">
        <is>
          <t>Description of other transaction type</t>
        </is>
      </c>
      <c r="H133" s="23" t="inlineStr">
        <is>
          <t>% Voting Rights</t>
        </is>
      </c>
      <c r="I133" s="28" t="n"/>
      <c r="J133" s="28" t="n"/>
      <c r="K133" s="28" t="n"/>
      <c r="L133" s="28" t="n"/>
      <c r="M133" s="28" t="n"/>
    </row>
    <row r="134">
      <c r="A134" s="29" t="inlineStr">
        <is>
          <t>#AIF fieldnummers</t>
        </is>
      </c>
      <c r="B134" s="38" t="inlineStr">
        <is>
          <t>AIF_ID</t>
        </is>
      </c>
      <c r="C134" s="29" t="n">
        <v>131</v>
      </c>
      <c r="D134" s="29" t="n">
        <v>132</v>
      </c>
      <c r="E134" s="29" t="n">
        <v>133</v>
      </c>
      <c r="F134" s="29" t="n">
        <v>134</v>
      </c>
      <c r="G134" s="29" t="n">
        <v>135</v>
      </c>
      <c r="H134" s="29" t="n">
        <v>136</v>
      </c>
    </row>
    <row r="135" customFormat="1" s="151">
      <c r="D135" s="152" t="n"/>
      <c r="E135" s="152" t="n"/>
      <c r="G135" s="185" t="n"/>
      <c r="H135" s="256" t="n"/>
    </row>
    <row r="136" customFormat="1" s="151">
      <c r="D136" s="152" t="n"/>
      <c r="E136" s="152" t="n"/>
      <c r="G136" s="185" t="n"/>
      <c r="H136" s="256" t="n"/>
    </row>
    <row r="137" hidden="1" customFormat="1" s="151">
      <c r="D137" s="152" t="n"/>
      <c r="E137" s="152" t="n"/>
      <c r="G137" s="185" t="n"/>
      <c r="H137" s="256" t="n"/>
    </row>
    <row r="138">
      <c r="A138" s="23" t="inlineStr">
        <is>
          <t>#RISK</t>
        </is>
      </c>
      <c r="B138" s="23" t="inlineStr">
        <is>
          <t>Custom AIF Identification</t>
        </is>
      </c>
      <c r="C138" s="23" t="inlineStr">
        <is>
          <t>Risk measure type</t>
        </is>
      </c>
      <c r="D138" s="23" t="inlineStr">
        <is>
          <t>Risk measure value in base currency</t>
        </is>
      </c>
      <c r="E138" s="23" t="inlineStr">
        <is>
          <t>Risk measure value for Net DV01 and CS01 for bucket &lt; 5 years in base currency</t>
        </is>
      </c>
      <c r="F138" s="23" t="inlineStr">
        <is>
          <t>Risk measure value Net DV01 and CS01 for for bucket 5-15 years in base currency</t>
        </is>
      </c>
      <c r="G138" s="23" t="inlineStr">
        <is>
          <t>Risk measure value Net DV01 and CS01 for for bucket &gt; 15 years in base currency</t>
        </is>
      </c>
      <c r="H138" s="23" t="inlineStr">
        <is>
          <t>Risk measure value for Vega exposure at current market levels in base currency</t>
        </is>
      </c>
      <c r="I138" s="23" t="inlineStr">
        <is>
          <t>Risk measure value for Vega exposure at market levels 10% lower in base currency</t>
        </is>
      </c>
      <c r="J138" s="23" t="inlineStr">
        <is>
          <t>Risk measure value for Vega exposure at market levels 10% higher in base currency</t>
        </is>
      </c>
      <c r="K138" s="23" t="inlineStr">
        <is>
          <t>VAR Value as a percentage</t>
        </is>
      </c>
      <c r="L138" s="23" t="inlineStr">
        <is>
          <t>VAR Calculation Method Code Type</t>
        </is>
      </c>
      <c r="M138" s="23" t="inlineStr">
        <is>
          <t>Risk Measure description</t>
        </is>
      </c>
    </row>
    <row r="139">
      <c r="A139" s="36" t="inlineStr">
        <is>
          <t>#AIF fieldnummers</t>
        </is>
      </c>
      <c r="B139" s="38" t="inlineStr">
        <is>
          <t>AIF_ID</t>
        </is>
      </c>
      <c r="C139" s="36" t="n">
        <v>138</v>
      </c>
      <c r="D139" s="36" t="n">
        <v>139</v>
      </c>
      <c r="E139" s="36" t="n">
        <v>140</v>
      </c>
      <c r="F139" s="36" t="n">
        <v>141</v>
      </c>
      <c r="G139" s="36" t="n">
        <v>142</v>
      </c>
      <c r="H139" s="36" t="n">
        <v>143</v>
      </c>
      <c r="I139" s="36" t="n">
        <v>144</v>
      </c>
      <c r="J139" s="36" t="n">
        <v>145</v>
      </c>
      <c r="K139" s="36" t="n">
        <v>302</v>
      </c>
      <c r="L139" s="36" t="n">
        <v>146</v>
      </c>
      <c r="M139" s="36" t="n">
        <v>147</v>
      </c>
    </row>
    <row r="140" customFormat="1" s="154">
      <c r="D140" s="253" t="n"/>
      <c r="E140" s="190" t="n"/>
      <c r="F140" s="190" t="n"/>
      <c r="G140" s="190" t="n"/>
      <c r="H140" s="190" t="n"/>
      <c r="I140" s="190" t="n"/>
      <c r="J140" s="190" t="n"/>
      <c r="K140" s="190" t="n"/>
      <c r="M140" s="186" t="n"/>
    </row>
    <row r="141" customFormat="1" s="154">
      <c r="D141" s="189" t="n"/>
      <c r="E141" s="190" t="n"/>
      <c r="F141" s="190" t="n"/>
      <c r="G141" s="190" t="n"/>
      <c r="H141" s="190" t="n"/>
      <c r="I141" s="190" t="n"/>
      <c r="J141" s="190" t="n"/>
      <c r="K141" s="190" t="n"/>
      <c r="M141" s="186" t="n"/>
    </row>
    <row r="142" ht="10.5" customHeight="1">
      <c r="A142" s="23" t="inlineStr">
        <is>
          <t>#COUNTERPARTY_RISK_PROFILE</t>
        </is>
      </c>
      <c r="B142" s="23" t="inlineStr">
        <is>
          <t>Custom AIF Identification</t>
        </is>
      </c>
      <c r="C142" s="23" t="inlineStr">
        <is>
          <t>Percentage of market value for securities traded on regulated exchanges (non-OTC)</t>
        </is>
      </c>
      <c r="D142" s="172" t="inlineStr">
        <is>
          <t>(Legacy) Percentage of market value for securities traded on OTC</t>
        </is>
      </c>
      <c r="E142" s="23" t="inlineStr">
        <is>
          <t>Percentage of trade volumes for derivatives traded on regulated exchanges (non-OTC)</t>
        </is>
      </c>
      <c r="F142" s="172" t="inlineStr">
        <is>
          <t>(Legacy) Percentage of trade volumes for derivatives traded on OTC</t>
        </is>
      </c>
      <c r="G142" s="23" t="inlineStr">
        <is>
          <t>Percentage of trade volumes for derivatives cleared by a CCP</t>
        </is>
      </c>
      <c r="H142" s="172" t="inlineStr">
        <is>
          <t>(Legacy) Percentage of trade volumes for derivatives cleared bilaterally</t>
        </is>
      </c>
      <c r="I142" s="23" t="inlineStr">
        <is>
          <t>Percentage of market value for repos trades cleared by a CCP</t>
        </is>
      </c>
      <c r="J142" s="23" t="inlineStr">
        <is>
          <t>Percentage of market value for repos trades cleared bilaterally</t>
        </is>
      </c>
      <c r="K142" s="23" t="inlineStr">
        <is>
          <t>Percentage of market value for repos trades cleared with triparty repos</t>
        </is>
      </c>
      <c r="L142" s="23" t="inlineStr">
        <is>
          <t>Collateral Cash amount posted to all counterparties</t>
        </is>
      </c>
      <c r="M142" s="23" t="inlineStr">
        <is>
          <t>Collateral Securities amount posted to all counterparties</t>
        </is>
      </c>
      <c r="N142" s="23" t="inlineStr">
        <is>
          <t>Other Collateral amount posted to all counterparties</t>
        </is>
      </c>
    </row>
    <row r="143">
      <c r="A143" s="29" t="inlineStr">
        <is>
          <t>#AIF fieldnummers</t>
        </is>
      </c>
      <c r="B143" s="38" t="inlineStr">
        <is>
          <t>AIF_ID</t>
        </is>
      </c>
      <c r="C143" s="233" t="inlineStr">
        <is>
          <t>148, 149</t>
        </is>
      </c>
      <c r="D143" s="29" t="n">
        <v>149</v>
      </c>
      <c r="E143" s="233" t="inlineStr">
        <is>
          <t>150, 151</t>
        </is>
      </c>
      <c r="F143" s="29" t="n">
        <v>151</v>
      </c>
      <c r="G143" s="233" t="inlineStr">
        <is>
          <t>152, 153</t>
        </is>
      </c>
      <c r="H143" s="29" t="n">
        <v>153</v>
      </c>
      <c r="I143" s="29" t="n">
        <v>154</v>
      </c>
      <c r="J143" s="29" t="n">
        <v>155</v>
      </c>
      <c r="K143" s="29" t="n">
        <v>156</v>
      </c>
      <c r="L143" s="29" t="n">
        <v>157</v>
      </c>
      <c r="M143" s="29" t="n">
        <v>158</v>
      </c>
      <c r="N143" s="29" t="n">
        <v>159</v>
      </c>
    </row>
    <row r="144" customFormat="1" s="151">
      <c r="C144" s="338" t="n"/>
      <c r="D144" s="349" t="n"/>
      <c r="E144" s="349" t="n"/>
      <c r="F144" s="349" t="n"/>
      <c r="G144" s="349" t="n"/>
      <c r="H144" s="349" t="n"/>
      <c r="I144" s="349" t="n"/>
      <c r="J144" s="349" t="n"/>
      <c r="K144" s="349" t="n"/>
      <c r="L144" s="349" t="n"/>
      <c r="M144" s="349" t="n"/>
      <c r="N144" s="349" t="n"/>
    </row>
    <row r="145" customFormat="1" s="151">
      <c r="C145" s="338" t="n"/>
      <c r="D145" s="349" t="n"/>
      <c r="E145" s="349" t="n"/>
      <c r="F145" s="349" t="n"/>
      <c r="G145" s="349" t="n"/>
      <c r="H145" s="349" t="n"/>
      <c r="I145" s="349" t="n"/>
      <c r="J145" s="349" t="n"/>
      <c r="K145" s="349" t="n"/>
      <c r="L145" s="349" t="n"/>
      <c r="M145" s="349" t="n"/>
      <c r="N145" s="349" t="n"/>
    </row>
    <row r="146">
      <c r="A146" s="23" t="inlineStr">
        <is>
          <t>#PORTFOLIO_LIQUIDITY_PROFILE</t>
        </is>
      </c>
      <c r="B146" s="23" t="inlineStr">
        <is>
          <t>Custom AIF Identification</t>
        </is>
      </c>
      <c r="C146" s="23" t="inlineStr">
        <is>
          <t>Percentage of portfolio liquidity in 0 to 1 day</t>
        </is>
      </c>
      <c r="D146" s="23" t="inlineStr">
        <is>
          <t>Percentage of portfolio liquidity in 2 to 7 days</t>
        </is>
      </c>
      <c r="E146" s="23" t="inlineStr">
        <is>
          <t>Percentage of portfolio liquidity in 8 to 30 days</t>
        </is>
      </c>
      <c r="F146" s="23" t="inlineStr">
        <is>
          <t>Percentage of portfolio liquidity in 31 to 90 days</t>
        </is>
      </c>
      <c r="G146" s="23" t="inlineStr">
        <is>
          <t>Percentage of portfolio liquidity in 91 to 180 days</t>
        </is>
      </c>
      <c r="H146" s="23" t="inlineStr">
        <is>
          <t>Percentage of portfolio liquidity in 181 to 365 days</t>
        </is>
      </c>
      <c r="I146" s="23" t="inlineStr">
        <is>
          <t>Percentage of portfolio liquidity in more than 365 days</t>
        </is>
      </c>
      <c r="J146" s="23" t="inlineStr">
        <is>
          <t>Unencumbered cash amount</t>
        </is>
      </c>
      <c r="K146" s="24" t="n"/>
      <c r="L146" s="24" t="n"/>
      <c r="M146" s="24" t="n"/>
    </row>
    <row r="147">
      <c r="A147" s="29" t="inlineStr">
        <is>
          <t>#AIF fieldnummers</t>
        </is>
      </c>
      <c r="B147" s="38" t="inlineStr">
        <is>
          <t>AIF_ID</t>
        </is>
      </c>
      <c r="C147" s="29" t="n">
        <v>178</v>
      </c>
      <c r="D147" s="29" t="n">
        <v>179</v>
      </c>
      <c r="E147" s="29" t="n">
        <v>180</v>
      </c>
      <c r="F147" s="29" t="n">
        <v>181</v>
      </c>
      <c r="G147" s="29" t="n">
        <v>182</v>
      </c>
      <c r="H147" s="29" t="n">
        <v>183</v>
      </c>
      <c r="I147" s="29" t="n">
        <v>184</v>
      </c>
      <c r="J147" s="29" t="n">
        <v>185</v>
      </c>
    </row>
    <row r="148" customFormat="1" s="151">
      <c r="C148" s="349" t="n"/>
      <c r="D148" s="349" t="n"/>
      <c r="E148" s="349" t="n"/>
      <c r="F148" s="349" t="n"/>
      <c r="G148" s="349" t="n"/>
      <c r="H148" s="349" t="n"/>
      <c r="I148" s="349" t="n"/>
      <c r="J148" s="254" t="n"/>
    </row>
    <row r="149" customFormat="1" s="151">
      <c r="C149" s="349" t="n"/>
      <c r="D149" s="349" t="n"/>
      <c r="E149" s="349" t="n"/>
      <c r="F149" s="349" t="n"/>
      <c r="G149" s="349" t="n"/>
      <c r="H149" s="349" t="n"/>
      <c r="I149" s="349" t="n"/>
      <c r="J149" s="349" t="n"/>
    </row>
    <row r="150">
      <c r="A150" s="31" t="inlineStr">
        <is>
          <t>#INVESTOR_LIQUIDITY_PROFILE</t>
        </is>
      </c>
      <c r="B150" s="23" t="inlineStr">
        <is>
          <t>Custom AIF Identification</t>
        </is>
      </c>
      <c r="C150" s="32" t="inlineStr">
        <is>
          <t>Percentage of investor liquidity in 0 to 1 day</t>
        </is>
      </c>
      <c r="D150" s="32" t="inlineStr">
        <is>
          <t>Percentage of investor liquidity in 2 to 7 days</t>
        </is>
      </c>
      <c r="E150" s="32" t="inlineStr">
        <is>
          <t>Percentage of investor liquidity in 8 to 30 days</t>
        </is>
      </c>
      <c r="F150" s="32" t="inlineStr">
        <is>
          <t>Percentage of investor liquidity in 31 to 90 days</t>
        </is>
      </c>
      <c r="G150" s="32" t="inlineStr">
        <is>
          <t>Percentage of investor liquidity in 91 to 180 days</t>
        </is>
      </c>
      <c r="H150" s="32" t="inlineStr">
        <is>
          <t>Percentage of investor liquidity in 181 to 365 days</t>
        </is>
      </c>
      <c r="I150" s="32" t="inlineStr">
        <is>
          <t>Percentage of investor liquidity in more than 365 days</t>
        </is>
      </c>
    </row>
    <row r="151">
      <c r="A151" s="33" t="inlineStr">
        <is>
          <t>#AIF fieldnummers</t>
        </is>
      </c>
      <c r="B151" s="38" t="inlineStr">
        <is>
          <t>AIF_ID</t>
        </is>
      </c>
      <c r="C151" s="34" t="n">
        <v>186</v>
      </c>
      <c r="D151" s="34" t="n">
        <v>187</v>
      </c>
      <c r="E151" s="34" t="n">
        <v>188</v>
      </c>
      <c r="F151" s="34" t="n">
        <v>189</v>
      </c>
      <c r="G151" s="34" t="n">
        <v>190</v>
      </c>
      <c r="H151" s="34" t="n">
        <v>191</v>
      </c>
      <c r="I151" s="34" t="n">
        <v>192</v>
      </c>
    </row>
    <row r="152" customFormat="1" s="151">
      <c r="C152" s="349" t="n"/>
      <c r="D152" s="349" t="n"/>
      <c r="E152" s="349" t="n"/>
      <c r="F152" s="349" t="n"/>
      <c r="G152" s="349" t="n"/>
      <c r="H152" s="349" t="n"/>
      <c r="I152" s="349" t="n"/>
    </row>
    <row r="153" customFormat="1" s="151">
      <c r="C153" s="349" t="n"/>
      <c r="D153" s="349" t="n"/>
      <c r="E153" s="349" t="n"/>
      <c r="F153" s="349" t="n"/>
      <c r="G153" s="349" t="n"/>
      <c r="H153" s="349" t="n"/>
      <c r="I153" s="349" t="n"/>
    </row>
    <row r="154">
      <c r="A154" s="31" t="inlineStr">
        <is>
          <t>#INVESTOR_REDEMPTION</t>
        </is>
      </c>
      <c r="B154" s="23" t="inlineStr">
        <is>
          <t>Custom AIF Identification</t>
        </is>
      </c>
      <c r="C154" s="178" t="inlineStr">
        <is>
          <t>(Legacy) Withdrawal redemption rights flag</t>
        </is>
      </c>
      <c r="D154" s="32" t="inlineStr">
        <is>
          <t>Investor Redemption Frequency</t>
        </is>
      </c>
      <c r="E154" s="32" t="inlineStr">
        <is>
          <t>Investor Redemption Notice Period in days</t>
        </is>
      </c>
      <c r="F154" s="32" t="inlineStr">
        <is>
          <t>Investor Redemption Lock Up Period in days</t>
        </is>
      </c>
    </row>
    <row r="155">
      <c r="A155" s="33" t="inlineStr">
        <is>
          <t>#AIF fieldnummers</t>
        </is>
      </c>
      <c r="B155" s="38" t="inlineStr">
        <is>
          <t>AIF_ID</t>
        </is>
      </c>
      <c r="C155" s="34" t="n">
        <v>193</v>
      </c>
      <c r="D155" s="235" t="inlineStr">
        <is>
          <t>194, 193</t>
        </is>
      </c>
      <c r="E155" s="235" t="inlineStr">
        <is>
          <t>195, 193</t>
        </is>
      </c>
      <c r="F155" s="235" t="inlineStr">
        <is>
          <t>196, 193</t>
        </is>
      </c>
    </row>
    <row r="156" customFormat="1" s="151">
      <c r="E156" s="191" t="n"/>
      <c r="F156" s="191" t="n"/>
    </row>
    <row r="157" customFormat="1" s="151">
      <c r="E157" s="191" t="n"/>
      <c r="F157" s="191" t="n"/>
    </row>
    <row r="158">
      <c r="A158" s="31" t="inlineStr">
        <is>
          <t>#SPECIAL_ARRANGEMENT</t>
        </is>
      </c>
      <c r="B158" s="23" t="inlineStr">
        <is>
          <t>Custom AIF Identification</t>
        </is>
      </c>
      <c r="C158" s="32" t="inlineStr">
        <is>
          <t>Side Pocket percentage</t>
        </is>
      </c>
      <c r="D158" s="32" t="inlineStr">
        <is>
          <t>Gates percentage</t>
        </is>
      </c>
      <c r="E158" s="32" t="inlineStr">
        <is>
          <t>Dealing Suspension percentage</t>
        </is>
      </c>
      <c r="F158" s="32" t="inlineStr">
        <is>
          <t>Other Arrangement Type</t>
        </is>
      </c>
      <c r="G158" s="32" t="inlineStr">
        <is>
          <t>Other arrangement percentage</t>
        </is>
      </c>
      <c r="H158" s="32" t="inlineStr">
        <is>
          <t>Total arrangement percentage</t>
        </is>
      </c>
      <c r="I158" s="178" t="inlineStr">
        <is>
          <t>(Legacy) Investor preferential treatment Flag</t>
        </is>
      </c>
      <c r="J158" s="32" t="inlineStr">
        <is>
          <t>Disclosure Terms Preferential Treatment Flag</t>
        </is>
      </c>
      <c r="K158" s="32" t="inlineStr">
        <is>
          <t>Liquidity Terms Preferential Treatment Flag</t>
        </is>
      </c>
      <c r="L158" s="32" t="inlineStr">
        <is>
          <t>Fee Terms Preferential Treatment Flag</t>
        </is>
      </c>
      <c r="M158" s="32" t="inlineStr">
        <is>
          <t>Other Terms Preferential Treatment Flag</t>
        </is>
      </c>
    </row>
    <row r="159">
      <c r="A159" s="33" t="inlineStr">
        <is>
          <t>#AIF fieldnummers</t>
        </is>
      </c>
      <c r="B159" s="38" t="inlineStr">
        <is>
          <t>AIF_ID</t>
        </is>
      </c>
      <c r="C159" s="34" t="n">
        <v>197</v>
      </c>
      <c r="D159" s="34" t="n">
        <v>198</v>
      </c>
      <c r="E159" s="34" t="n">
        <v>199</v>
      </c>
      <c r="F159" s="34" t="n">
        <v>200</v>
      </c>
      <c r="G159" s="34" t="n">
        <v>201</v>
      </c>
      <c r="H159" s="34" t="n">
        <v>202</v>
      </c>
      <c r="I159" s="34" t="n">
        <v>203</v>
      </c>
      <c r="J159" s="235" t="inlineStr">
        <is>
          <t>204, 203</t>
        </is>
      </c>
      <c r="K159" s="235" t="inlineStr">
        <is>
          <t>205, 203</t>
        </is>
      </c>
      <c r="L159" s="235" t="inlineStr">
        <is>
          <t>206, 203</t>
        </is>
      </c>
      <c r="M159" s="235" t="inlineStr">
        <is>
          <t>207, 203</t>
        </is>
      </c>
    </row>
    <row r="160" customFormat="1" s="151">
      <c r="C160" s="338" t="n"/>
      <c r="D160" s="338" t="n"/>
      <c r="E160" s="338" t="n"/>
      <c r="F160" s="194" t="n"/>
      <c r="G160" s="338" t="n"/>
      <c r="H160" s="338" t="n"/>
    </row>
    <row r="161" customFormat="1" s="151">
      <c r="C161" s="338" t="n"/>
      <c r="D161" s="338" t="n"/>
      <c r="E161" s="338" t="n"/>
      <c r="F161" s="194" t="n"/>
      <c r="G161" s="338" t="n"/>
      <c r="H161" s="338" t="n"/>
    </row>
    <row r="162" customFormat="1" s="28">
      <c r="A162" s="31" t="inlineStr">
        <is>
          <t>#INVESTOR</t>
        </is>
      </c>
      <c r="B162" s="23" t="inlineStr">
        <is>
          <t>Custom AIF Identification</t>
        </is>
      </c>
      <c r="C162" s="32" t="inlineStr">
        <is>
          <t>Investor Group Type</t>
        </is>
      </c>
      <c r="D162" s="32" t="inlineStr">
        <is>
          <t>Investor group NAV percentage</t>
        </is>
      </c>
      <c r="E162" s="25" t="n"/>
      <c r="F162" s="25" t="n"/>
      <c r="G162" s="25" t="n"/>
      <c r="H162" s="25" t="n"/>
      <c r="I162" s="25" t="n"/>
      <c r="J162" s="25" t="n"/>
      <c r="K162" s="25" t="n"/>
      <c r="L162" s="25" t="n"/>
      <c r="M162" s="25" t="n"/>
    </row>
    <row r="163">
      <c r="A163" s="33" t="inlineStr">
        <is>
          <t>#AIF fieldnummers</t>
        </is>
      </c>
      <c r="B163" s="38" t="inlineStr">
        <is>
          <t>AIF_ID</t>
        </is>
      </c>
      <c r="C163" s="34" t="n">
        <v>208</v>
      </c>
      <c r="D163" s="34" t="n">
        <v>209</v>
      </c>
    </row>
    <row r="164" customFormat="1" s="151">
      <c r="A164" s="151" t="inlineStr">
        <is>
          <t>INVESTOR</t>
        </is>
      </c>
      <c r="B164" s="151" t="inlineStr">
        <is>
          <t>Alpine III Parallel Fund, L.P.</t>
        </is>
      </c>
      <c r="C164" s="151" t="inlineStr">
        <is>
          <t>HHLD</t>
        </is>
      </c>
      <c r="D164" s="349" t="n">
        <v>23.0392156862745</v>
      </c>
      <c r="E164" s="151" t="inlineStr">
        <is>
          <t># HNW -&gt; Households</t>
        </is>
      </c>
    </row>
    <row r="165" customFormat="1" s="151">
      <c r="A165" s="151" t="inlineStr">
        <is>
          <t>INVESTOR</t>
        </is>
      </c>
      <c r="B165" s="151" t="inlineStr">
        <is>
          <t>Alpine III Parallel Fund, L.P.</t>
        </is>
      </c>
      <c r="C165" s="151" t="inlineStr">
        <is>
          <t>NFCO</t>
        </is>
      </c>
      <c r="D165" s="349" t="n">
        <v>76.9607843137255</v>
      </c>
      <c r="E165" s="151" t="inlineStr">
        <is>
          <t># Family Office/Non-Financial Corp -&gt; Non-financial corporations</t>
        </is>
      </c>
    </row>
    <row r="166" customFormat="1" s="151">
      <c r="A166" s="151" t="inlineStr">
        <is>
          <t>INVESTOR</t>
        </is>
      </c>
      <c r="B166" s="151" t="inlineStr">
        <is>
          <t>Alpine III Parallel Fund, L.P.</t>
        </is>
      </c>
      <c r="C166" s="151" t="inlineStr">
        <is>
          <t>NFCO</t>
        </is>
      </c>
      <c r="D166" s="349" t="n">
        <v>0</v>
      </c>
      <c r="E166" s="151" t="inlineStr">
        <is>
          <t># Foundation -&gt; Non-financial corporations</t>
        </is>
      </c>
    </row>
    <row r="167" customFormat="1" s="151">
      <c r="A167" s="151" t="inlineStr">
        <is>
          <t>INVESTOR</t>
        </is>
      </c>
      <c r="B167" s="151" t="inlineStr">
        <is>
          <t>Alpine III Parallel Fund, L.P.</t>
        </is>
      </c>
      <c r="C167" s="151" t="inlineStr">
        <is>
          <t>PFND</t>
        </is>
      </c>
      <c r="D167" s="349" t="n">
        <v>0</v>
      </c>
      <c r="E167" s="151" t="inlineStr">
        <is>
          <t># Pensions -&gt; 	Pension funds</t>
        </is>
      </c>
    </row>
    <row r="168" customFormat="1" s="151">
      <c r="D168" s="349" t="n"/>
    </row>
    <row r="169" customFormat="1" s="151">
      <c r="A169" s="151" t="inlineStr">
        <is>
          <t>INVESTOR</t>
        </is>
      </c>
      <c r="B169" s="25" t="inlineStr">
        <is>
          <t>Alpine IV Parallel Fund, L.P.</t>
        </is>
      </c>
      <c r="C169" s="151" t="inlineStr">
        <is>
          <t>HHLD</t>
        </is>
      </c>
      <c r="D169" s="349" t="n">
        <v>18.6807256424094</v>
      </c>
      <c r="E169" s="151" t="inlineStr">
        <is>
          <t># HNW -&gt; Households</t>
        </is>
      </c>
    </row>
    <row r="170" customFormat="1" s="151">
      <c r="A170" s="151" t="inlineStr">
        <is>
          <t>INVESTOR</t>
        </is>
      </c>
      <c r="B170" s="25" t="inlineStr">
        <is>
          <t>Alpine IV Parallel Fund, L.P.</t>
        </is>
      </c>
      <c r="C170" s="151" t="inlineStr">
        <is>
          <t>NFCO</t>
        </is>
      </c>
      <c r="D170" s="349" t="n">
        <v>81.3192743575906</v>
      </c>
      <c r="E170" s="151" t="inlineStr">
        <is>
          <t># Family Office/Non-Financial Corp -&gt; Non-financial corporations</t>
        </is>
      </c>
    </row>
    <row r="171" customFormat="1" s="151">
      <c r="A171" s="151" t="inlineStr">
        <is>
          <t>INVESTOR</t>
        </is>
      </c>
      <c r="B171" s="25" t="inlineStr">
        <is>
          <t>Alpine IV Parallel Fund, L.P.</t>
        </is>
      </c>
      <c r="C171" s="151" t="inlineStr">
        <is>
          <t>NFCO</t>
        </is>
      </c>
      <c r="D171" s="349" t="n">
        <v>0</v>
      </c>
      <c r="E171" s="151" t="inlineStr">
        <is>
          <t># Foundation -&gt; Non-financial corporations</t>
        </is>
      </c>
    </row>
    <row r="172" customFormat="1" s="151">
      <c r="A172" s="151" t="inlineStr">
        <is>
          <t>INVESTOR</t>
        </is>
      </c>
      <c r="B172" s="25" t="inlineStr">
        <is>
          <t>Alpine IV Parallel Fund, L.P.</t>
        </is>
      </c>
      <c r="C172" s="151" t="inlineStr">
        <is>
          <t>PFND</t>
        </is>
      </c>
      <c r="D172" s="349" t="n">
        <v>0</v>
      </c>
      <c r="E172" s="151" t="inlineStr">
        <is>
          <t># Pensions -&gt; 	Pension funds</t>
        </is>
      </c>
    </row>
    <row r="173" customFormat="1" s="151">
      <c r="B173" s="25" t="n"/>
      <c r="D173" s="349" t="n"/>
    </row>
    <row r="174" customFormat="1" s="151">
      <c r="A174" s="151" t="inlineStr">
        <is>
          <t>INVESTOR</t>
        </is>
      </c>
      <c r="B174" s="25" t="inlineStr">
        <is>
          <t>Alpine IV Parallel Feeder C.V.</t>
        </is>
      </c>
      <c r="C174" s="151" t="inlineStr">
        <is>
          <t>HHLD</t>
        </is>
      </c>
      <c r="D174" s="349" t="n">
        <v>14.7051756451535</v>
      </c>
      <c r="E174" s="151" t="inlineStr">
        <is>
          <t># HNW -&gt; Households</t>
        </is>
      </c>
    </row>
    <row r="175" customFormat="1" s="151">
      <c r="A175" s="151" t="inlineStr">
        <is>
          <t>INVESTOR</t>
        </is>
      </c>
      <c r="B175" s="25" t="inlineStr">
        <is>
          <t>Alpine IV Parallel Feeder C.V.</t>
        </is>
      </c>
      <c r="C175" s="151" t="inlineStr">
        <is>
          <t>NFCO</t>
        </is>
      </c>
      <c r="D175" s="349" t="n">
        <v>85.2948243548465</v>
      </c>
      <c r="E175" s="151" t="inlineStr">
        <is>
          <t># Family Office/Non-Financial Corp -&gt; Non-financial corporations</t>
        </is>
      </c>
    </row>
    <row r="176" customFormat="1" s="151">
      <c r="A176" s="151" t="inlineStr">
        <is>
          <t>INVESTOR</t>
        </is>
      </c>
      <c r="B176" s="25" t="inlineStr">
        <is>
          <t>Alpine IV Parallel Feeder C.V.</t>
        </is>
      </c>
      <c r="C176" s="151" t="inlineStr">
        <is>
          <t>NFCO</t>
        </is>
      </c>
      <c r="D176" s="349" t="n">
        <v>0</v>
      </c>
      <c r="E176" s="151" t="inlineStr">
        <is>
          <t># Foundation -&gt; Non-financial corporations</t>
        </is>
      </c>
    </row>
    <row r="177" customFormat="1" s="151">
      <c r="A177" s="151" t="inlineStr">
        <is>
          <t>INVESTOR</t>
        </is>
      </c>
      <c r="B177" s="25" t="inlineStr">
        <is>
          <t>Alpine IV Parallel Feeder C.V.</t>
        </is>
      </c>
      <c r="C177" s="151" t="inlineStr">
        <is>
          <t>PFND</t>
        </is>
      </c>
      <c r="D177" s="349" t="n">
        <v>0</v>
      </c>
      <c r="E177" s="151" t="inlineStr">
        <is>
          <t># Pensions -&gt; 	Pension funds</t>
        </is>
      </c>
    </row>
    <row r="178" customFormat="1" s="151">
      <c r="B178" s="25" t="n"/>
      <c r="D178" s="349" t="n"/>
    </row>
    <row r="179" customFormat="1" s="151">
      <c r="A179" s="151" t="inlineStr">
        <is>
          <t>INVESTOR</t>
        </is>
      </c>
      <c r="B179" s="25" t="inlineStr">
        <is>
          <t>Alpine V Parallel Fund, L.P.</t>
        </is>
      </c>
      <c r="C179" s="151" t="inlineStr">
        <is>
          <t>HHLD</t>
        </is>
      </c>
      <c r="D179" s="349" t="n">
        <v>27.8470490440565</v>
      </c>
      <c r="E179" s="151" t="inlineStr">
        <is>
          <t># HNW -&gt; Households</t>
        </is>
      </c>
    </row>
    <row r="180" customFormat="1" s="151">
      <c r="A180" s="151" t="inlineStr">
        <is>
          <t>INVESTOR</t>
        </is>
      </c>
      <c r="B180" s="25" t="inlineStr">
        <is>
          <t>Alpine V Parallel Fund, L.P.</t>
        </is>
      </c>
      <c r="C180" s="151" t="inlineStr">
        <is>
          <t>NFCO</t>
        </is>
      </c>
      <c r="D180" s="349" t="n">
        <v>72.1529509559435</v>
      </c>
      <c r="E180" s="151" t="inlineStr">
        <is>
          <t># Family Office/Non-Financial Corp -&gt; Non-financial corporations</t>
        </is>
      </c>
    </row>
    <row r="181" customFormat="1" s="151">
      <c r="A181" s="151" t="inlineStr">
        <is>
          <t>INVESTOR</t>
        </is>
      </c>
      <c r="B181" s="25" t="inlineStr">
        <is>
          <t>Alpine V Parallel Fund, L.P.</t>
        </is>
      </c>
      <c r="C181" s="151" t="inlineStr">
        <is>
          <t>NFCO</t>
        </is>
      </c>
      <c r="D181" s="349" t="n">
        <v>0</v>
      </c>
      <c r="E181" s="151" t="inlineStr">
        <is>
          <t># Foundation -&gt; Non-financial corporations</t>
        </is>
      </c>
    </row>
    <row r="182" customFormat="1" s="151">
      <c r="A182" s="151" t="inlineStr">
        <is>
          <t>INVESTOR</t>
        </is>
      </c>
      <c r="B182" s="25" t="inlineStr">
        <is>
          <t>Alpine V Parallel Fund, L.P.</t>
        </is>
      </c>
      <c r="C182" s="151" t="inlineStr">
        <is>
          <t>PFND</t>
        </is>
      </c>
      <c r="D182" s="349" t="n">
        <v>0</v>
      </c>
      <c r="E182" s="151" t="inlineStr">
        <is>
          <t># Pensions -&gt; 	Pension funds</t>
        </is>
      </c>
    </row>
    <row r="183" customFormat="1" s="151">
      <c r="B183" s="25" t="n"/>
      <c r="D183" s="349" t="n"/>
    </row>
    <row r="184" customFormat="1" s="151">
      <c r="A184" s="151" t="inlineStr">
        <is>
          <t>INVESTOR</t>
        </is>
      </c>
      <c r="B184" s="25" t="inlineStr">
        <is>
          <t>Ridgeline V Parallel Fund, L.P.</t>
        </is>
      </c>
      <c r="C184" s="151" t="inlineStr">
        <is>
          <t>HHLD</t>
        </is>
      </c>
      <c r="D184" s="349" t="n">
        <v>15.6958744330045</v>
      </c>
      <c r="E184" s="151" t="inlineStr">
        <is>
          <t># HNW -&gt; Households</t>
        </is>
      </c>
    </row>
    <row r="185" customFormat="1" s="151">
      <c r="A185" s="151" t="inlineStr">
        <is>
          <t>INVESTOR</t>
        </is>
      </c>
      <c r="B185" s="25" t="inlineStr">
        <is>
          <t>Ridgeline V Parallel Fund, L.P.</t>
        </is>
      </c>
      <c r="C185" s="151" t="inlineStr">
        <is>
          <t>NFCO</t>
        </is>
      </c>
      <c r="D185" s="349" t="n">
        <v>73.5042119663043</v>
      </c>
      <c r="E185" s="151" t="inlineStr">
        <is>
          <t># Family Office/Non-Financial Corp -&gt; Non-financial corporations</t>
        </is>
      </c>
    </row>
    <row r="186" customFormat="1" s="151">
      <c r="A186" s="151" t="inlineStr">
        <is>
          <t>INVESTOR</t>
        </is>
      </c>
      <c r="B186" s="25" t="inlineStr">
        <is>
          <t>Ridgeline V Parallel Fund, L.P.</t>
        </is>
      </c>
      <c r="C186" s="151" t="inlineStr">
        <is>
          <t>NFCO</t>
        </is>
      </c>
      <c r="D186" s="349" t="n">
        <v>10.7999136006912</v>
      </c>
      <c r="E186" s="151" t="inlineStr">
        <is>
          <t># Foundation -&gt; Non-financial corporations</t>
        </is>
      </c>
    </row>
    <row r="187" customFormat="1" s="151">
      <c r="A187" s="151" t="inlineStr">
        <is>
          <t>INVESTOR</t>
        </is>
      </c>
      <c r="B187" s="25" t="inlineStr">
        <is>
          <t>Ridgeline V Parallel Fund, L.P.</t>
        </is>
      </c>
      <c r="C187" s="151" t="inlineStr">
        <is>
          <t>PFND</t>
        </is>
      </c>
      <c r="D187" s="349" t="n">
        <v>0</v>
      </c>
      <c r="E187" s="151" t="inlineStr">
        <is>
          <t># Pensions -&gt; 	Pension funds</t>
        </is>
      </c>
    </row>
    <row r="188" customFormat="1" s="151">
      <c r="B188" s="25" t="n"/>
      <c r="D188" s="349" t="n"/>
    </row>
    <row r="189" customFormat="1" s="151">
      <c r="A189" s="151" t="inlineStr">
        <is>
          <t>INVESTOR</t>
        </is>
      </c>
      <c r="B189" s="25" t="inlineStr">
        <is>
          <t>Ridgeline V Parallel Feeder C.V.</t>
        </is>
      </c>
      <c r="C189" s="151" t="inlineStr">
        <is>
          <t>HHLD</t>
        </is>
      </c>
      <c r="D189" s="349" t="n">
        <v>14.8229481196816</v>
      </c>
      <c r="E189" s="151" t="inlineStr">
        <is>
          <t># HNW -&gt; Households</t>
        </is>
      </c>
    </row>
    <row r="190" customFormat="1" s="151">
      <c r="A190" s="151" t="inlineStr">
        <is>
          <t>INVESTOR</t>
        </is>
      </c>
      <c r="B190" s="25" t="inlineStr">
        <is>
          <t>Ridgeline V Parallel Feeder C.V.</t>
        </is>
      </c>
      <c r="C190" s="151" t="inlineStr">
        <is>
          <t>NFCO</t>
        </is>
      </c>
      <c r="D190" s="349" t="n">
        <v>85.1770518803184</v>
      </c>
      <c r="E190" s="151" t="inlineStr">
        <is>
          <t># Family Office/Non-Financial Corp -&gt; Non-financial corporations</t>
        </is>
      </c>
    </row>
    <row r="191" customFormat="1" s="151">
      <c r="A191" s="151" t="inlineStr">
        <is>
          <t>INVESTOR</t>
        </is>
      </c>
      <c r="B191" s="25" t="inlineStr">
        <is>
          <t>Ridgeline V Parallel Feeder C.V.</t>
        </is>
      </c>
      <c r="C191" s="151" t="inlineStr">
        <is>
          <t>NFCO</t>
        </is>
      </c>
      <c r="D191" s="349" t="n">
        <v>0</v>
      </c>
      <c r="E191" s="151" t="inlineStr">
        <is>
          <t># Foundation -&gt; Non-financial corporations</t>
        </is>
      </c>
    </row>
    <row r="192" customFormat="1" s="151">
      <c r="A192" s="151" t="inlineStr">
        <is>
          <t>INVESTOR</t>
        </is>
      </c>
      <c r="B192" s="25" t="inlineStr">
        <is>
          <t>Ridgeline V Parallel Feeder C.V.</t>
        </is>
      </c>
      <c r="C192" s="151" t="inlineStr">
        <is>
          <t>PFND</t>
        </is>
      </c>
      <c r="D192" s="349" t="n">
        <v>0</v>
      </c>
      <c r="E192" s="151" t="inlineStr">
        <is>
          <t># Pensions -&gt; 	Pension funds</t>
        </is>
      </c>
    </row>
    <row r="193" customFormat="1" s="151">
      <c r="B193" s="25" t="n"/>
      <c r="D193" s="349" t="n"/>
    </row>
    <row r="194" customFormat="1" s="151">
      <c r="A194" s="151" t="inlineStr">
        <is>
          <t>INVESTOR</t>
        </is>
      </c>
      <c r="B194" s="25" t="inlineStr">
        <is>
          <t>Ridgeline VI Parallel Fund, L.P</t>
        </is>
      </c>
      <c r="C194" s="151" t="inlineStr">
        <is>
          <t>HHLD</t>
        </is>
      </c>
      <c r="D194" s="349" t="n">
        <v>16.8692904732468</v>
      </c>
      <c r="E194" s="151" t="inlineStr">
        <is>
          <t># HNW -&gt; Households</t>
        </is>
      </c>
    </row>
    <row r="195" customFormat="1" s="151">
      <c r="A195" s="151" t="inlineStr">
        <is>
          <t>INVESTOR</t>
        </is>
      </c>
      <c r="B195" s="25" t="inlineStr">
        <is>
          <t>Ridgeline VI Parallel Fund, L.P</t>
        </is>
      </c>
      <c r="C195" s="151" t="inlineStr">
        <is>
          <t>NFCO</t>
        </is>
      </c>
      <c r="D195" s="349" t="n">
        <v>66.09657256679721</v>
      </c>
      <c r="E195" s="151" t="inlineStr">
        <is>
          <t># Family Office/Non-Financial Corp -&gt; Non-financial corporations</t>
        </is>
      </c>
    </row>
    <row r="196" customFormat="1" s="151">
      <c r="A196" s="151" t="inlineStr">
        <is>
          <t>INVESTOR</t>
        </is>
      </c>
      <c r="B196" s="25" t="inlineStr">
        <is>
          <t>Ridgeline VI Parallel Fund, L.P</t>
        </is>
      </c>
      <c r="C196" s="151" t="inlineStr">
        <is>
          <t>NFCO</t>
        </is>
      </c>
      <c r="D196" s="349" t="n">
        <v>17.034136959956</v>
      </c>
      <c r="E196" s="151" t="inlineStr">
        <is>
          <t># Foundation -&gt; Non-financial corporations</t>
        </is>
      </c>
    </row>
    <row r="197" customFormat="1" s="151">
      <c r="A197" s="151" t="inlineStr">
        <is>
          <t>INVESTOR</t>
        </is>
      </c>
      <c r="B197" s="25" t="inlineStr">
        <is>
          <t>Ridgeline VI Parallel Fund, L.P</t>
        </is>
      </c>
      <c r="C197" s="151" t="inlineStr">
        <is>
          <t>PFND</t>
        </is>
      </c>
      <c r="D197" s="349" t="n">
        <v>0</v>
      </c>
      <c r="E197" s="151" t="inlineStr">
        <is>
          <t># Pensions -&gt; 	Pension funds</t>
        </is>
      </c>
    </row>
    <row r="198" customFormat="1" s="151">
      <c r="B198" s="25" t="n"/>
      <c r="D198" s="349" t="n"/>
    </row>
    <row r="199" customFormat="1" s="151">
      <c r="A199" s="151" t="inlineStr">
        <is>
          <t>INVESTOR</t>
        </is>
      </c>
      <c r="B199" s="25" t="inlineStr">
        <is>
          <t>Ridgeline VI Parallel Feeder C.V.</t>
        </is>
      </c>
      <c r="C199" s="151" t="inlineStr">
        <is>
          <t>HHLD</t>
        </is>
      </c>
      <c r="D199" s="349" t="n">
        <v>16.2469135802469</v>
      </c>
      <c r="E199" s="151" t="inlineStr">
        <is>
          <t># HNW -&gt; Households</t>
        </is>
      </c>
    </row>
    <row r="200" customFormat="1" s="151">
      <c r="A200" s="151" t="inlineStr">
        <is>
          <t>INVESTOR</t>
        </is>
      </c>
      <c r="B200" s="25" t="inlineStr">
        <is>
          <t>Ridgeline VI Parallel Feeder C.V.</t>
        </is>
      </c>
      <c r="C200" s="151" t="inlineStr">
        <is>
          <t>NFCO</t>
        </is>
      </c>
      <c r="D200" s="349" t="n">
        <v>83.7530864197531</v>
      </c>
      <c r="E200" s="151" t="inlineStr">
        <is>
          <t># Family Office/Non-Financial Corp -&gt; Non-financial corporations</t>
        </is>
      </c>
    </row>
    <row r="201" customFormat="1" s="151">
      <c r="A201" s="151" t="inlineStr">
        <is>
          <t>INVESTOR</t>
        </is>
      </c>
      <c r="B201" s="25" t="inlineStr">
        <is>
          <t>Ridgeline VI Parallel Feeder C.V.</t>
        </is>
      </c>
      <c r="C201" s="151" t="inlineStr">
        <is>
          <t>NFCO</t>
        </is>
      </c>
      <c r="D201" s="349" t="n">
        <v>0</v>
      </c>
      <c r="E201" s="151" t="inlineStr">
        <is>
          <t># Foundation -&gt; Non-financial corporations</t>
        </is>
      </c>
    </row>
    <row r="202" customFormat="1" s="151">
      <c r="A202" s="151" t="inlineStr">
        <is>
          <t>INVESTOR</t>
        </is>
      </c>
      <c r="B202" s="25" t="inlineStr">
        <is>
          <t>Ridgeline VI Parallel Feeder C.V.</t>
        </is>
      </c>
      <c r="C202" s="151" t="inlineStr">
        <is>
          <t>PFND</t>
        </is>
      </c>
      <c r="D202" s="349" t="n">
        <v>0</v>
      </c>
      <c r="E202" s="151" t="inlineStr">
        <is>
          <t># Pensions -&gt; 	Pension funds</t>
        </is>
      </c>
    </row>
    <row r="203" customFormat="1" s="151">
      <c r="B203" s="25" t="n"/>
      <c r="D203" s="349" t="n"/>
    </row>
    <row r="204" customFormat="1" s="151">
      <c r="A204" s="151" t="inlineStr">
        <is>
          <t>INVESTOR</t>
        </is>
      </c>
      <c r="B204" s="25" t="inlineStr">
        <is>
          <t>Ridgeline VII Parallel Fund, L.P.</t>
        </is>
      </c>
      <c r="C204" s="151" t="inlineStr">
        <is>
          <t>HHLD</t>
        </is>
      </c>
      <c r="D204" s="349" t="n">
        <v>18.5304449648712</v>
      </c>
      <c r="E204" s="151" t="inlineStr">
        <is>
          <t># HNW -&gt; Households</t>
        </is>
      </c>
    </row>
    <row r="205" customFormat="1" s="151">
      <c r="A205" s="151" t="inlineStr">
        <is>
          <t>INVESTOR</t>
        </is>
      </c>
      <c r="B205" s="25" t="inlineStr">
        <is>
          <t>Ridgeline VII Parallel Fund, L.P.</t>
        </is>
      </c>
      <c r="C205" s="151" t="inlineStr">
        <is>
          <t>NFCO</t>
        </is>
      </c>
      <c r="D205" s="349" t="n">
        <v>68.0035128805621</v>
      </c>
      <c r="E205" s="151" t="inlineStr">
        <is>
          <t># Family Office/Non-Financial Corp -&gt; Non-financial corporations</t>
        </is>
      </c>
    </row>
    <row r="206" customFormat="1" s="151">
      <c r="A206" s="151" t="inlineStr">
        <is>
          <t>INVESTOR</t>
        </is>
      </c>
      <c r="B206" s="25" t="inlineStr">
        <is>
          <t>Ridgeline VII Parallel Fund, L.P.</t>
        </is>
      </c>
      <c r="C206" s="151" t="inlineStr">
        <is>
          <t>NFCO</t>
        </is>
      </c>
      <c r="D206" s="349" t="n">
        <v>13.4660421545667</v>
      </c>
      <c r="E206" s="151" t="inlineStr">
        <is>
          <t># Foundation -&gt; Non-financial corporations</t>
        </is>
      </c>
    </row>
    <row r="207" customFormat="1" s="151">
      <c r="A207" s="151" t="inlineStr">
        <is>
          <t>INVESTOR</t>
        </is>
      </c>
      <c r="B207" s="25" t="inlineStr">
        <is>
          <t>Ridgeline VII Parallel Fund, L.P.</t>
        </is>
      </c>
      <c r="C207" s="151" t="inlineStr">
        <is>
          <t>PFND</t>
        </is>
      </c>
      <c r="D207" s="349" t="n">
        <v>0</v>
      </c>
      <c r="E207" s="151" t="inlineStr">
        <is>
          <t># Pensions -&gt; 	Pension funds</t>
        </is>
      </c>
    </row>
    <row r="208" customFormat="1" s="151">
      <c r="B208" s="25" t="n"/>
      <c r="D208" s="349" t="n"/>
    </row>
    <row r="209" customFormat="1" s="151">
      <c r="A209" s="151" t="inlineStr">
        <is>
          <t>INVESTOR</t>
        </is>
      </c>
      <c r="B209" s="25" t="inlineStr">
        <is>
          <t>Ridgeline VIII Lux Feeder, SCSp</t>
        </is>
      </c>
      <c r="C209" s="151" t="inlineStr">
        <is>
          <t>HHLD</t>
        </is>
      </c>
      <c r="D209" s="349" t="n">
        <v>10.3743434399578</v>
      </c>
      <c r="E209" s="151" t="inlineStr">
        <is>
          <t># HNW -&gt; Households</t>
        </is>
      </c>
    </row>
    <row r="210" customFormat="1" s="151">
      <c r="A210" s="151" t="inlineStr">
        <is>
          <t>INVESTOR</t>
        </is>
      </c>
      <c r="B210" s="25" t="inlineStr">
        <is>
          <t>Ridgeline VIII Lux Feeder, SCSp</t>
        </is>
      </c>
      <c r="C210" s="151" t="inlineStr">
        <is>
          <t>NFCO</t>
        </is>
      </c>
      <c r="D210" s="349" t="n">
        <v>84.0674763082567</v>
      </c>
      <c r="E210" s="151" t="inlineStr">
        <is>
          <t># Family Office/Non-Financial Corp -&gt; Non-financial corporations</t>
        </is>
      </c>
    </row>
    <row r="211" customFormat="1" s="151">
      <c r="A211" s="151" t="inlineStr">
        <is>
          <t>INVESTOR</t>
        </is>
      </c>
      <c r="B211" s="25" t="inlineStr">
        <is>
          <t>Ridgeline VIII Lux Feeder, SCSp</t>
        </is>
      </c>
      <c r="C211" s="151" t="inlineStr">
        <is>
          <t>NFCO</t>
        </is>
      </c>
      <c r="D211" s="349" t="n">
        <v>5.55818025178557</v>
      </c>
      <c r="E211" s="151" t="inlineStr">
        <is>
          <t># Foundation -&gt; Non-financial corporations</t>
        </is>
      </c>
    </row>
    <row r="212" customFormat="1" s="151">
      <c r="A212" s="151" t="inlineStr">
        <is>
          <t>INVESTOR</t>
        </is>
      </c>
      <c r="B212" s="25" t="inlineStr">
        <is>
          <t>Ridgeline VIII Lux Feeder, SCSp</t>
        </is>
      </c>
      <c r="C212" s="151" t="inlineStr">
        <is>
          <t>PFND</t>
        </is>
      </c>
      <c r="D212" s="349" t="n">
        <v>0</v>
      </c>
      <c r="E212" s="151" t="inlineStr">
        <is>
          <t># Pensions -&gt; 	Pension funds</t>
        </is>
      </c>
    </row>
    <row r="213" customFormat="1" s="151">
      <c r="B213" s="25" t="n"/>
      <c r="D213" s="349" t="n"/>
    </row>
    <row r="214" customFormat="1" s="151">
      <c r="A214" s="151" t="inlineStr">
        <is>
          <t>INVESTOR</t>
        </is>
      </c>
      <c r="B214" s="25" t="inlineStr">
        <is>
          <t>Ridgeline VIII Parallel Fund, L.P.</t>
        </is>
      </c>
      <c r="C214" s="151" t="inlineStr">
        <is>
          <t>HHLD</t>
        </is>
      </c>
      <c r="D214" s="349" t="n">
        <v>10.8306727372339</v>
      </c>
      <c r="E214" s="151" t="inlineStr">
        <is>
          <t># HNW -&gt; Households</t>
        </is>
      </c>
    </row>
    <row r="215" customFormat="1" s="151">
      <c r="A215" s="151" t="inlineStr">
        <is>
          <t>INVESTOR</t>
        </is>
      </c>
      <c r="B215" s="25" t="inlineStr">
        <is>
          <t>Ridgeline VIII Parallel Fund, L.P.</t>
        </is>
      </c>
      <c r="C215" s="151" t="inlineStr">
        <is>
          <t>NFCO</t>
        </is>
      </c>
      <c r="D215" s="349" t="n">
        <v>83.50178527572589</v>
      </c>
      <c r="E215" s="151" t="inlineStr">
        <is>
          <t># Family Office/Non-Financial Corp -&gt; Non-financial corporations</t>
        </is>
      </c>
    </row>
    <row r="216" customFormat="1" s="151">
      <c r="A216" s="151" t="inlineStr">
        <is>
          <t>INVESTOR</t>
        </is>
      </c>
      <c r="B216" s="25" t="inlineStr">
        <is>
          <t>Ridgeline VIII Parallel Fund, L.P.</t>
        </is>
      </c>
      <c r="C216" s="151" t="inlineStr">
        <is>
          <t>NFCO</t>
        </is>
      </c>
      <c r="D216" s="349" t="n">
        <v>5.66754198704022</v>
      </c>
      <c r="E216" s="151" t="inlineStr">
        <is>
          <t># Foundation -&gt; Non-financial corporations</t>
        </is>
      </c>
    </row>
    <row r="217" customFormat="1" s="151">
      <c r="A217" s="151" t="inlineStr">
        <is>
          <t>INVESTOR</t>
        </is>
      </c>
      <c r="B217" s="25" t="inlineStr">
        <is>
          <t>Ridgeline VIII Parallel Fund, L.P.</t>
        </is>
      </c>
      <c r="C217" s="151" t="inlineStr">
        <is>
          <t>PFND</t>
        </is>
      </c>
      <c r="D217" s="349" t="n">
        <v>0</v>
      </c>
      <c r="E217" s="151" t="inlineStr">
        <is>
          <t># Pensions -&gt; 	Pension funds</t>
        </is>
      </c>
    </row>
    <row r="218" customFormat="1" s="151">
      <c r="B218" s="25" t="n"/>
      <c r="D218" s="349" t="n"/>
    </row>
    <row r="219" customFormat="1" s="151">
      <c r="D219" s="349" t="n"/>
    </row>
    <row r="220" customFormat="1" s="28">
      <c r="A220" s="31" t="inlineStr">
        <is>
          <t>#FINANCING_LIQUIDITY</t>
        </is>
      </c>
      <c r="B220" s="23" t="inlineStr">
        <is>
          <t>Custom AIF Identification</t>
        </is>
      </c>
      <c r="C220" s="32" t="inlineStr">
        <is>
          <t>Available financing amount</t>
        </is>
      </c>
      <c r="D220" s="32" t="inlineStr">
        <is>
          <t>Percentage of financing amount in 0 to 1 day</t>
        </is>
      </c>
      <c r="E220" s="32" t="inlineStr">
        <is>
          <t>Percentage of financing amount in 2 to 7 days</t>
        </is>
      </c>
      <c r="F220" s="32" t="inlineStr">
        <is>
          <t>Percentage of financing amount in 8 to 30 days</t>
        </is>
      </c>
      <c r="G220" s="32" t="inlineStr">
        <is>
          <t>Percentage of financing amount in 31 to 90 days</t>
        </is>
      </c>
      <c r="H220" s="32" t="inlineStr">
        <is>
          <t>Percentage of financing amount in 91 to 180 days</t>
        </is>
      </c>
      <c r="I220" s="32" t="inlineStr">
        <is>
          <t>Percentage of financing amount in 181 to 365 days</t>
        </is>
      </c>
      <c r="J220" s="32" t="inlineStr">
        <is>
          <t>Percentage of financing amount longer than 365 days</t>
        </is>
      </c>
      <c r="K220" s="25" t="n"/>
      <c r="L220" s="25" t="n"/>
      <c r="M220" s="25" t="n"/>
    </row>
    <row r="221">
      <c r="A221" s="33" t="inlineStr">
        <is>
          <t>#AIF fieldnummers</t>
        </is>
      </c>
      <c r="B221" s="38" t="inlineStr">
        <is>
          <t>AIF_ID</t>
        </is>
      </c>
      <c r="C221" s="34" t="n">
        <v>210</v>
      </c>
      <c r="D221" s="34" t="n">
        <v>211</v>
      </c>
      <c r="E221" s="34" t="n">
        <v>212</v>
      </c>
      <c r="F221" s="34" t="n">
        <v>213</v>
      </c>
      <c r="G221" s="34" t="n">
        <v>214</v>
      </c>
      <c r="H221" s="34" t="n">
        <v>215</v>
      </c>
      <c r="I221" s="34" t="n">
        <v>216</v>
      </c>
      <c r="J221" s="34" t="n">
        <v>217</v>
      </c>
    </row>
    <row r="222" customFormat="1" s="151">
      <c r="C222" s="349" t="n"/>
      <c r="D222" s="349" t="n"/>
      <c r="E222" s="349" t="n"/>
      <c r="F222" s="349" t="n"/>
      <c r="G222" s="349" t="n"/>
      <c r="H222" s="349" t="n"/>
      <c r="I222" s="349" t="n"/>
      <c r="J222" s="349" t="n"/>
    </row>
    <row r="223" customFormat="1" s="151">
      <c r="C223" s="349" t="n"/>
      <c r="D223" s="349" t="n"/>
      <c r="E223" s="349" t="n"/>
      <c r="F223" s="349" t="n"/>
      <c r="G223" s="349" t="n"/>
      <c r="H223" s="349" t="n"/>
      <c r="I223" s="349" t="n"/>
      <c r="J223" s="349" t="n"/>
    </row>
    <row r="224" customFormat="1" s="28">
      <c r="A224" s="23" t="inlineStr">
        <is>
          <t>#STRESS_TEST</t>
        </is>
      </c>
      <c r="B224" s="23" t="inlineStr">
        <is>
          <t>Custom AIF Identification</t>
        </is>
      </c>
      <c r="C224" s="23" t="inlineStr">
        <is>
          <t>Results of stress tests performed in accordance with point(b) of Article 15(3)</t>
        </is>
      </c>
      <c r="D224" s="23" t="inlineStr">
        <is>
          <t>Results of stress tests performed in accordance with the second subparagraph of Article 16(1)</t>
        </is>
      </c>
    </row>
    <row r="225">
      <c r="A225" s="29" t="inlineStr">
        <is>
          <t>#AIF fieldnummers</t>
        </is>
      </c>
      <c r="B225" s="38" t="inlineStr">
        <is>
          <t>AIF_ID</t>
        </is>
      </c>
      <c r="C225" s="29" t="n">
        <v>279</v>
      </c>
      <c r="D225" s="29" t="n">
        <v>280</v>
      </c>
    </row>
    <row r="226" customFormat="1" s="151">
      <c r="A226" s="304" t="inlineStr">
        <is>
          <t>STRESS_TEST</t>
        </is>
      </c>
      <c r="B226" s="151" t="inlineStr">
        <is>
          <t>Alpine III Parallel Fund, L.P.</t>
        </is>
      </c>
      <c r="C226" s="184" t="inlineStr">
        <is>
          <t>passed</t>
        </is>
      </c>
      <c r="D226" s="304" t="inlineStr">
        <is>
          <t>Not Applicable, this is a closed-ended unleveraged AIF.</t>
        </is>
      </c>
    </row>
    <row r="227" customFormat="1" s="151">
      <c r="A227" s="304" t="inlineStr">
        <is>
          <t>STRESS_TEST</t>
        </is>
      </c>
      <c r="B227" s="25" t="inlineStr">
        <is>
          <t>Alpine IV Parallel Fund, L.P.</t>
        </is>
      </c>
      <c r="C227" s="184" t="inlineStr">
        <is>
          <t>passed</t>
        </is>
      </c>
      <c r="D227" s="304" t="inlineStr">
        <is>
          <t>Not Applicable, this is a closed-ended unleveraged AIF.</t>
        </is>
      </c>
    </row>
    <row r="228" customFormat="1" s="151">
      <c r="A228" s="304" t="inlineStr">
        <is>
          <t>STRESS_TEST</t>
        </is>
      </c>
      <c r="B228" s="25" t="inlineStr">
        <is>
          <t>Alpine IV Parallel Feeder C.V.</t>
        </is>
      </c>
      <c r="C228" s="184" t="inlineStr">
        <is>
          <t>passed</t>
        </is>
      </c>
      <c r="D228" s="184" t="inlineStr">
        <is>
          <t>passed</t>
        </is>
      </c>
    </row>
    <row r="229" customFormat="1" s="151">
      <c r="A229" s="304" t="inlineStr">
        <is>
          <t>STRESS_TEST</t>
        </is>
      </c>
      <c r="B229" s="25" t="inlineStr">
        <is>
          <t>Alpine V Parallel Fund, L.P.</t>
        </is>
      </c>
      <c r="C229" s="184" t="inlineStr">
        <is>
          <t>passed</t>
        </is>
      </c>
      <c r="D229" s="304" t="inlineStr">
        <is>
          <t>Not Applicable, this is a closed-ended unleveraged AIF.</t>
        </is>
      </c>
    </row>
    <row r="230" customFormat="1" s="151">
      <c r="A230" s="304" t="inlineStr">
        <is>
          <t>STRESS_TEST</t>
        </is>
      </c>
      <c r="B230" s="25" t="inlineStr">
        <is>
          <t>Ridgeline V Parallel Fund, L.P.</t>
        </is>
      </c>
      <c r="C230" s="184" t="inlineStr">
        <is>
          <t>passed</t>
        </is>
      </c>
      <c r="D230" s="304" t="inlineStr">
        <is>
          <t>Not Applicable, this is a closed-ended unleveraged AIF.</t>
        </is>
      </c>
    </row>
    <row r="231" customFormat="1" s="151">
      <c r="A231" s="304" t="inlineStr">
        <is>
          <t>STRESS_TEST</t>
        </is>
      </c>
      <c r="B231" s="25" t="inlineStr">
        <is>
          <t>Ridgeline V Parallel Feeder C.V.</t>
        </is>
      </c>
      <c r="C231" s="184" t="inlineStr">
        <is>
          <t>passed</t>
        </is>
      </c>
      <c r="D231" s="184" t="inlineStr">
        <is>
          <t>passed</t>
        </is>
      </c>
    </row>
    <row r="232" customFormat="1" s="151">
      <c r="A232" s="304" t="inlineStr">
        <is>
          <t>STRESS_TEST</t>
        </is>
      </c>
      <c r="B232" s="25" t="inlineStr">
        <is>
          <t>Ridgeline VI Parallel Fund, L.P</t>
        </is>
      </c>
      <c r="C232" s="184" t="inlineStr">
        <is>
          <t>passed</t>
        </is>
      </c>
      <c r="D232" s="304" t="inlineStr">
        <is>
          <t>Not Applicable, this is a closed-ended unleveraged AIF.</t>
        </is>
      </c>
    </row>
    <row r="233" customFormat="1" s="151">
      <c r="A233" s="304" t="inlineStr">
        <is>
          <t>STRESS_TEST</t>
        </is>
      </c>
      <c r="B233" s="25" t="inlineStr">
        <is>
          <t>Ridgeline VI Parallel Feeder C.V.</t>
        </is>
      </c>
      <c r="C233" s="184" t="inlineStr">
        <is>
          <t>passed</t>
        </is>
      </c>
      <c r="D233" s="184" t="inlineStr">
        <is>
          <t>passed</t>
        </is>
      </c>
    </row>
    <row r="234" customFormat="1" s="151">
      <c r="A234" s="304" t="inlineStr">
        <is>
          <t>STRESS_TEST</t>
        </is>
      </c>
      <c r="B234" s="25" t="inlineStr">
        <is>
          <t>Ridgeline VII Parallel Fund, L.P.</t>
        </is>
      </c>
      <c r="C234" s="184" t="inlineStr">
        <is>
          <t>passed</t>
        </is>
      </c>
      <c r="D234" s="304" t="inlineStr">
        <is>
          <t>Not Applicable, this is a closed-ended unleveraged AIF.</t>
        </is>
      </c>
    </row>
    <row r="235" customFormat="1" s="151">
      <c r="A235" s="304" t="inlineStr">
        <is>
          <t>STRESS_TEST</t>
        </is>
      </c>
      <c r="B235" s="25" t="inlineStr">
        <is>
          <t>Ridgeline VIII Lux Feeder, SCSp</t>
        </is>
      </c>
      <c r="C235" s="184" t="inlineStr">
        <is>
          <t>passed</t>
        </is>
      </c>
      <c r="D235" s="304" t="inlineStr">
        <is>
          <t>Not Applicable, this is a closed-ended unleveraged AIF.</t>
        </is>
      </c>
    </row>
    <row r="236" customFormat="1" s="151">
      <c r="A236" s="304" t="inlineStr">
        <is>
          <t>STRESS_TEST</t>
        </is>
      </c>
      <c r="B236" s="25" t="inlineStr">
        <is>
          <t>Ridgeline VIII Parallel Fund, L.P.</t>
        </is>
      </c>
      <c r="C236" s="184" t="inlineStr">
        <is>
          <t>passed</t>
        </is>
      </c>
      <c r="D236" s="304" t="inlineStr">
        <is>
          <t>Not Applicable, this is a closed-ended unleveraged AIF.</t>
        </is>
      </c>
    </row>
    <row r="237" customFormat="1" s="151">
      <c r="A237" s="304" t="n"/>
      <c r="B237" s="304" t="n"/>
      <c r="C237" s="184" t="n"/>
      <c r="D237" s="184" t="n"/>
    </row>
    <row r="238" customFormat="1" s="151">
      <c r="A238" s="304" t="n"/>
      <c r="B238" s="304" t="n"/>
      <c r="C238" s="184" t="n"/>
      <c r="D238" s="184" t="n"/>
    </row>
    <row r="239" customFormat="1" s="27">
      <c r="A239" s="23" t="inlineStr">
        <is>
          <t>#FINANCE</t>
        </is>
      </c>
      <c r="B239" s="23" t="inlineStr">
        <is>
          <t>Custom AIF Identification</t>
        </is>
      </c>
      <c r="C239" s="23" t="inlineStr">
        <is>
          <t>Rehypothecation flag</t>
        </is>
      </c>
      <c r="D239" s="23" t="inlineStr">
        <is>
          <t>Rehypothecated percentage of collateral amount posted to all counterparties</t>
        </is>
      </c>
      <c r="E239" s="23" t="inlineStr">
        <is>
          <t>Unsecured borrowing amount</t>
        </is>
      </c>
      <c r="F239" s="23" t="inlineStr">
        <is>
          <t>Collaterised/secured cash borrowing prime broker amount</t>
        </is>
      </c>
      <c r="G239" s="23" t="inlineStr">
        <is>
          <t>Collaterised/secured cash borrowing reverse repo amount</t>
        </is>
      </c>
      <c r="H239" s="23" t="inlineStr">
        <is>
          <t>Collaterised/secured cash borrowing other amount</t>
        </is>
      </c>
      <c r="I239" s="23" t="inlineStr">
        <is>
          <t>Exchange traded derivatives exposure amount</t>
        </is>
      </c>
      <c r="J239" s="23" t="inlineStr">
        <is>
          <t>OTC derivatives exposure amount</t>
        </is>
      </c>
      <c r="K239" s="23" t="inlineStr">
        <is>
          <t>Short position borrowed securities value</t>
        </is>
      </c>
      <c r="L239" s="23" t="inlineStr">
        <is>
          <t>Leverage under gross method</t>
        </is>
      </c>
      <c r="M239" s="23" t="inlineStr">
        <is>
          <t>Leverage under commitment method</t>
        </is>
      </c>
    </row>
    <row r="240" customFormat="1" s="26">
      <c r="A240" s="29" t="inlineStr">
        <is>
          <t>#AIF fieldnummers</t>
        </is>
      </c>
      <c r="B240" s="38" t="inlineStr">
        <is>
          <t>AIF_ID</t>
        </is>
      </c>
      <c r="C240" s="29" t="n">
        <v>281</v>
      </c>
      <c r="D240" s="29" t="n">
        <v>282</v>
      </c>
      <c r="E240" s="29" t="n">
        <v>283</v>
      </c>
      <c r="F240" s="29" t="n">
        <v>284</v>
      </c>
      <c r="G240" s="29" t="n">
        <v>285</v>
      </c>
      <c r="H240" s="29" t="n">
        <v>286</v>
      </c>
      <c r="I240" s="29" t="n">
        <v>287</v>
      </c>
      <c r="J240" s="29" t="n">
        <v>288</v>
      </c>
      <c r="K240" s="29" t="n">
        <v>289</v>
      </c>
      <c r="L240" s="29" t="n">
        <v>294</v>
      </c>
      <c r="M240" s="29" t="n">
        <v>295</v>
      </c>
    </row>
    <row r="241" customFormat="1" s="151">
      <c r="D241" s="338" t="n"/>
      <c r="E241" s="338" t="n"/>
      <c r="F241" s="338" t="n"/>
      <c r="G241" s="338" t="n"/>
      <c r="H241" s="338" t="n"/>
      <c r="I241" s="338" t="n"/>
      <c r="J241" s="338" t="n"/>
      <c r="K241" s="338" t="n"/>
      <c r="L241" s="252" t="n"/>
      <c r="M241" s="252" t="n"/>
    </row>
    <row r="242" customFormat="1" s="151">
      <c r="B242" s="25" t="n"/>
      <c r="D242" s="338" t="n"/>
      <c r="E242" s="338" t="n"/>
      <c r="F242" s="338" t="n"/>
      <c r="G242" s="338" t="n"/>
      <c r="H242" s="338" t="n"/>
      <c r="I242" s="338" t="n"/>
      <c r="J242" s="338" t="n"/>
      <c r="K242" s="338" t="n"/>
      <c r="L242" s="252" t="n"/>
      <c r="M242" s="252" t="n"/>
    </row>
    <row r="243">
      <c r="A243" s="23" t="inlineStr">
        <is>
          <t>#CONTROLLED_STRUCTURE</t>
        </is>
      </c>
      <c r="B243" s="23" t="inlineStr">
        <is>
          <t>Custom AIF Identification</t>
        </is>
      </c>
      <c r="C243" s="23" t="inlineStr">
        <is>
          <t>Controlled structure Name</t>
        </is>
      </c>
      <c r="D243" s="23" t="inlineStr">
        <is>
          <t>Controlled structure LEI code</t>
        </is>
      </c>
      <c r="E243" s="23" t="inlineStr">
        <is>
          <t>Controlled structure BIC code</t>
        </is>
      </c>
      <c r="F243" s="23" t="inlineStr">
        <is>
          <t>Controlled structure Exposure value</t>
        </is>
      </c>
    </row>
    <row r="244">
      <c r="A244" s="29" t="inlineStr">
        <is>
          <t>#AIF fieldnummers</t>
        </is>
      </c>
      <c r="B244" s="38" t="inlineStr">
        <is>
          <t>AIF_ID</t>
        </is>
      </c>
      <c r="C244" s="29" t="n">
        <v>290</v>
      </c>
      <c r="D244" s="29" t="n">
        <v>291</v>
      </c>
      <c r="E244" s="29" t="n">
        <v>292</v>
      </c>
      <c r="F244" s="29" t="n">
        <v>293</v>
      </c>
    </row>
    <row r="245" customFormat="1" s="151">
      <c r="F245" s="338" t="n"/>
    </row>
    <row r="246" customFormat="1" s="151">
      <c r="F246" s="338" t="n"/>
    </row>
    <row r="247">
      <c r="A247" s="23" t="inlineStr">
        <is>
          <t>#BORROW_SOURCE</t>
        </is>
      </c>
      <c r="B247" s="23" t="inlineStr">
        <is>
          <t>Custom AIF Identification</t>
        </is>
      </c>
      <c r="C247" s="23" t="inlineStr">
        <is>
          <t>Name of the source</t>
        </is>
      </c>
      <c r="D247" s="23" t="inlineStr">
        <is>
          <t>LEI code of the source</t>
        </is>
      </c>
      <c r="E247" s="23" t="inlineStr">
        <is>
          <t>BIC code of the source</t>
        </is>
      </c>
      <c r="F247" s="23" t="inlineStr">
        <is>
          <t>Received leverage amount</t>
        </is>
      </c>
    </row>
    <row r="248">
      <c r="A248" s="29" t="inlineStr">
        <is>
          <t>#AIF fieldnummers</t>
        </is>
      </c>
      <c r="B248" s="38" t="inlineStr">
        <is>
          <t>AIF_ID</t>
        </is>
      </c>
      <c r="C248" s="29" t="n">
        <v>298</v>
      </c>
      <c r="D248" s="29" t="n">
        <v>299</v>
      </c>
      <c r="E248" s="29" t="n">
        <v>300</v>
      </c>
      <c r="F248" s="29" t="n">
        <v>301</v>
      </c>
    </row>
    <row r="249" customFormat="1" s="151">
      <c r="B249" s="154" t="n"/>
      <c r="F249" s="338" t="n"/>
    </row>
    <row r="250" customFormat="1" s="151">
      <c r="B250" s="154" t="n"/>
      <c r="F250" s="338" t="n"/>
    </row>
    <row r="251" customFormat="1" s="151">
      <c r="B251" s="154" t="n"/>
      <c r="F251" s="338" t="n"/>
    </row>
  </sheetData>
  <dataValidations count="173">
    <dataValidation sqref="C21:C22" showDropDown="0" showInputMessage="1" showErrorMessage="1" allowBlank="1" promptTitle="Mandatory" prompt="AIFM report:_x000a_Free description for assumption."/>
    <dataValidation sqref="B21:B22" showDropDown="0" showInputMessage="1" showErrorMessage="1" allowBlank="1" promptTitle="Mandatory" prompt="AIFM report:_x000a_Question number (also known as the Field number) this assumption refers to."/>
    <dataValidation sqref="A21:A22" showDropDown="0" showInputMessage="1" showErrorMessage="1" allowBlank="1" promptTitle="Optional" prompt="AIFM_ASSUMPTION only required to if you want to list assumption on the AIFM report" type="list">
      <formula1>"AIFM_ASSUMPTION,#ignore this line"</formula1>
    </dataValidation>
    <dataValidation sqref="A2:C2" showDropDown="0" showInputMessage="1" showErrorMessage="1" allowBlank="1" promptTitle="Mandatory" prompt="Please don't change. Required by the system to select the right report type."/>
    <dataValidation sqref="R8" showDropDown="0" showInputMessage="1" showErrorMessage="1" allowBlank="1" promptTitle="Optional" prompt="11 Character BIC code of the AIFM itself, not of the bank of the AIFM."/>
    <dataValidation sqref="Q8 S28:S31 S34:S41" showDropDown="0" showInputMessage="1" showErrorMessage="1" allowBlank="1" promptTitle="Conditional" prompt="Mandatory when present in www.gleif.org"/>
    <dataValidation sqref="P8" showDropDown="0" showInputMessage="1" showErrorMessage="1" allowBlank="1" promptTitle="Optional" prompt="Flag indicating whether the AIFM does not have any information to report on AIFs._x000a_yes for nothing to report,_x000a_no or empty otherwise." type="list">
      <formula1>YesNo</formula1>
    </dataValidation>
    <dataValidation sqref="N8" showDropDown="0" showInputMessage="1" showErrorMessage="1" allowBlank="1" promptTitle="Mandatory" prompt="Alternative Investment Fund manager name. (no standard)_x000a_It is strongly recommended to provide the full name corresponding to the allocated LEI code (or BIC code if any and LEI not available)."/>
    <dataValidation sqref="M8" showDropDown="0" showInputMessage="1" showErrorMessage="1" allowBlank="1" promptTitle="Mandatory" prompt="Jurisdiction in which the AIFM is established (Country code standard ISO-3166-1)" type="list">
      <formula1>AllCountries</formula1>
    </dataValidation>
    <dataValidation sqref="L8" showDropDown="0" showInputMessage="1" showErrorMessage="1" allowBlank="1" promptTitle="Mandatory" prompt="See tab: #DOC Reporting Code" type="list">
      <formula1>Manager16</formula1>
    </dataValidation>
    <dataValidation sqref="K8" showDropDown="0" showInputMessage="1" showErrorMessage="1" allowBlank="1" promptTitle="Optional" prompt="Flag indicating whether the reporting is the last reporting. To be filled in when the AIFM has been liquidated or merged during the reporting period._x000a_yes for last AIFM reporting file,_x000a_no or empty otherwise." type="list">
      <formula1>YesNo</formula1>
    </dataValidation>
    <dataValidation sqref="J8 K28:K31 K34:K41" showDropDown="0" showInputMessage="1" showErrorMessage="1" allowBlank="1" promptTitle="Conditional" prompt="See Annex II - Table 10 on our Reporting Application Help menu._x000a__x000a_Only populate when fields 10 or 11 are filled in." type="list">
      <formula1>Both12</formula1>
    </dataValidation>
    <dataValidation sqref="I8" showDropDown="0" showInputMessage="1" showErrorMessage="1" allowBlank="1" promptTitle="Optional" prompt="See Annex II - Table 8 on our Reporting Application Help menu." type="list">
      <formula1>Manager11</formula1>
    </dataValidation>
    <dataValidation sqref="B8 C28:C31 C34:C41" showDropDown="0" showInputMessage="1" showErrorMessage="1" allowBlank="1" promptTitle="Optional" prompt="- AMND for &quot;amendment to one reporting previously submitted&quot;,_x000a_- CANCEL for Cancellation,_x000a_- INIT or empty for &quot;initial reporting for the reporting period&quot;." type="list">
      <formula1>Both4</formula1>
    </dataValidation>
    <dataValidation sqref="C8" showDropDown="0" showInputMessage="1" showErrorMessage="1" allowBlank="1" promptTitle="Mandatory" prompt="Code indicating the contents of the AIFM reporting._x000a_  - 1 for &quot;24(1) for all AIFs managed&quot;_x000a_  - 2 for &quot;3(3)(d) all AIFs managed&quot; (light)_x000a_  - 3 for &quot;24(1) all AIFs marketed in the Member State&quot;" type="list">
      <formula1>Manager5</formula1>
    </dataValidation>
    <dataValidation sqref="H8" showDropDown="0" showInputMessage="1" showErrorMessage="1" allowBlank="1" promptTitle="Optional" prompt="See Annex II - Table 8 and 10 on our Reporting Application Help menu." type="list">
      <formula1>Both10</formula1>
    </dataValidation>
    <dataValidation sqref="G8" showDropDown="0" showInputMessage="1" showErrorMessage="1" allowBlank="1" promptTitle="Mandatory" prompt="Reporting Year" type="list">
      <formula1>Both9</formula1>
    </dataValidation>
    <dataValidation sqref="F8" showDropDown="0" showInputMessage="1" showErrorMessage="1" allowBlank="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type="list">
      <formula1>Both8</formula1>
    </dataValidation>
    <dataValidation sqref="C156:C157 D8:E8 D120 D144:D145 E28:F31 E34:F41 F144:F145 H28:H31 H34:H41 I160:I161 N28:N31 N34:N41 O8 Z28:Z31 Z34:Z41" showDropDown="0" showInputMessage="1" showErrorMessage="1" allowBlank="1" promptTitle="Legacy, not needed anymore." prompt="Legacy, not needed anymore."/>
    <dataValidation sqref="A8" showDropDown="0" showInputMessage="1" showErrorMessage="1" allowBlank="1" promptTitle="Mandatory" prompt="This describes the manager. Only one AIFM record allowed."/>
    <dataValidation sqref="B28 B95" showDropDown="0" showInputMessage="1" showErrorMessage="1" allowBlank="1" promptTitle="Mandatory" prompt="Create a list of all unique AIF ids. This field is only used to link the different data records to a specific AIF."/>
    <dataValidation sqref="B135:B137 B144:B145 B152:B153 B156:B157 B160:B161" showDropDown="0" showInputMessage="1" showErrorMessage="1" allowBlank="1" promptTitle="Mandatory" prompt="Unique AIF id to which this record applies.  _x000a__x000a_Add new AIFs in the AIF section._x000a_" type="list">
      <formula1>AIF_ID</formula1>
    </dataValidation>
    <dataValidation sqref="B110:B112 B115:B117 B120 B140:B141 B148:B149 B222:B223 B226 B237:B238 B241 B245:B246 B249:B251" showDropDown="0" showInputMessage="1" showErrorMessage="1" allowBlank="1" promptTitle="Mandatory" prompt="Unique AIF id to which this record applies.  _x000a__x000a_Add new AIFs in the AIF section." type="list">
      <formula1>AIF_ID</formula1>
    </dataValidation>
    <dataValidation sqref="A115:A117" showDropDown="0" showInputMessage="1" showErrorMessage="1" allowBlank="1" promptTitle="Optional" prompt="PRIME_BROKER record only required for AIFs if you are using Prime Brokers_x000a__x000a_For all content types" type="list">
      <formula1>"PRIME_BROKER,#ignore this line"</formula1>
    </dataValidation>
    <dataValidation sqref="C115:C117" showDropDown="0" showInputMessage="1" showErrorMessage="1" allowBlank="1" promptTitle="Mandatory" prompt="Prime Broker Entity name. (no standard)_x000a_It is strongly recommended to provide the full name corresponding to the allocated LEI code (or BIC code if any and LEI not available)."/>
    <dataValidation sqref="E115:E117" showDropDown="0" showInputMessage="1" showErrorMessage="1" allowBlank="1" promptTitle="Optional" prompt="Prime Broker 11 Character BIC code (ISO 9362 standard)."/>
    <dataValidation sqref="D115:D117" showDropDown="0" showInputMessage="1" showErrorMessage="1" allowBlank="1" promptTitle="Optional" prompt="Prime Broker LEI code (ISO 17442 standard) or if not available the interim entity identifier."/>
    <dataValidation sqref="G110:G112" showDropDown="0" showInputMessage="1" showErrorMessage="1" allowBlank="1" promptTitle="Optional" prompt="Where available, the Bloomberg ticker symbol identifying each share class."/>
    <dataValidation sqref="E110:E112" showDropDown="0" showInputMessage="1" showErrorMessage="1" allowBlank="1" promptTitle="Optional" prompt="Where available, the SEDOL code identifying each share class."/>
    <dataValidation sqref="F110:F112" showDropDown="0" showInputMessage="1" showErrorMessage="1" allowBlank="1" promptTitle="Optional" prompt="Where available, the CUSIP code identifying each share class."/>
    <dataValidation sqref="D110:D112" showDropDown="0" showInputMessage="1" showErrorMessage="1" allowBlank="1" promptTitle="Optional" prompt="Where available, the ISIN code (ISO 6166 standard) identifying each share class."/>
    <dataValidation sqref="C110:C112" showDropDown="0" showInputMessage="1" showErrorMessage="1" allowBlank="1" promptTitle="Optional" prompt="Where available, unique reference allocated by the national competent authority to which the AIFM reports under AIFMD identifying each share class."/>
    <dataValidation sqref="I110:I112" showDropDown="0" showInputMessage="1" showErrorMessage="1" allowBlank="1" promptTitle="Mandatory" prompt="The name of the share class."/>
    <dataValidation sqref="H110:H112" showDropDown="0" showInputMessage="1" showErrorMessage="1" allowBlank="1" promptTitle="Optional" prompt="Where available, the Reuters Identifier Code (RIC) identifying each share class."/>
    <dataValidation sqref="A110:A112" showDropDown="0" showInputMessage="1" showErrorMessage="1" allowBlank="1" promptTitle="Conditional" prompt="SHARE_CLASS record only required for AIFs in case of multiple share classes per AIF_x000a__x000a_For all content types" type="list">
      <formula1>"SHARE_CLASS,#ignore this line"</formula1>
    </dataValidation>
    <dataValidation sqref="F12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D222:J223" showDropDown="0" showInputMessage="1" showErrorMessage="1" allowBlank="1" promptTitle="Mandatory" prompt="Expressed as a percentage (entered here as a number, e.g. enter 1.23% as 1.23)._x000a__x000a_The total should equal 100%."/>
    <dataValidation sqref="C222:C2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22:A2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156:F157" showDropDown="0" showInputMessage="1" showErrorMessage="1" allowBlank="1" promptTitle="Optional" prompt="Investor lock-up period in days.  Asset weighted when multiple share classes."/>
    <dataValidation sqref="E156:E157" showDropDown="0" showInputMessage="1" showErrorMessage="1" allowBlank="1" promptTitle="Optional" prompt="Notice period in days.  Asset weighted when multiple share classes."/>
    <dataValidation sqref="D156:D157" showDropDown="0" showInputMessage="1" showErrorMessage="1" allowBlank="1" promptTitle="Optional" prompt="See Annex II Table 6." type="list">
      <formula1>Fund194</formula1>
    </dataValidation>
    <dataValidation sqref="A156:A157" showDropDown="0" showInputMessage="1" showErrorMessage="1" allowBlank="1" promptTitle="Conditional" prompt="The INVESTOR_REDEMPTION record is optional for AIFs with content type 2 and 4, and forbidden otherwise." type="list">
      <formula1>"INVESTOR_REDEMPTION,#ignore this line"</formula1>
    </dataValidation>
    <dataValidation sqref="H152:H153" showDropDown="0" showInputMessage="1" showErrorMessage="1" allowBlank="1" promptTitle="Mandatory" prompt="Breakdown of the NAV divided among the “181 to 365 days” period depending on  the shortest period within which the invested funds could be withdrawn or investors could receive redemption payments._x000a__x000a_Percentage as a number (1.23% =&gt; 1.23)."/>
    <dataValidation sqref="G152:G153" showDropDown="0" showInputMessage="1" showErrorMessage="1" allowBlank="1" promptTitle="Mandatory" prompt="Breakdown of the NAV divided among the “91 to 180 days” period depending on  the shortest period within which the invested funds could be withdrawn or investors could receive redemption payments._x000a__x000a_Percentage as a number (1.23% =&gt; 1.23)."/>
    <dataValidation sqref="F152:F153" showDropDown="0" showInputMessage="1" showErrorMessage="1" allowBlank="1" promptTitle="Mandatory" prompt="Breakdown of the NAV divided among the “31 to 90 days” period depending on  the shortest period within which the invested funds could be withdrawn or investors could receive redemption payments._x000a__x000a_Percentage as a number (1.23% =&gt; 1.23)."/>
    <dataValidation sqref="E152:E153" showDropDown="0" showInputMessage="1" showErrorMessage="1" allowBlank="1" promptTitle="Mandatory" prompt="Breakdown of the NAV divided among the “8 to 30 days” period depending on  the shortest period within which the invested funds could be withdrawn or investors could receive redemption payments._x000a__x000a_Percentage as a number (1.23% =&gt; 1.23)."/>
    <dataValidation sqref="D152:D153" showDropDown="0" showInputMessage="1" showErrorMessage="1" allowBlank="1" promptTitle="Mandatory" prompt="Breakdown of the NAV divided among the “2 to 7 days” period depending on  the shortest period within which the invested funds could be withdrawn or investors could receive redemption payments._x000a__x000a_Percentage as a number (1.23% =&gt; 1.23)."/>
    <dataValidation sqref="C152:C153" showDropDown="0" showInputMessage="1" showErrorMessage="1" allowBlank="1" promptTitle="Mandatory" prompt="Breakdown of the NAV divided among the 1 day or less period depending on the shortest period within which the invested funds could be withdrawn or investors could receive redemption payments._x000a_% as a number (1.23% =&gt; 1.23)._x000a_The total should equal 100._x000a_"/>
    <dataValidation sqref="I152:I153" showDropDown="0" showInputMessage="1" showErrorMessage="1" allowBlank="1" promptTitle="Mandatory" prompt="Breakdown of the NAV divided among the “more than 365 days” period depending on  the shortest period within which the invested funds could be withdrawn or investors could receive redemption payments._x000a__x000a_Percentage as a number (1.23% =&gt; 1.23)."/>
    <dataValidation sqref="A152:A153" showDropDown="0" showInputMessage="1" showErrorMessage="1" allowBlank="1" promptTitle="Conditional" prompt="The INVESTOR_LIQUIDITY_PROFILE record is mandatory for AIFs with content type 2 and 4, and forbidden otherwise." type="list">
      <formula1>"INVESTOR_LIQUIDITY_PROFILE,#ignore this line"</formula1>
    </dataValidation>
    <dataValidation sqref="H148:H149" showDropDown="0" showInputMessage="1" showErrorMessage="1" allowBlank="1" promptTitle="Mandatory" prompt="The percentage of portfolio capable of being liquidated in 181 to 365 days._x000a__x000a_Expressed as a percentage (entered here as a number, e.g. enter 1.23% as 1.23)."/>
    <dataValidation sqref="G148:G149" showDropDown="0" showInputMessage="1" showErrorMessage="1" allowBlank="1" promptTitle="Mandatory" prompt="The percentage of portfolio capable of being liquidated in 91 to 180 days._x000a__x000a_Expressed as a percentage (entered here as a number, e.g. enter 1.23% as 1.23)."/>
    <dataValidation sqref="F148:F149" showDropDown="0" showInputMessage="1" showErrorMessage="1" allowBlank="1" promptTitle="Mandatory" prompt="The percentage of portfolio capable of being liquidated in 31 to 90 days._x000a__x000a_Expressed as a percentage (entered here as a number, e.g. enter 1.23% as 1.23)."/>
    <dataValidation sqref="E148:E149" showDropDown="0" showInputMessage="1" showErrorMessage="1" allowBlank="1" promptTitle="Mandatory" prompt="The percentage of portfolio capable of being liquidated in 8 to 30 days._x000a__x000a_Expressed as a percentage (entered here as a number, e.g. enter 1.23% as 1.23)."/>
    <dataValidation sqref="D148:D149" showDropDown="0" showInputMessage="1" showErrorMessage="1" allowBlank="1" promptTitle="Mandatory" prompt="The percentage of portfolio capable of being liquidated in 2 to 7 days._x000a__x000a_Expressed as a percentage (entered here as a number, e.g. enter 1.23% as 1.23)."/>
    <dataValidation sqref="C148:C149" showDropDown="0" showInputMessage="1" showErrorMessage="1" allowBlank="1" promptTitle="Mandatory" prompt="The percentage of portfolio capable of being liquidated within 1 day or less._x000a__x000a_Expressed as a percentage (entered here as a number, e.g. enter 1.23% as 1.23)._x000a__x000a_The total should equal 100."/>
    <dataValidation sqref="I148:I149" showDropDown="0" showInputMessage="1" showErrorMessage="1" allowBlank="1" promptTitle="Mandatory" prompt="The percentage of portfolio capable of being liquidated in more than 365 days._x000a__x000a_Expressed as a percentage (entered here as a number, e.g. enter 1.23% as 1.23)."/>
    <dataValidation sqref="A148:A149" showDropDown="0" showInputMessage="1" showErrorMessage="1" allowBlank="1" promptTitle="Conditional" prompt="The PORTFOLIO_LIQUIDITY_PROFILE record is mandatory for AIFs with content type 2 and 4, and forbidden otherwise." type="list">
      <formula1>"PORTFOLIO_LIQUIDITY_PROFILE,#ignore this line"</formula1>
    </dataValidation>
    <dataValidation sqref="J148:J149" showDropDown="0" showInputMessage="1" showErrorMessage="1" allowBlank="1" promptTitle="Mandatory" prompt="Amount expressed in Base currency."/>
    <dataValidation sqref="J144:J145" showDropDown="0" showInputMessage="1" showErrorMessage="1" allowBlank="1" promptTitle="Optional" prompt="Estimated % in terms of market value of repo trades that are cleared bilateraly._x000a__x000a_Expressed as a percentage (entered here as a number, e.g. enter 1.23% as 1.23)."/>
    <dataValidation sqref="I144:I145" showDropDown="0" showInputMessage="1" showErrorMessage="1" allowBlank="1" promptTitle="Optional" prompt="Estimated % in terms of market value of repo trades that are cleared by a CCP._x000a__x000a_Expressed as a percentage (entered here as a number, e.g. enter 1.23% as 1.23)."/>
    <dataValidation sqref="G144:G145" showDropDown="0" showInputMessage="1" showErrorMessage="1" allowBlank="1" promptTitle="Optional" prompt="Estimated % in terms of trade volumes of derivatives transactions that are cleared by a CCP._x000a__x000a_Expressed as a percentage (entered here as a number, e.g. enter 1.23% as 1.23)."/>
    <dataValidation sqref="E144:E145" showDropDown="0" showInputMessage="1" showErrorMessage="1" allowBlank="1" promptTitle="Optional" prompt="Estimated % in terms of trade volumes of derivatives that are traded on regulated exchange markets._x000a__x000a_Expressed as a percentage (entered here as a number, e.g. enter 1.23% as 1.23)."/>
    <dataValidation sqref="C144:C145" showDropDown="0" showInputMessage="1" showErrorMessage="1" allowBlank="1" promptTitle="Optional" prompt="Estimated % in terms of market value of securities traded on regulated exchange markets._x000a__x000a_Expressed as a percentage (entered here as a number, e.g. enter 1.23% as 1.23)."/>
    <dataValidation sqref="H144:H145" showDropDown="0" showInputMessage="1" showErrorMessage="1" allowBlank="1" promptTitle="Optional" prompt="Legacy, not needed anymore."/>
    <dataValidation sqref="K144:K145" showDropDown="0" showInputMessage="1" showErrorMessage="1" allowBlank="1" promptTitle="Optional" prompt="Estimated % in terms of market value of repo trades that are cleared via tri party repos._x000a__x000a_Expressed as a percentage (entered here as a number, e.g. enter 1.23% as 1.23)."/>
    <dataValidation sqref="A144:A145" showDropDown="0" showInputMessage="1" showErrorMessage="1" allowBlank="1" promptTitle="Conditional" prompt="The COUNTERPARTY_RISK_PROFILE record is optional for AIFs with content type 2 and 4, and forbidden otherwise." type="list">
      <formula1>"COUNTERPARTY_RISK_PROFILE,#ignore this line"</formula1>
    </dataValidation>
    <dataValidation sqref="M144:N145" showDropDown="0" showInputMessage="1" showErrorMessage="1" allowBlank="1" promptTitle="Optional" prompt="Value of other collateral and credit support posted (including face amount of letters of credit and similar third party credit support) expressed in base currency."/>
    <dataValidation sqref="L144:L145" showDropDown="0" showInputMessage="1" showErrorMessage="1" allowBlank="1" promptTitle="Optional" prompt="Value of collateral posted in the form of other securities (excluding cash and cash equivalent) expressed in base currency."/>
    <dataValidation sqref="H140:J141" showDropDown="0" showInputMessage="1" showErrorMessage="1" allowBlank="1" promptTitle="Conditional" prompt="Mandatory for Risk Measure Type [138] equal to &quot;VEGA_EXPO&quot;,_x000a_forbidden otherwise._x000a__x000a_Expressed in base currency."/>
    <dataValidation sqref="E140:G141" showDropDown="0" showInputMessage="1" showErrorMessage="1" allowBlank="1" promptTitle="Conditional" prompt="Mandatory for Risk Measure Type [138] equal to &quot;NET_DV01&quot; and &quot;NET_CS01&quot;,_x000a_forbidden otherwise._x000a__x000a_Expressed in base currency."/>
    <dataValidation sqref="D140:D141" showDropDown="0" showInputMessage="1" showErrorMessage="1" allowBlank="1" promptTitle="Conditional" prompt="Mandatory for Risk Measure Type [138] equal to &quot;NET_EQTY_DELTA&quot;, &quot;NET_FX_DELTA&quot; and &quot;NET_CTY_DELTA&quot;,_x000a_forbidden otherwise._x000a__x000a_Expressed in base currency."/>
    <dataValidation sqref="A140:A141" showDropDown="0" showInputMessage="1" showErrorMessage="1" allowBlank="1" promptTitle="Conditional" prompt="The RISK record is optional for AIFs with content type 2 and 4, and forbidden otherwise." type="list">
      <formula1>"RISK,#ignore this line"</formula1>
    </dataValidation>
    <dataValidation sqref="M140:M141" showDropDown="0" showInputMessage="1" showErrorMessage="1" allowBlank="1" promptTitle="Conditional" prompt="Free description._x000a__x000a_Mandatory when any Risk Measure Value [139-145, 302] is 0,_x000a_optional otherwise."/>
    <dataValidation sqref="L140:L141" showDropDown="0" showInputMessage="1" showErrorMessage="1" allowBlank="1" promptTitle="Conditional" prompt="Allowed values are:_x000a_- HISTO for Historical simulation,_x000a_- CARLO for Monte Carlo simulation,_x000a_- PARAM for Parametric._x000a__x000a_Mandatory for Risk Measure Type [138] equal to &quot;VAR&quot;,_x000a_forbidden otherwise." type="list">
      <formula1>Fund146</formula1>
    </dataValidation>
    <dataValidation sqref="K140:K141" showDropDown="0" showInputMessage="1" showErrorMessage="1" allowBlank="1" promptTitle="Conditional" prompt="Mandatory for Risk Measure Type [138] equal to &quot;VAR&quot;,_x000a_forbidden otherwise._x000a__x000a_Expressed as a percentage (entered here as a number, e.g. enter 1.23% as 1.23)."/>
    <dataValidation sqref="C140:C141" showDropDown="0" showInputMessage="1" showErrorMessage="1" allowBlank="1" promptTitle="Mandatory" prompt="The Risk Measure Type, one of:_x000a_NET_EQTY_DELTA_x000a_NET_DV01_x000a_NET_CS01_x000a_VEGA_EXPO_x000a_VAR _x000a_NET_FX_DELTA _x000a_NET_CTY_DELTA " type="list">
      <formula1>Fund138</formula1>
    </dataValidation>
    <dataValidation sqref="M160:M161" showDropDown="0" showInputMessage="1" showErrorMessage="1" allowBlank="1" promptTitle="Optional" prompt="Flag indicating whether there are any other preferential treatment_x000a__x000a_yes/no flag" type="list">
      <formula1>YesNo</formula1>
    </dataValidation>
    <dataValidation sqref="L160:L161" showDropDown="0" showInputMessage="1" showErrorMessage="1" allowBlank="1" promptTitle="Optional" prompt="Flag indicating whether there are any different fee terms for investors_x000a__x000a_yes/no flag" type="list">
      <formula1>YesNo</formula1>
    </dataValidation>
    <dataValidation sqref="K160:K161" showDropDown="0" showInputMessage="1" showErrorMessage="1" allowBlank="1" promptTitle="Optional" prompt="Flag indicating whether there are any different investor liquidity terms_x000a__x000a_yes/no flag" type="list">
      <formula1>YesNo</formula1>
    </dataValidation>
    <dataValidation sqref="J160:J161" showDropDown="0" showInputMessage="1" showErrorMessage="1" allowBlank="1" promptTitle="Optional" prompt="Flag indicating whether there are any different disclosure/reporting to investors_x000a__x000a_yes/no flag" type="list">
      <formula1>YesNo</formula1>
    </dataValidation>
    <dataValidation sqref="G160:G161" showDropDown="0" showInputMessage="1" showErrorMessage="1" allowBlank="1" promptTitle="Conditional" prompt="The NAV percentage of the AIF's assets that are currently subject to other arrangements for managing illiquid assets._x000a_% as a number (1.23% =&gt; 1.23)_x000a_Mand when &quot;Other Arrangement Type&quot; (200) is filled in,_x000a_opt otherwise."/>
    <dataValidation sqref="E160:E161" showDropDown="0" showInputMessage="1" showErrorMessage="1" allowBlank="1" promptTitle="Optional" prompt="The NAV percentage of the AIF's assets that are currently subject to suspension of dealing arrangements._x000a__x000a_Expressed as a percentage (entered here as a number, e.g. enter 1.23% as 1.23)."/>
    <dataValidation sqref="D160:D161" showDropDown="0" showInputMessage="1" showErrorMessage="1" allowBlank="1" promptTitle="Optional" prompt="The NAV percentage of the AIF's assets that are currently subject to Gates arrangements._x000a__x000a_Expressed as a percentage (entered here as a number, e.g. enter 1.23% as 1.23)."/>
    <dataValidation sqref="C160:C161" showDropDown="0" showInputMessage="1" showErrorMessage="1" allowBlank="1" promptTitle="Optional" prompt="The NAV percentage of the AIF's assets that are currently subject to side pockets arrangements._x000a__x000a_Expressed as a percentage (entered here as a number, e.g. enter 1.23% as 1.23). "/>
    <dataValidation sqref="H160:H161" showDropDown="0" showInputMessage="1" showErrorMessage="1" allowBlank="1" promptTitle="Optional" prompt="The NAV percentage of the AIF's assets that are currently subject to the special arrangements arising fron their illiquid nature under Article 23.4 of the AIFMD._x000a__x000a_Expressed as a percentage (entered here as a number, e.g. enter 1.23% as 1.23).."/>
    <dataValidation sqref="F160:F161" showDropDown="0" showInputMessage="1" showErrorMessage="1" allowBlank="1" promptTitle="Conditional" prompt="Free text for other arrangements for managing illiquid assets._x000a_Mandatory when &quot;Other arrangement percentage&quot; (201) is filled in,_x000a_optional otherwise._x000a_"/>
    <dataValidation sqref="A160:A161" showDropDown="0" showInputMessage="1" showErrorMessage="1" allowBlank="1" promptTitle="Optional" prompt="The SPECIAL_ARRANGEMENT record is optional for AIFs with content type 2 and 4, and forbidden otherwise." type="list">
      <formula1>"SPECIAL_ARRANGEMENT,#ignore this line"</formula1>
    </dataValidation>
    <dataValidation sqref="A245:A246" showDropDown="0" showInputMessage="1" showErrorMessage="1" allowBlank="1" promptTitle="Conditional" prompt="The CONTROLLED_STRUCTURE record is optional for AIFs with content type 2, 4 and 5, and forbidden otherwise." type="list">
      <formula1>"CONTROLLED_STRUCTURE,#ignore this line"</formula1>
    </dataValidation>
    <dataValidation sqref="F245:F246" showDropDown="0" showInputMessage="1" showErrorMessage="1" allowBlank="1" promptTitle="Mandatory" prompt="Gross exposure of financial and/or legal structures controlled by the AIF as defined in Recital 78 of the AIFMD expressed in base currency."/>
    <dataValidation sqref="E245:E246" showDropDown="0" showInputMessage="1" showErrorMessage="1" allowBlank="1" promptTitle="Optional" prompt="11 Character BIC  code of controlled structure"/>
    <dataValidation sqref="D245:D246" showDropDown="0" showInputMessage="1" showErrorMessage="1" allowBlank="1" promptTitle="Optional" prompt="LEI code of controlled structure"/>
    <dataValidation sqref="C245:C246" showDropDown="0" showInputMessage="1" showErrorMessage="1" allowBlank="1" promptTitle="Mandatory" prompt="Entity name (no standard). It is strongly recommended to provide the full name corresponding to the allocated LEI code (or BIC code if any and LEI not available)."/>
    <dataValidation sqref="C226:C238 D228 D231 D233" showDropDown="0" showInputMessage="1" showErrorMessage="1" allowBlank="1" promptTitle="Mandatory" prompt="Free text to indicate the results of the stress tests performed in accordance with point (b) of Article 15(3) of Directive 2011/61/EU [risks associated with each investment position of the AIF and their overall effect on the AIF’s portfolio "/>
    <dataValidation sqref="D226:D227 D229:D230 D232 D234:D238" showDropDown="0" showInputMessage="1" showErrorMessage="1" allowBlank="1" promptTitle="Mandatory" prompt="Free text to indicate the results of the stress tests performed in accordance with the second subparagraph of Article 16(1) of Directive 2011/61/EU._x000a_[AIFMs shall regularly conduct stress tests, under normal and exceptional liquidity conditions,"/>
    <dataValidation sqref="F249:F251" showDropDown="0" showInputMessage="1" showErrorMessage="1" allowBlank="1" promptTitle="Mandatory" prompt="Received leverage amount expressed in base currency."/>
    <dataValidation sqref="E249:E251" showDropDown="0" showInputMessage="1" showErrorMessage="1" allowBlank="1" promptTitle="Optional" prompt="11 Character BIC code (ISO 9362 standard)"/>
    <dataValidation sqref="D249:D251" showDropDown="0" showInputMessage="1" showErrorMessage="1" allowBlank="1" promptTitle="Optional" prompt="LEI Code borrow source"/>
    <dataValidation sqref="C249:C251" showDropDown="0" showInputMessage="1" showErrorMessage="1" allowBlank="1" promptTitle="Mandatory" prompt="Entity name (no standard).  It is strongly recommended to provide the full name corresponding to the allocated LEI code (or BIC code if any and LEI not available)."/>
    <dataValidation sqref="A249:A251" showDropDown="0" showInputMessage="1" showErrorMessage="1" allowBlank="1" promptTitle="Conditional" prompt="The BORROW_SOURCE record is optional for AIFs with content type 4 and 5, and forbidden otherwise." type="list">
      <formula1>"BORROW_SOURCE,#ignore this line"</formula1>
    </dataValidation>
    <dataValidation sqref="B106:B107" showDropDown="0" showInputMessage="1" showErrorMessage="1" allowBlank="1" promptTitle="Mandatory" prompt="Unique AIF id to which this record applies.  _x000a__x000a_Add new AIFs in the AIF section."/>
    <dataValidation sqref="E135:E137" showDropDown="0" showInputMessage="1" showErrorMessage="1" allowBlank="1" promptTitle="Optional" prompt="When available Dominant influence company 11 Character BIC code "/>
    <dataValidation sqref="D135:D137" showDropDown="0" showInputMessage="1" showErrorMessage="1" allowBlank="1" promptTitle="Optional" prompt="When available Dominant influence company LEI code"/>
    <dataValidation sqref="H135:H137" showDropDown="0" showInputMessage="1" showErrorMessage="1" allowBlank="1" promptTitle="Mandatory" prompt="Expressed as a percentage (entered here as a number, e.g. enter 1.23% as 1.23)." type="decimal">
      <formula1>0</formula1>
      <formula2>100</formula2>
    </dataValidation>
    <dataValidation sqref="G135:G137" showDropDown="0" showInputMessage="1" showErrorMessage="1" allowBlank="1" promptTitle="Conditional" prompt="Free text_x000a__x000a_Only mandatory for Transaction type = OTHR"/>
    <dataValidation sqref="F135:F137" showDropDown="0" showInputMessage="1" showErrorMessage="1" allowBlank="1" promptTitle="Mandatory" prompt="See Annex II - Table 5 (“Transaction type)_x000a_" type="list">
      <formula1>Fund134</formula1>
    </dataValidation>
    <dataValidation sqref="A135:A137" showDropDown="0" showInputMessage="1" showErrorMessage="1" allowBlank="1" promptTitle="Conditional" prompt="The DOMINANT_INFLUENCE record is optional for AIFs with private equity and content type 2 and 4, and forbidden otherwise." type="list">
      <formula1>"DOMINANT_INFLUENCE,#ignore this line"</formula1>
    </dataValidation>
    <dataValidation sqref="C135:C137" showDropDown="0" showInputMessage="1" showErrorMessage="1" allowBlank="1" promptTitle="Optional" prompt="Entity name. (no standard)_x000a_It is strongly recommended to provide the full name corresponding to the allocated LEI code (or BIC code if any and LEI not available)."/>
    <dataValidation sqref="B164:B168 B219" showDropDown="0" showInputMessage="1" showErrorMessage="1" allowBlank="1" promptTitle="Mandatory" prompt="Unique AIF id to which this record applies.  _x000a__x000a_Add new AIFs in the AIF section._x000a_"/>
    <dataValidation sqref="J241:J242" showDropDown="0" showInputMessage="1" showErrorMessage="1" allowBlank="1" promptTitle="Optional" prompt="Value of borrowing embedded in financial instruments by OTC derivatives (gross exposure less margin posted)._x000a__x000a_Amount expressed in base currency."/>
    <dataValidation sqref="I241:I242" showDropDown="0" showInputMessage="1" showErrorMessage="1" allowBlank="1" promptTitle="Optional" prompt="Value of borrowing embedded in financial instruments by exchange traded derivatives (gross exposure less margin posted).  _x000a__x000a_Amount expressed in base currency."/>
    <dataValidation sqref="H241:H242" showDropDown="0" showInputMessage="1" showErrorMessage="1" allowBlank="1" promptTitle="Optional" prompt="Value of borrowings of cash or securities by collateralised/secured cash borrowing - via other._x000a__x000a_Amount expressed in base currency."/>
    <dataValidation sqref="G241:G242" showDropDown="0" showInputMessage="1" showErrorMessage="1" allowBlank="1" promptTitle="Optional" prompt="Value of borrowings of cash or securities by collateralised/secured cash borrowing - via reverse repo._x000a__x000a_Amount expressed in base currency."/>
    <dataValidation sqref="F241:F242" showDropDown="0" showInputMessage="1" showErrorMessage="1" allowBlank="1" promptTitle="Optional" prompt="Value of borrowings of cash or securities by collateralised/secured cash borrowing - via prime broker._x000a__x000a_Amount expressed in base currency."/>
    <dataValidation sqref="E241:E242" showDropDown="0" showInputMessage="1" showErrorMessage="1" allowBlank="1" promptTitle="Optional" prompt="Value of borrowings of cash or securities by unsecured cash borrowing. _x000a__x000a_Amount expressed in base currency."/>
    <dataValidation sqref="D241:D242" showDropDown="0" showInputMessage="1" showErrorMessage="1" allowBlank="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dataValidation sqref="M241:M242" showDropDown="0" showInputMessage="1" showErrorMessage="1" allowBlank="1" promptTitle="Mandatory" prompt="Leverage value of the AIF under commitment method espressed as a percentage of the NAV._x000a__x000a_Expressed as a percentage (entered here as a number, e.g. enter 1.23% as 1.23)."/>
    <dataValidation sqref="L241:L242" showDropDown="0" showInputMessage="1" showErrorMessage="1" allowBlank="1" promptTitle="Mandatory" prompt="Leverage value of the AIF under gross method espressed as a percentage of the NAV._x000a__x000a_Expressed as a percentage (entered here as a number, e.g. enter 1.23% as 1.23)."/>
    <dataValidation sqref="K241:K242" showDropDown="0" showInputMessage="1" showErrorMessage="1" allowBlank="1" promptTitle="Optional" prompt="Value of securities borrowed for short positions._x000a__x000a_Amount expressed in base currency."/>
    <dataValidation sqref="A241:A242" showDropDown="0" showInputMessage="1" showErrorMessage="1" allowBlank="1" promptTitle="Conditional" prompt="The FINANCE record is mandatory for AIFs with content type 2, 4 and 5, and forbidden otherwise." type="list">
      <formula1>"FINANCE,#ignore this line"</formula1>
    </dataValidation>
    <dataValidation sqref="C241:C242" showDropDown="0" showInputMessage="1" showErrorMessage="1" allowBlank="1" promptTitle="Mandatory" prompt="Flag indicating whether the contract between the AIFM and the counterparty allow the counterparty to re-hypothecate collateral for a given AIF._x000a_true when the contract allows, false otherwise." type="list">
      <formula1>YesNo</formula1>
    </dataValidation>
    <dataValidation sqref="AJ28:AJ31 AJ34:AJ36 AJ38:AJ41" showDropDown="0" showInputMessage="1" showErrorMessage="1" allowBlank="1" promptTitle="Mandatory" prompt="Specify the approximate percentage of the AIF’s equity that is beneficially owned by the five beneficial owners that have the largest equity interest in the AIF._x000a__x000a_Expressed as a percentage (entered here as a number, e.g. enter 1.23% as 1.23)."/>
    <dataValidation sqref="E13:E17" showDropDown="0" showInputMessage="1" showErrorMessage="1" allowBlank="1" promptTitle="Optional" prompt="Former national identification code to provide when the national identification code of the AIFM changes (for the first reporting following the change of the national code and any subsequent reporting)."/>
    <dataValidation sqref="D13:D17" showDropDown="0" showInputMessage="1" showErrorMessage="1" allowBlank="1" promptTitle="Conditional" prompt="EEA/EU Country code of the reporting Member State which has allocated the former national identification code._x000a__x000a_Mandatory for Old AIFM National Code filled in, ignored otherwise._x000a_" type="list">
      <formula1>EEC</formula1>
    </dataValidation>
    <dataValidation sqref="F13:F17" showDropDown="0" showInputMessage="1" showErrorMessage="1" allowBlank="1" promptTitle="Conditional" prompt="Mandatory when 'AIFM Reporting Member State' [AIFM 1] is 'LU', forbidden otherwise._x000a__x000a_Currently only used for the Luxembourg file name convention, as &quot;Identification number of the sender&quot;."/>
    <dataValidation sqref="C13:C17" showDropDown="0" showInputMessage="1" showErrorMessage="1" allowBlank="1" promptTitle="Mandatory" prompt="Unique reference identifying each AIFM allocated by the national competent authority of the reporting Member State._x000a__x000a_Note: this is not the Chamber of Commerce number."/>
    <dataValidation sqref="A13:A17" showDropDown="0" showInputMessage="1" showErrorMessage="1" allowBlank="1" promptTitle="Mandatory" prompt="create one AIFM_NATIONAL_CODE record per NCA (regulator)" type="list">
      <formula1>"AIFM_NATIONAL_CODE,#ignore this line"</formula1>
    </dataValidation>
    <dataValidation sqref="B13:B17" showDropDown="0" showInputMessage="1" showErrorMessage="1" allowBlank="1" promptTitle="Mandatory" prompt="EEA/EU Country code of the Member State to which the AIFM reports the AIFMD reporting." type="list">
      <formula1>EEC</formula1>
    </dataValidation>
    <dataValidation sqref="R28:R31 R34:R41" showDropDown="0" showInputMessage="1" showErrorMessage="1" allowBlank="1" promptTitle="Optional" prompt="yes for nothing to report,_x000a_no or empty otherwise." type="list">
      <formula1>YesNo</formula1>
    </dataValidation>
    <dataValidation sqref="G28:G31 G34:G41" showDropDown="0" showInputMessage="1" showErrorMessage="1" allowBlank="1" promptTitle="Conditional" prompt="Not required for Registered/Light funds._x000a__x000a_Only required for Authorised funds when different from the AIFM (Manager) Reporting Period Type [AIFM 8]._x000a__x000a_See #DOC Annex II Tables - Period Types." type="list">
      <formula1>Both8</formula1>
    </dataValidation>
    <dataValidation sqref="AM28:AM41" showDropDown="0" showInputMessage="1" showErrorMessage="1" allowBlank="1" promptTitle="Optional" prompt="Total number of open positions._x000a_Only needed if different from the number of POSITION records._x000a_If empty, the total number of POSITION records per AIF is used._x000a_Optional for AIF Content types 2 and 4 (AIF field 5), ignored otherwise."/>
    <dataValidation sqref="AL28:AL41" showDropDown="0" showInputMessage="1" showErrorMessage="1" allowBlank="1" promptTitle="Conditional" prompt="Mandatory for Registered/Light funds._x000a__x000a_Mandatory for AIF Content types (AIF field 5) 1,3 and 5, optional otherwise._x000a__x000a_Expressed as a percentage (entered here as a number, e.g. enter 1.23% as 1.23)_x000a__x000a_See Directive 2004/39/EC."/>
    <dataValidation sqref="AG28:AG31 AG34:AG41" showDropDown="0" showInputMessage="1" showErrorMessage="1" allowBlank="1" promptTitle="Optional" prompt="The total number of transactions carried out using a high frequency algorithmic trading technique, as defined in the forthcoming revised Markets in Financial Instruments Directive (MiFID II)."/>
    <dataValidation sqref="AH28:AH31 AH34:AH41" showDropDown="0" showInputMessage="1" showErrorMessage="1" allowBlank="1" promptTitle="Optional" prompt="The market value of buys and sells in the base currency of the AIF over the reporting period corresponding to the total number of transactions carried out using a high frequency algorithmic trading technique"/>
    <dataValidation sqref="AF28:AF31 AF34:AF41" showDropDown="0" showInputMessage="1" showErrorMessage="1" allowBlank="1" promptTitle="Optional" prompt="The country of the third main funding source (counterparty of the liability) (excluding units or shares of the AIF bought by investors)." type="list">
      <formula1>AllCountries</formula1>
    </dataValidation>
    <dataValidation sqref="AE28:AE31 AE34:AE41" showDropDown="0" showInputMessage="1" showErrorMessage="1" allowBlank="1" promptTitle="Optional" prompt="The country of the second main funding source (counterparty of the liability) (excluding units or shares of the AIF bought by investors)." type="list">
      <formula1>AllCountries</formula1>
    </dataValidation>
    <dataValidation sqref="AD28:AD31 AD34:AD41" showDropDown="0" showInputMessage="1" showErrorMessage="1" allowBlank="1" promptTitle="Optional" prompt="The country of the first main funding source (counterparty of the liability) (excluding units or shares of the AIF bought by investors)." type="list">
      <formula1>AllCountries</formula1>
    </dataValidation>
    <dataValidation sqref="Y28:Y31 Y34:Y41" showDropDown="0" showInputMessage="1" showErrorMessage="1" allowBlank="1" promptTitle="Optional " prompt="AIF ECB code when available"/>
    <dataValidation sqref="X28:X31 X34:X41" showDropDown="0" showInputMessage="1" showErrorMessage="1" allowBlank="1" promptTitle="Optional " prompt="AIF Reuters code when available"/>
    <dataValidation sqref="W28:W31 W34:W41" showDropDown="0" showInputMessage="1" showErrorMessage="1" allowBlank="1" promptTitle="Optional " prompt="AIF Bloomberg code when available"/>
    <dataValidation sqref="V28:V31 V34:V41" showDropDown="0" showInputMessage="1" showErrorMessage="1" allowBlank="1" promptTitle="Optional " prompt="AIF SEDOL code when available"/>
    <dataValidation sqref="T28:T31 T34:T41" showDropDown="0" showInputMessage="1" showErrorMessage="1" allowBlank="1" promptTitle="Optional " prompt="AIF ISIN code when available"/>
    <dataValidation sqref="U28:U31 U34:U41" showDropDown="0" showInputMessage="1" showErrorMessage="1" allowBlank="1" promptTitle="Optional " prompt="AIF CUSIP code when available"/>
    <dataValidation sqref="Q28:Q42" showDropDown="0" showInputMessage="1" showErrorMessage="1" allowBlank="1" promptTitle="Mandatory" prompt="The date the AIF started business._x000a__x000a_The AFM (NL) expects the registration date._x000a__x000a_Format: yyyy-mm-dd (ISO 8601 Date format)."/>
    <dataValidation sqref="P28:P42" showDropDown="0" showInputMessage="1" showErrorMessage="1" allowBlank="1" promptTitle="Conditional" prompt="Country where AIF is registered._x000a__x000a_Only required when different from the AIFM (Manager) Jurisdiction [AIFM 17]._x000a_" type="list">
      <formula1>AllCountries</formula1>
    </dataValidation>
    <dataValidation sqref="O28:O42" showDropDown="0" showInputMessage="1" showErrorMessage="1" allowBlank="1" promptTitle="Mandatory" prompt="See tab: #DOC Reporting Code" type="list">
      <formula1>Fund20</formula1>
    </dataValidation>
    <dataValidation sqref="M28:M31 M34:M40" showDropDown="0" showInputMessage="1" showErrorMessage="1" allowBlank="1" promptTitle="Mandatory" prompt="The legal name of the AIF (no standard)._x000a_In the case of umbrella funds, the names of the umbrella fund and the sub-funds should be reported."/>
    <dataValidation sqref="L28:L31 L34:L41" showDropDown="0" showInputMessage="1" showErrorMessage="1" allowBlank="1" promptTitle="Optional" prompt="Flag indicating whether the reporting is the last reporting. To be filled in when the AIF has been liquidated or merged during the reporting period._x000a_yes for last AIF reporting file,_x000a_no or empty otherwise." type="list">
      <formula1>YesNo</formula1>
    </dataValidation>
    <dataValidation sqref="J28:J31 J34:J41" showDropDown="0" showInputMessage="1" showErrorMessage="1" allowBlank="1" promptTitle="Optional" prompt="See Annex II - Table 9 on our Reporting Application Help menu." type="list">
      <formula1>Fund11</formula1>
    </dataValidation>
    <dataValidation sqref="A28:A42" showDropDown="0" showInputMessage="1" showErrorMessage="1" allowBlank="1" promptTitle="Mandatory" prompt="This describes a fund. Create one AIF record for each fund (also for feeders)._x000a_" type="list">
      <formula1>",AIF,#ignore this line"</formula1>
    </dataValidation>
    <dataValidation sqref="D28:D42" showDropDown="0" showInputMessage="1" showErrorMessage="1" allowBlank="1" promptTitle="Mandatory" prompt="The AIF content types admitted are:_x000a_  - 1 for &quot;24(1) reporting &quot;_x000a_  - 2 for &quot;24(1) + 24(2) reporting &quot;_x000a_  - 3 for &quot;3(3) (d) reporting &quot; (light)_x000a_  - 4 for &quot;24(1) + 24(2) + 24(4) reporting &quot;_x000a_  - 5 for &quot;24(1) + 24(4) reporting &quot;" type="list">
      <formula1>Fund5</formula1>
    </dataValidation>
    <dataValidation sqref="AB28:AB31 AB34:AB41"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s, field 76."/>
    <dataValidation sqref="AK28:AK31 AK34:AK41" showDropDown="0" showInputMessage="1" showErrorMessage="1" allowBlank="1" promptTitle="Conditional" prompt="Expected annual investment return/IRR in normal market conditions. Expressed as a percentage (entered here as a number, e.g. enter 1.23% as 1.23)._x000a_If empty, 'NA' is reported._x000a_Optional for AIF Content types 2 and 4 (AIF field 5), ignored otherwise."/>
    <dataValidation sqref="AI28:AI31 AI34:AI41" showDropDown="0" showInputMessage="1" showErrorMessage="1" allowBlank="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type="list">
      <formula1>Fund113</formula1>
    </dataValidation>
    <dataValidation sqref="AC28:AC31 AC34:AC41" showDropDown="0" showInputMessage="1" showErrorMessage="1" allowBlank="1" promptTitle="Optional" prompt="The total Total Net Asset Value (NAV) of the AIF expressed in base currency._x000a__x000a_If left empy, the system calculates this based on the POSITIONs, field NAV."/>
    <dataValidation sqref="I28:I31 I34:I41" showDropDown="0" showInputMessage="1" showErrorMessage="1" allowBlank="1" promptTitle="Optional" prompt="See Annex II - Table 9 and 10 on our Reporting Application Help menu." type="list">
      <formula1>Both10</formula1>
    </dataValidation>
    <dataValidation sqref="AA28:AA31 AA34:AA41" showDropDown="0" showInputMessage="1" showErrorMessage="1" allowBlank="1" promptTitle="Mandatory" prompt="Base currency of the AIF" type="list">
      <formula1>AllCur</formula1>
    </dataValidation>
    <dataValidation sqref="A95:A105" showDropDown="0" showInputMessage="1" showErrorMessage="1" allowBlank="1" promptTitle="Optional" prompt="AIF_ASSUMPTION record only required for AIFs if you want to list assumption on the AIF report" type="list">
      <formula1>"AIF_ASSUMPTION,#ignore this line"</formula1>
    </dataValidation>
    <dataValidation sqref="D95:D105" showDropDown="0" showInputMessage="1" showErrorMessage="1" allowBlank="1" promptTitle="Mandatory" prompt="AIF report:_x000a_Free description for assumption."/>
    <dataValidation sqref="C95:C105" showDropDown="0" showInputMessage="1" showErrorMessage="1" allowBlank="1" promptTitle="Mandatory" prompt="AIF report:_x000a_Question number (also known as the Field number) this assumption refers to."/>
    <dataValidation sqref="A120:A130"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E120:E130"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20:C130"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A164:A219" showDropDown="0" showInputMessage="1" showErrorMessage="1" allowBlank="1" promptTitle="Conditional" prompt="The INVESTOR record is mandatory for AIFs with content type 2 and 4, and forbidden otherwise." type="list">
      <formula1>"INVESTOR,#ignore this line"</formula1>
    </dataValidation>
    <dataValidation sqref="C164:C219" showDropDown="0" showInputMessage="1" showErrorMessage="1" allowBlank="1" promptTitle="Mandatory" prompt="The breakdown of the ownership of units in the AIF beneficially owned by each investor group (as % of NAV of the AIF assets)._x000a_See Annex II - Table 7." type="list">
      <formula1>Fund208</formula1>
    </dataValidation>
    <dataValidation sqref="D164:D219" showDropDown="0" showInputMessage="1" showErrorMessage="1" allowBlank="1" promptTitle="Mandatory" prompt="The percentage of NAV for each typology of investors._x000a__x000a_Expressed as a percentage (entered here as a number, e.g. enter 1.23% as 1.23)."/>
    <dataValidation sqref="A226:A238" showDropDown="0" showInputMessage="1" showErrorMessage="1" allowBlank="1" promptTitle="Conditional" prompt="The STRESS_TEST record is mandatory for AIFs with content type 2 and 4, and forbidden otherwise." type="list">
      <formula1>"STRESS_TEST,#ignore this line"</formula1>
    </dataValidation>
    <dataValidation sqref="C50:C92" showDropDown="0" showInputMessage="1" showErrorMessage="1" allowBlank="1" promptTitle="Mandatory" prompt="EEA/EU Country code of the Member State to which the AIF reports the AIFMD reporting." type="list">
      <formula1>EEC</formula1>
    </dataValidation>
    <dataValidation sqref="A47:A48 A50:A92" showDropDown="0" showInputMessage="1" showErrorMessage="1" allowBlank="1" promptTitle="Mandatory" prompt="Create one AIF_NATIONAL_CODE record per AIF per NCA (regulator)" type="list">
      <formula1>"AIF_NATIONAL_CODE,#ignore this line"</formula1>
    </dataValidation>
    <dataValidation sqref="D47 D50:D92" showDropDown="0" showInputMessage="1" showErrorMessage="1" allowBlank="1" promptTitle="Mandatory" prompt="Unique reference identifying each AIF allocated by the national competent authority of the reporting Member State._x000a__x000a_Note: this is not the Chamber of Commerce number."/>
    <dataValidation sqref="E50:E92" showDropDown="0" showInputMessage="1" showErrorMessage="1" allowBlank="1" promptTitle="Conditional" prompt="EEA/EU Country code of the reporting Member State to which the AIFM reports under AIFMD when the national code identifying the AIF has been modified._x000a__x000a_Mandatory for Old AIF National Code filled in, ignored otherwise._x000a_" type="list">
      <formula1>EEC</formula1>
    </dataValidation>
    <dataValidation sqref="F50:F92" showDropDown="0" showInputMessage="1" showErrorMessage="1" allowBlank="1" promptTitle="Optional" prompt="Former national identification code to provide when the national identification code of the AIF changes (for the first reporting following the change of the national code and any subsequent reporting)."/>
  </dataValidations>
  <pageMargins left="0.7086614173228347" right="0.7086614173228347" top="0.7480314960629921" bottom="0.7480314960629921" header="0.3149606299212598" footer="0.3149606299212598"/>
  <pageSetup orientation="landscape" paperSize="8" scale="70"/>
</worksheet>
</file>

<file path=xl/worksheets/sheet3.xml><?xml version="1.0" encoding="utf-8"?>
<worksheet xmlns="http://schemas.openxmlformats.org/spreadsheetml/2006/main">
  <sheetPr>
    <tabColor theme="4" tint="-0.499984740745262"/>
    <outlinePr summaryBelow="1" summaryRight="1"/>
    <pageSetUpPr/>
  </sheetPr>
  <dimension ref="A1:U53"/>
  <sheetViews>
    <sheetView zoomScale="80" zoomScaleNormal="80" workbookViewId="0">
      <selection activeCell="A19" sqref="A19"/>
    </sheetView>
  </sheetViews>
  <sheetFormatPr baseColWidth="10" defaultColWidth="0" defaultRowHeight="10.5" zeroHeight="1"/>
  <cols>
    <col width="50.72656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customFormat="1" s="151">
      <c r="E2" s="256" t="n"/>
      <c r="F2" s="185" t="n"/>
    </row>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#ignore this line</t>
        </is>
      </c>
      <c r="B6" s="151" t="inlineStr">
        <is>
          <t>Alpine III Parallel Fund, L.P.</t>
        </is>
      </c>
      <c r="C6" s="151" t="inlineStr">
        <is>
          <t>SEC_UEQ_UEQY</t>
        </is>
      </c>
      <c r="D6" s="151" t="inlineStr">
        <is>
          <t>GPC Touchmath Inc.</t>
        </is>
      </c>
      <c r="E6" s="151" t="inlineStr">
        <is>
          <t>L</t>
        </is>
      </c>
      <c r="F6" s="151" t="n">
        <v>0</v>
      </c>
      <c r="G6" s="151" t="n">
        <v>0</v>
      </c>
      <c r="H6" s="151" t="inlineStr">
        <is>
          <t>USD</t>
        </is>
      </c>
      <c r="I6" s="151" t="inlineStr">
        <is>
          <t>NORTHAMERICA</t>
        </is>
      </c>
      <c r="K6" s="243" t="n"/>
      <c r="L6" s="243" t="n"/>
    </row>
    <row r="7" customFormat="1" s="151">
      <c r="A7" s="151" t="inlineStr">
        <is>
          <t>POSITION_COMPACT</t>
        </is>
      </c>
      <c r="B7" s="151" t="inlineStr">
        <is>
          <t>Alpine III Parallel Fund, L.P.</t>
        </is>
      </c>
      <c r="C7" s="151" t="inlineStr">
        <is>
          <t>SEC_UEQ_UEQY</t>
        </is>
      </c>
      <c r="D7" s="151" t="inlineStr">
        <is>
          <t>Westfield Acquisition Corp.</t>
        </is>
      </c>
      <c r="E7" s="151" t="inlineStr">
        <is>
          <t>L</t>
        </is>
      </c>
      <c r="F7" s="301" t="n">
        <v>252905</v>
      </c>
      <c r="G7" s="301" t="n">
        <v>238295</v>
      </c>
      <c r="H7" s="151" t="inlineStr">
        <is>
          <t>USD</t>
        </is>
      </c>
      <c r="I7" s="151" t="inlineStr">
        <is>
          <t>NORTHAMERICA</t>
        </is>
      </c>
    </row>
    <row r="8" customFormat="1" s="151">
      <c r="A8" s="151" t="inlineStr">
        <is>
          <t>POSITION_COMPACT</t>
        </is>
      </c>
      <c r="B8" s="151" t="inlineStr">
        <is>
          <t>Alpine III Parallel Fund, L.P.</t>
        </is>
      </c>
      <c r="C8" s="151" t="inlineStr">
        <is>
          <t>SEC_UEQ_UEQY</t>
        </is>
      </c>
      <c r="D8" s="151" t="inlineStr">
        <is>
          <t>Beacon Investors, LLC</t>
        </is>
      </c>
      <c r="E8" s="151" t="inlineStr">
        <is>
          <t>L</t>
        </is>
      </c>
      <c r="F8" s="301" t="n">
        <v>2035382</v>
      </c>
      <c r="G8" s="301" t="n">
        <v>2576580</v>
      </c>
      <c r="H8" s="151" t="inlineStr">
        <is>
          <t>USD</t>
        </is>
      </c>
      <c r="I8" s="151" t="inlineStr">
        <is>
          <t>NORTHAMERICA</t>
        </is>
      </c>
    </row>
    <row r="9" customFormat="1" s="151">
      <c r="A9" s="151" t="inlineStr">
        <is>
          <t>POSITION_COMPACT</t>
        </is>
      </c>
      <c r="B9" s="151" t="inlineStr">
        <is>
          <t>Alpine III Parallel Fund, L.P.</t>
        </is>
      </c>
      <c r="C9" s="151" t="inlineStr">
        <is>
          <t>SEC_UEQ_UEQY</t>
        </is>
      </c>
      <c r="D9" s="151" t="inlineStr">
        <is>
          <t>Green Team Co-Investors, L.P.</t>
        </is>
      </c>
      <c r="E9" s="151" t="inlineStr">
        <is>
          <t>L</t>
        </is>
      </c>
      <c r="F9" s="301" t="n">
        <v>972131</v>
      </c>
      <c r="G9" s="301" t="n">
        <v>577133</v>
      </c>
      <c r="H9" s="151" t="inlineStr">
        <is>
          <t>USD</t>
        </is>
      </c>
      <c r="I9" s="151" t="inlineStr">
        <is>
          <t>NORTHAMERICA</t>
        </is>
      </c>
    </row>
    <row r="10" customFormat="1" s="151">
      <c r="A10" s="151" t="inlineStr">
        <is>
          <t>POSITION_COMPACT</t>
        </is>
      </c>
      <c r="B10" s="151" t="inlineStr">
        <is>
          <t>Alpine III Parallel Fund, L.P.</t>
        </is>
      </c>
      <c r="C10" s="151" t="inlineStr">
        <is>
          <t>SEC_UEQ_UEQY</t>
        </is>
      </c>
      <c r="D10" s="151" t="inlineStr">
        <is>
          <t>DRCP ABCOM, LLC</t>
        </is>
      </c>
      <c r="E10" s="151" t="inlineStr">
        <is>
          <t>L</t>
        </is>
      </c>
      <c r="F10" s="301" t="n">
        <v>674478</v>
      </c>
      <c r="G10" s="301" t="n">
        <v>637657</v>
      </c>
      <c r="H10" s="151" t="inlineStr">
        <is>
          <t>USD</t>
        </is>
      </c>
      <c r="I10" s="151" t="inlineStr">
        <is>
          <t>NORTHAMERICA</t>
        </is>
      </c>
    </row>
    <row r="11" customFormat="1" s="151">
      <c r="A11" s="151" t="inlineStr">
        <is>
          <t>#ignore this line</t>
        </is>
      </c>
      <c r="B11" s="151" t="inlineStr">
        <is>
          <t>Alpine III Parallel Fund, L.P.</t>
        </is>
      </c>
      <c r="C11" s="151" t="inlineStr">
        <is>
          <t>SEC_UEQ_UEQY</t>
        </is>
      </c>
      <c r="D11" s="151" t="inlineStr">
        <is>
          <t>Eminess Technologies</t>
        </is>
      </c>
      <c r="E11" s="151" t="inlineStr">
        <is>
          <t>L</t>
        </is>
      </c>
      <c r="F11" s="301" t="n">
        <v>0</v>
      </c>
      <c r="G11" s="301" t="n">
        <v>0</v>
      </c>
      <c r="H11" s="151" t="inlineStr">
        <is>
          <t>USD</t>
        </is>
      </c>
      <c r="I11" s="151" t="inlineStr">
        <is>
          <t>NORTHAMERICA</t>
        </is>
      </c>
    </row>
    <row r="12" customFormat="1" s="151">
      <c r="A12" s="151" t="inlineStr">
        <is>
          <t>POSITION_COMPACT</t>
        </is>
      </c>
      <c r="B12" s="151" t="inlineStr">
        <is>
          <t>Alpine III Parallel Fund, L.P.</t>
        </is>
      </c>
      <c r="C12" s="151" t="inlineStr">
        <is>
          <t>SEC_UEQ_UEQY</t>
        </is>
      </c>
      <c r="D12" s="151" t="inlineStr">
        <is>
          <t>DRCP EMPI, LLC</t>
        </is>
      </c>
      <c r="E12" s="151" t="inlineStr">
        <is>
          <t>L</t>
        </is>
      </c>
      <c r="F12" s="301" t="n">
        <v>1369536</v>
      </c>
      <c r="G12" s="301" t="n">
        <v>1201610</v>
      </c>
      <c r="H12" s="151" t="inlineStr">
        <is>
          <t>USD</t>
        </is>
      </c>
      <c r="I12" s="151" t="inlineStr">
        <is>
          <t>NORTHAMERICA</t>
        </is>
      </c>
    </row>
    <row r="13" customFormat="1" s="151">
      <c r="A13" s="151" t="inlineStr">
        <is>
          <t>#ignore this line</t>
        </is>
      </c>
      <c r="B13" s="151" t="inlineStr">
        <is>
          <t>Alpine III Parallel Fund, L.P.</t>
        </is>
      </c>
      <c r="C13" s="151" t="inlineStr">
        <is>
          <t>SEC_UEQ_UEQY</t>
        </is>
      </c>
      <c r="D13" s="151" t="inlineStr">
        <is>
          <t>Falcon Transport</t>
        </is>
      </c>
      <c r="E13" s="151" t="inlineStr">
        <is>
          <t>L</t>
        </is>
      </c>
      <c r="F13" s="301" t="n">
        <v>0</v>
      </c>
      <c r="G13" s="301" t="n">
        <v>0</v>
      </c>
      <c r="H13" s="151" t="inlineStr">
        <is>
          <t>USD</t>
        </is>
      </c>
      <c r="I13" s="151" t="inlineStr">
        <is>
          <t>NORTHAMERICA</t>
        </is>
      </c>
    </row>
    <row r="14" customFormat="1" s="151">
      <c r="A14" s="151" t="inlineStr">
        <is>
          <t>POSITION_COMPACT</t>
        </is>
      </c>
      <c r="B14" s="151" t="inlineStr">
        <is>
          <t>Alpine III Parallel Fund, L.P.</t>
        </is>
      </c>
      <c r="C14" s="151" t="inlineStr">
        <is>
          <t>SEC_UEQ_UEQY</t>
        </is>
      </c>
      <c r="D14" s="151" t="inlineStr">
        <is>
          <t>GNS Investors, LP</t>
        </is>
      </c>
      <c r="E14" s="151" t="inlineStr">
        <is>
          <t>L</t>
        </is>
      </c>
      <c r="F14" s="301" t="n">
        <v>5772464</v>
      </c>
      <c r="G14" s="301" t="n">
        <v>4085694</v>
      </c>
      <c r="H14" s="151" t="inlineStr">
        <is>
          <t>USD</t>
        </is>
      </c>
      <c r="I14" s="151" t="inlineStr">
        <is>
          <t>NORTHAMERICA</t>
        </is>
      </c>
    </row>
    <row r="15" customFormat="1" s="151">
      <c r="A15" s="151" t="inlineStr">
        <is>
          <t>#ignore this line</t>
        </is>
      </c>
      <c r="B15" s="151" t="inlineStr">
        <is>
          <t>Alpine III Parallel Fund, L.P.</t>
        </is>
      </c>
      <c r="C15" s="151" t="inlineStr">
        <is>
          <t>SEC_UEQ_UEQY</t>
        </is>
      </c>
      <c r="D15" s="151" t="inlineStr">
        <is>
          <t>HealthEdge-Columbus Investment Holdings, LLC</t>
        </is>
      </c>
      <c r="E15" s="151" t="inlineStr">
        <is>
          <t>L</t>
        </is>
      </c>
      <c r="F15" s="301" t="n">
        <v>0</v>
      </c>
      <c r="G15" s="301" t="n">
        <v>0</v>
      </c>
      <c r="H15" s="151" t="inlineStr">
        <is>
          <t>USD</t>
        </is>
      </c>
      <c r="I15" s="151" t="inlineStr">
        <is>
          <t>NORTHAMERICA</t>
        </is>
      </c>
    </row>
    <row r="16" customFormat="1" s="151">
      <c r="A16" s="151" t="inlineStr">
        <is>
          <t>POSITION_COMPACT</t>
        </is>
      </c>
      <c r="B16" s="151" t="inlineStr">
        <is>
          <t>Alpine III Parallel Fund, L.P.</t>
        </is>
      </c>
      <c r="C16" s="151" t="inlineStr">
        <is>
          <t>SEC_UEQ_UEQY</t>
        </is>
      </c>
      <c r="D16" s="151" t="inlineStr">
        <is>
          <t>MedBridge Hearing Holdings, LLC</t>
        </is>
      </c>
      <c r="E16" s="151" t="inlineStr">
        <is>
          <t>L</t>
        </is>
      </c>
      <c r="F16" s="301" t="n">
        <v>1366799</v>
      </c>
      <c r="G16" s="301" t="n">
        <v>1371108</v>
      </c>
      <c r="H16" s="151" t="inlineStr">
        <is>
          <t>USD</t>
        </is>
      </c>
      <c r="I16" s="151" t="inlineStr">
        <is>
          <t>NORTHAMERICA</t>
        </is>
      </c>
    </row>
    <row r="17" customFormat="1" s="151">
      <c r="A17" s="151" t="inlineStr">
        <is>
          <t>POSITION_COMPACT</t>
        </is>
      </c>
      <c r="B17" s="151" t="inlineStr">
        <is>
          <t>Alpine III Parallel Fund, L.P.</t>
        </is>
      </c>
      <c r="C17" s="151" t="inlineStr">
        <is>
          <t>SEC_UEQ_UEQY</t>
        </is>
      </c>
      <c r="D17" s="151" t="inlineStr">
        <is>
          <t>MedBridge Hospitalist Holdings, LLC</t>
        </is>
      </c>
      <c r="E17" s="151" t="inlineStr">
        <is>
          <t>L</t>
        </is>
      </c>
      <c r="F17" s="301" t="n">
        <v>1450126</v>
      </c>
      <c r="G17" s="301" t="n">
        <v>1274621</v>
      </c>
      <c r="H17" s="151" t="inlineStr">
        <is>
          <t>USD</t>
        </is>
      </c>
      <c r="I17" s="151" t="inlineStr">
        <is>
          <t>NORTHAMERICA</t>
        </is>
      </c>
    </row>
    <row r="18" customFormat="1" s="151">
      <c r="A18" s="151" t="inlineStr">
        <is>
          <t>POSITION_COMPACT</t>
        </is>
      </c>
      <c r="B18" s="151" t="inlineStr">
        <is>
          <t>Alpine III Parallel Fund, L.P.</t>
        </is>
      </c>
      <c r="C18" s="151" t="inlineStr">
        <is>
          <t>SEC_UEQ_UEQY</t>
        </is>
      </c>
      <c r="D18" s="151" t="inlineStr">
        <is>
          <t>HH-Craftwork, LLC</t>
        </is>
      </c>
      <c r="E18" s="151" t="inlineStr">
        <is>
          <t>L</t>
        </is>
      </c>
      <c r="F18" s="301" t="n">
        <v>215257</v>
      </c>
      <c r="G18" s="301" t="n">
        <v>206816</v>
      </c>
      <c r="H18" s="151" t="inlineStr">
        <is>
          <t>USD</t>
        </is>
      </c>
      <c r="I18" s="151" t="inlineStr">
        <is>
          <t>NORTHAMERICA</t>
        </is>
      </c>
    </row>
    <row r="19" customFormat="1" s="151">
      <c r="A19" s="151" t="inlineStr">
        <is>
          <t>POSITION_COMPACT</t>
        </is>
      </c>
      <c r="B19" s="151" t="inlineStr">
        <is>
          <t>Alpine III Parallel Fund, L.P.</t>
        </is>
      </c>
      <c r="C19" s="151" t="inlineStr">
        <is>
          <t>SEC_UEQ_UEQY</t>
        </is>
      </c>
      <c r="D19" s="151" t="inlineStr">
        <is>
          <t>KG-Gregorys, LLC</t>
        </is>
      </c>
      <c r="E19" s="151" t="inlineStr">
        <is>
          <t>L</t>
        </is>
      </c>
      <c r="F19" s="301" t="n">
        <v>1138351</v>
      </c>
      <c r="G19" s="301" t="n">
        <v>1430401</v>
      </c>
      <c r="H19" s="151" t="inlineStr">
        <is>
          <t>USD</t>
        </is>
      </c>
      <c r="I19" s="151" t="inlineStr">
        <is>
          <t>NORTHAMERICA</t>
        </is>
      </c>
    </row>
    <row r="20" customFormat="1" s="151">
      <c r="A20" s="151" t="inlineStr">
        <is>
          <t>POSITION_COMPACT</t>
        </is>
      </c>
      <c r="B20" s="151" t="inlineStr">
        <is>
          <t>Alpine III Parallel Fund, L.P.</t>
        </is>
      </c>
      <c r="C20" s="151" t="inlineStr">
        <is>
          <t>SEC_UEQ_UEQY</t>
        </is>
      </c>
      <c r="D20" s="151" t="inlineStr">
        <is>
          <t>ORH OTR Coinvestment LP</t>
        </is>
      </c>
      <c r="E20" s="151" t="inlineStr">
        <is>
          <t>L</t>
        </is>
      </c>
      <c r="F20" s="301" t="n">
        <v>2055599</v>
      </c>
      <c r="G20" s="301" t="n">
        <v>2286416</v>
      </c>
      <c r="H20" s="151" t="inlineStr">
        <is>
          <t>USD</t>
        </is>
      </c>
      <c r="I20" s="151" t="inlineStr">
        <is>
          <t>NORTHAMERICA</t>
        </is>
      </c>
    </row>
    <row r="21" customFormat="1" s="151">
      <c r="A21" s="151" t="inlineStr">
        <is>
          <t>#ignore this line</t>
        </is>
      </c>
      <c r="B21" s="151" t="inlineStr">
        <is>
          <t>Alpine III Parallel Fund, L.P.</t>
        </is>
      </c>
      <c r="C21" s="151" t="inlineStr">
        <is>
          <t>SEC_UEQ_UEQY</t>
        </is>
      </c>
      <c r="D21" s="151" t="inlineStr">
        <is>
          <t>ORG USME Coinvestment, LP</t>
        </is>
      </c>
      <c r="E21" s="151" t="inlineStr">
        <is>
          <t>L</t>
        </is>
      </c>
      <c r="F21" s="301" t="n">
        <v>0</v>
      </c>
      <c r="G21" s="301" t="n">
        <v>0</v>
      </c>
      <c r="H21" s="151" t="inlineStr">
        <is>
          <t>USD</t>
        </is>
      </c>
      <c r="I21" s="151" t="inlineStr">
        <is>
          <t>NORTHAMERICA</t>
        </is>
      </c>
    </row>
    <row r="22" customFormat="1" s="151">
      <c r="A22" s="151" t="inlineStr">
        <is>
          <t>POSITION_COMPACT</t>
        </is>
      </c>
      <c r="B22" s="151" t="inlineStr">
        <is>
          <t>Alpine III Parallel Fund, L.P.</t>
        </is>
      </c>
      <c r="C22" s="151" t="inlineStr">
        <is>
          <t>SEC_UEQ_UEQY</t>
        </is>
      </c>
      <c r="D22" s="151" t="inlineStr">
        <is>
          <t>PBC Lancer Co-Investors, L.P.</t>
        </is>
      </c>
      <c r="E22" s="151" t="inlineStr">
        <is>
          <t>L</t>
        </is>
      </c>
      <c r="F22" s="301" t="n">
        <v>629</v>
      </c>
      <c r="G22" s="301" t="n">
        <v>562</v>
      </c>
      <c r="H22" s="151" t="inlineStr">
        <is>
          <t>USD</t>
        </is>
      </c>
      <c r="I22" s="151" t="inlineStr">
        <is>
          <t>NORTHAMERICA</t>
        </is>
      </c>
    </row>
    <row r="23" customFormat="1" s="151">
      <c r="A23" s="151" t="inlineStr">
        <is>
          <t>POSITION_COMPACT</t>
        </is>
      </c>
      <c r="B23" s="151" t="inlineStr">
        <is>
          <t>Alpine III Parallel Fund, L.P.</t>
        </is>
      </c>
      <c r="C23" s="151" t="inlineStr">
        <is>
          <t>SEC_UEQ_UEQY</t>
        </is>
      </c>
      <c r="D23" s="151" t="inlineStr">
        <is>
          <t>PQE Investors LP</t>
        </is>
      </c>
      <c r="E23" s="151" t="inlineStr">
        <is>
          <t>L</t>
        </is>
      </c>
      <c r="F23" s="301" t="n">
        <v>38254</v>
      </c>
      <c r="G23" s="301" t="n">
        <v>32891</v>
      </c>
      <c r="H23" s="151" t="inlineStr">
        <is>
          <t>USD</t>
        </is>
      </c>
      <c r="I23" s="151" t="inlineStr">
        <is>
          <t>NORTHAMERICA</t>
        </is>
      </c>
    </row>
    <row r="24" customFormat="1" s="151">
      <c r="A24" s="151" t="inlineStr">
        <is>
          <t>POSITION_COMPACT</t>
        </is>
      </c>
      <c r="B24" s="151" t="inlineStr">
        <is>
          <t>Alpine III Parallel Fund, L.P.</t>
        </is>
      </c>
      <c r="C24" s="151" t="inlineStr">
        <is>
          <t>SEC_CSH_OTHC</t>
        </is>
      </c>
      <c r="D24" s="151" t="inlineStr">
        <is>
          <t>Cash and cash equivalents</t>
        </is>
      </c>
      <c r="E24" s="256" t="inlineStr">
        <is>
          <t>L</t>
        </is>
      </c>
      <c r="F24" s="301" t="n">
        <v>945166</v>
      </c>
      <c r="G24" s="301" t="n">
        <v>612431</v>
      </c>
      <c r="H24" s="151" t="inlineStr">
        <is>
          <t>USD</t>
        </is>
      </c>
      <c r="I24" s="151" t="inlineStr">
        <is>
          <t>NORTHAMERICA</t>
        </is>
      </c>
    </row>
    <row r="25" customFormat="1" s="151">
      <c r="A25" s="151" t="inlineStr">
        <is>
          <t>POSITION_COMPACT</t>
        </is>
      </c>
      <c r="B25" s="151" t="inlineStr">
        <is>
          <t>Alpine III Parallel Fund, L.P.</t>
        </is>
      </c>
      <c r="C25" s="151" t="inlineStr">
        <is>
          <t>OTH_OTH_OTHR</t>
        </is>
      </c>
      <c r="D25" s="151" t="inlineStr">
        <is>
          <t>Other assets</t>
        </is>
      </c>
      <c r="E25" s="256" t="inlineStr">
        <is>
          <t>L</t>
        </is>
      </c>
      <c r="F25" s="301" t="n">
        <v>3795</v>
      </c>
      <c r="G25" s="301" t="n">
        <v>3962</v>
      </c>
      <c r="H25" s="151" t="inlineStr">
        <is>
          <t>USD</t>
        </is>
      </c>
      <c r="I25" s="151" t="inlineStr">
        <is>
          <t>NORTHAMERICA</t>
        </is>
      </c>
    </row>
    <row r="26" customFormat="1" s="151">
      <c r="A26" s="151" t="inlineStr">
        <is>
          <t>POSITION_COMPACT</t>
        </is>
      </c>
      <c r="B26" s="151" t="inlineStr">
        <is>
          <t>Alpine III Parallel Fund, L.P.</t>
        </is>
      </c>
      <c r="C26" s="151" t="inlineStr">
        <is>
          <t>OTH_OTH_OTHR</t>
        </is>
      </c>
      <c r="D26" s="151" t="inlineStr">
        <is>
          <t>Total liabilities</t>
        </is>
      </c>
      <c r="E26" s="256" t="inlineStr">
        <is>
          <t>L</t>
        </is>
      </c>
      <c r="F26" s="301" t="n">
        <v>0</v>
      </c>
      <c r="G26" s="301" t="n">
        <v>-3805</v>
      </c>
      <c r="H26" s="151" t="inlineStr">
        <is>
          <t>USD</t>
        </is>
      </c>
      <c r="I26" s="151" t="inlineStr">
        <is>
          <t>NORTHAMERICA</t>
        </is>
      </c>
    </row>
    <row r="27" customFormat="1" s="151">
      <c r="E27" s="256" t="n"/>
      <c r="F27" s="301" t="n"/>
      <c r="G27" s="301" t="n"/>
    </row>
    <row r="28" customFormat="1" s="151">
      <c r="E28" s="256" t="n"/>
      <c r="F28" s="303" t="n"/>
      <c r="G28" s="301" t="n"/>
    </row>
    <row r="29" customFormat="1" s="151">
      <c r="E29" s="256" t="n"/>
      <c r="F29" s="303" t="n"/>
      <c r="G29" s="301" t="n"/>
    </row>
    <row r="30" customFormat="1" s="151">
      <c r="A30" s="255" t="inlineStr">
        <is>
          <t># Used for TURNOVER.</t>
        </is>
      </c>
      <c r="B30" s="255" t="n"/>
      <c r="C30" s="255" t="n"/>
      <c r="D30" s="255" t="n"/>
      <c r="E30" s="255" t="n"/>
      <c r="F30" s="255" t="n"/>
      <c r="G30" s="255" t="n"/>
      <c r="H30" s="255" t="n"/>
    </row>
    <row r="31" customFormat="1" s="151">
      <c r="A31" s="25" t="inlineStr">
        <is>
          <t># XLS - Cash Flow - Investments in portfolio companies</t>
        </is>
      </c>
      <c r="B31" s="287" t="n">
        <v>0</v>
      </c>
      <c r="E31" s="256" t="n"/>
      <c r="F31" s="303" t="n"/>
      <c r="G31" s="301" t="n"/>
    </row>
    <row r="32" customFormat="1" s="151">
      <c r="A32" s="25" t="inlineStr">
        <is>
          <t># XLS - Cash Flow - Distributions from portfolio companies</t>
        </is>
      </c>
      <c r="B32" s="287" t="n">
        <v>11474098.1</v>
      </c>
      <c r="E32" s="256" t="n"/>
      <c r="F32" s="303" t="n"/>
      <c r="G32" s="301" t="n"/>
    </row>
    <row r="33">
      <c r="F33" s="302" t="n"/>
      <c r="G33" s="302" t="n"/>
    </row>
    <row r="34">
      <c r="A34" s="23" t="inlineStr">
        <is>
          <t>#TURNOVER</t>
        </is>
      </c>
      <c r="B34" s="23" t="inlineStr">
        <is>
          <t>Custom AIF Identification</t>
        </is>
      </c>
      <c r="C34" s="35" t="inlineStr">
        <is>
          <t>Sub-asset type code of turnover</t>
        </is>
      </c>
      <c r="D34" s="23" t="inlineStr">
        <is>
          <t>Market value of turnover</t>
        </is>
      </c>
      <c r="E34" s="23" t="inlineStr">
        <is>
          <t>Notional value of turnover</t>
        </is>
      </c>
      <c r="F34" s="28" t="n"/>
      <c r="G34" s="28" t="n"/>
      <c r="H34" s="28" t="n"/>
      <c r="I34" s="28" t="n"/>
      <c r="J34" s="28" t="n"/>
      <c r="K34" s="28" t="n"/>
      <c r="L34" s="28" t="n"/>
      <c r="M34" s="28" t="n"/>
    </row>
    <row r="35">
      <c r="A35" s="29" t="inlineStr">
        <is>
          <t>#AIF fieldnummers</t>
        </is>
      </c>
      <c r="B35" s="38" t="inlineStr">
        <is>
          <t>AIF_ID</t>
        </is>
      </c>
      <c r="C35" s="29" t="n">
        <v>125</v>
      </c>
      <c r="D35" s="29" t="n">
        <v>126</v>
      </c>
      <c r="E35" s="29" t="n">
        <v>127</v>
      </c>
    </row>
    <row r="36" customFormat="1" s="151">
      <c r="A36" s="151" t="inlineStr">
        <is>
          <t>TURNOVER</t>
        </is>
      </c>
      <c r="B36" s="151" t="inlineStr">
        <is>
          <t>Alpine III Parallel Fund, L.P.</t>
        </is>
      </c>
      <c r="C36" s="153" t="inlineStr">
        <is>
          <t>SEC_UEQ_UEQ</t>
        </is>
      </c>
      <c r="D36" s="345">
        <f>ABS(B31)+ABS(B32)</f>
        <v/>
      </c>
      <c r="E36" s="349" t="n"/>
    </row>
    <row r="37" customFormat="1" s="151">
      <c r="C37" s="153" t="n"/>
      <c r="D37" s="349" t="n"/>
      <c r="E37" s="349" t="n"/>
    </row>
    <row r="38" customFormat="1" s="151">
      <c r="C38" s="153" t="n"/>
      <c r="D38" s="349" t="n"/>
      <c r="E38" s="349" t="n"/>
    </row>
    <row r="39" customFormat="1" s="151">
      <c r="A39" s="255" t="inlineStr">
        <is>
          <t># Used for HISTORICAL_RISK_PROFILE.</t>
        </is>
      </c>
      <c r="B39" s="255" t="n"/>
      <c r="C39" s="255" t="n"/>
      <c r="D39" s="255" t="n"/>
      <c r="E39" s="255" t="n"/>
      <c r="F39" s="255" t="n"/>
      <c r="G39" s="255" t="n"/>
      <c r="H39" s="255" t="n"/>
    </row>
    <row r="40" customFormat="1" s="151">
      <c r="A40" s="285" t="inlineStr">
        <is>
          <t># XLS - Income Statement - Total operating expenses</t>
        </is>
      </c>
      <c r="B40" s="288" t="n">
        <v>77178.39999999999</v>
      </c>
      <c r="C40" s="343" t="inlineStr">
        <is>
          <t>&lt;= Expenses</t>
        </is>
      </c>
    </row>
    <row r="41" customFormat="1" s="151">
      <c r="A41" s="285" t="inlineStr">
        <is>
          <t># XLS - Income Statement - Net increase in partners' capital from operations</t>
        </is>
      </c>
      <c r="B41" s="288" t="n">
        <v>580.5999999996275</v>
      </c>
      <c r="C41" s="344" t="inlineStr">
        <is>
          <t>&lt;= Real Net</t>
        </is>
      </c>
    </row>
    <row r="42" customFormat="1" s="151">
      <c r="A42" s="338" t="inlineStr">
        <is>
          <t># XLS - Cash Flow - Capital contributions</t>
        </is>
      </c>
      <c r="B42" s="339" t="n">
        <v>0</v>
      </c>
    </row>
    <row r="43" customFormat="1" s="151">
      <c r="A43" s="338" t="inlineStr">
        <is>
          <t># XLS - Cash Flow - Capital distributions</t>
        </is>
      </c>
      <c r="B43" s="339" t="n">
        <v>-11511061.7</v>
      </c>
      <c r="C43" s="338" t="inlineStr">
        <is>
          <t>Negative!</t>
        </is>
      </c>
      <c r="E43" s="349" t="n"/>
      <c r="F43" s="349" t="n"/>
      <c r="G43" s="349" t="n"/>
      <c r="H43" s="349" t="n"/>
      <c r="I43" s="349" t="n"/>
      <c r="J43" s="349" t="n"/>
    </row>
    <row r="44" customFormat="1" s="151">
      <c r="A44" s="338" t="n"/>
      <c r="B44" s="342" t="n"/>
      <c r="C44" s="349" t="n"/>
      <c r="E44" s="349" t="n"/>
      <c r="F44" s="349" t="n"/>
      <c r="G44" s="349" t="n"/>
      <c r="H44" s="349" t="n"/>
      <c r="I44" s="349" t="n"/>
      <c r="J44" s="349" t="n"/>
    </row>
    <row r="45" customFormat="1" s="151">
      <c r="A45" s="151" t="inlineStr">
        <is>
          <t># Calculated: Start NAV</t>
        </is>
      </c>
      <c r="B45" s="341">
        <f>B46-B41-B42-B43</f>
        <v/>
      </c>
      <c r="C45" s="349" t="n"/>
      <c r="D45" s="349" t="n"/>
      <c r="E45" s="349" t="n"/>
      <c r="F45" s="349" t="n"/>
      <c r="G45" s="349" t="n"/>
      <c r="H45" s="349" t="n"/>
      <c r="I45" s="349" t="n"/>
      <c r="J45" s="349" t="n"/>
    </row>
    <row r="46" customFormat="1" s="151">
      <c r="A46" s="151" t="inlineStr">
        <is>
          <t># Calculated: End NAV</t>
        </is>
      </c>
      <c r="B46" s="341">
        <f>SUM(G5:G29)</f>
        <v/>
      </c>
      <c r="C46" s="349" t="n"/>
      <c r="D46" s="349" t="n"/>
      <c r="E46" s="349" t="n"/>
      <c r="F46" s="349" t="n"/>
      <c r="G46" s="349" t="n"/>
      <c r="H46" s="349" t="n"/>
      <c r="I46" s="349" t="n"/>
      <c r="J46" s="349" t="n"/>
    </row>
    <row r="47" customFormat="1" s="151">
      <c r="B47" s="264" t="n"/>
      <c r="C47" s="349" t="n"/>
      <c r="D47" s="349" t="n"/>
      <c r="E47" s="349" t="n"/>
      <c r="F47" s="349" t="n"/>
      <c r="G47" s="308" t="n"/>
      <c r="H47" s="308" t="n"/>
      <c r="I47" s="349" t="n"/>
      <c r="J47" s="349" t="n"/>
    </row>
    <row r="48" customFormat="1" s="28">
      <c r="A48" s="31" t="inlineStr">
        <is>
          <t>#HISTORICAL_RISK_PROFILE</t>
        </is>
      </c>
      <c r="B48" s="23" t="inlineStr">
        <is>
          <t>Custom AIF Identification</t>
        </is>
      </c>
      <c r="C48" s="32" t="inlineStr">
        <is>
          <t>Month</t>
        </is>
      </c>
      <c r="D48" s="32" t="inlineStr">
        <is>
          <t>Percentage of gross investment returns</t>
        </is>
      </c>
      <c r="E48" s="32" t="inlineStr">
        <is>
          <t>Percentage of net investment returns</t>
        </is>
      </c>
      <c r="F48" s="32" t="inlineStr">
        <is>
          <t>Percentage of NAV change</t>
        </is>
      </c>
      <c r="G48" s="32" t="inlineStr">
        <is>
          <t>Subscriptions in base currency</t>
        </is>
      </c>
      <c r="H48" s="32" t="inlineStr">
        <is>
          <t>Redemptions  in base currency</t>
        </is>
      </c>
      <c r="I48" s="25" t="n"/>
      <c r="J48" s="25" t="n"/>
      <c r="K48" s="25" t="n"/>
      <c r="L48" s="25" t="n"/>
      <c r="M48" s="25" t="n"/>
    </row>
    <row r="49">
      <c r="A49" s="33" t="inlineStr">
        <is>
          <t>#AIF fieldnummers</t>
        </is>
      </c>
      <c r="B49" s="38" t="inlineStr">
        <is>
          <t>AIF_ID</t>
        </is>
      </c>
      <c r="C49" s="235" t="inlineStr">
        <is>
          <t>219-278</t>
        </is>
      </c>
      <c r="D49" s="235" t="inlineStr">
        <is>
          <t>219-230</t>
        </is>
      </c>
      <c r="E49" s="235" t="inlineStr">
        <is>
          <t>231-242</t>
        </is>
      </c>
      <c r="F49" s="235" t="inlineStr">
        <is>
          <t>243-254</t>
        </is>
      </c>
      <c r="G49" s="235" t="inlineStr">
        <is>
          <t>255-266</t>
        </is>
      </c>
      <c r="H49" s="235" t="inlineStr">
        <is>
          <t>267-278</t>
        </is>
      </c>
    </row>
    <row r="50" customFormat="1" s="151">
      <c r="A50" s="151" t="inlineStr">
        <is>
          <t>HISTORICAL_RISK_PROFILE</t>
        </is>
      </c>
      <c r="B50" s="151" t="inlineStr">
        <is>
          <t>Alpine III Parallel Fund, L.P.</t>
        </is>
      </c>
      <c r="C50" s="310" t="n">
        <v>6</v>
      </c>
      <c r="D50" s="311">
        <f>(B41+B40)/B45*100</f>
        <v/>
      </c>
      <c r="E50" s="311">
        <f>B41/B45*100</f>
        <v/>
      </c>
      <c r="F50" s="311">
        <f>(B46-B45)/B45*100</f>
        <v/>
      </c>
      <c r="G50" s="345">
        <f>ABS(B42)</f>
        <v/>
      </c>
      <c r="H50" s="345">
        <f>ABS(B43)</f>
        <v/>
      </c>
    </row>
    <row r="51" customFormat="1" s="151">
      <c r="D51" s="192" t="n"/>
      <c r="E51" s="192" t="n"/>
      <c r="F51" s="192" t="n"/>
      <c r="G51" s="338" t="n"/>
      <c r="H51" s="338" t="n"/>
    </row>
    <row r="52" customFormat="1" s="151">
      <c r="D52" s="192" t="n"/>
      <c r="E52" s="192" t="n"/>
      <c r="F52" s="192" t="n"/>
      <c r="G52" s="338" t="n"/>
      <c r="H52" s="338" t="n"/>
    </row>
    <row r="53" customFormat="1" s="41">
      <c r="A53" s="40" t="inlineStr">
        <is>
          <t>#END OF  TEMPLATE</t>
        </is>
      </c>
      <c r="B53" s="40" t="n"/>
      <c r="C53" s="40" t="n"/>
      <c r="D53" s="40" t="n"/>
      <c r="E53" s="40" t="inlineStr">
        <is>
          <t>#END OF  TEMPLATE</t>
        </is>
      </c>
      <c r="F53" s="40" t="n"/>
      <c r="G53" s="40" t="n"/>
      <c r="H53" s="40" t="n"/>
      <c r="I53" s="40" t="n"/>
      <c r="J53" s="40" t="inlineStr">
        <is>
          <t>#END OF  TEMPLATE</t>
        </is>
      </c>
      <c r="K53" s="40" t="n"/>
      <c r="L53" s="40" t="n"/>
      <c r="M53" s="40" t="n"/>
      <c r="N53" s="40" t="n"/>
      <c r="P53" s="40" t="inlineStr">
        <is>
          <t>#END OF  TEMPLATE</t>
        </is>
      </c>
    </row>
  </sheetData>
  <dataValidations count="29">
    <dataValidation sqref="D2" showDropDown="0" showInputMessage="1" showErrorMessage="1" allowBlank="1" promptTitle="Legacy, not needed anymore." prompt="Legacy, not needed anymore."/>
    <dataValidation sqref="B51:B52" showDropDown="0" showInputMessage="1" showErrorMessage="1" allowBlank="1" promptTitle="Mandatory" prompt="Unique AIF id to which this record applies.  _x000a__x000a_Add new AIFs in the AIF section._x000a_"/>
    <dataValidation sqref="B2" showDropDown="0" showInputMessage="1" showErrorMessage="1" allowBlank="1" promptTitle="Mandatory" prompt="Unique AIF id to which this record applies.  _x000a__x000a_Add new AIFs in the AIF section." type="list">
      <formula1>AIF_ID</formula1>
    </dataValidation>
    <dataValidation sqref="C2 C31:C32"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2 E24:E29 E31:E32"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2 F28:F29 F31:F32"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6:E23" showDropDown="0" showInputMessage="1" showErrorMessage="1" allowBlank="1" promptTitle="Mandatory" prompt="“L” for long_x000a_“S” for short" type="list">
      <formula1>Fund75</formula1>
    </dataValidation>
    <dataValidation sqref="G11 G13 G15 G21"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I23"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23"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47"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40 C43:C47"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2:A44 A46 D43:J47" showDropDown="0" showInputMessage="1" showErrorMessage="1" allowBlank="1" promptTitle="Mandatory" prompt="Expressed as a percentage (entered here as a number, e.g. enter 1.23% as 1.23)._x000a__x000a_The total should equal 100%."/>
    <dataValidation sqref="D6:D29 D31:D32" showDropDown="0" showInputMessage="1" showErrorMessage="1" allowBlank="1" promptTitle="Mandatory" prompt="No standard. It is strongly recommended to provide the instrument short name as provided by Swift under ISO18774 when available."/>
    <dataValidation sqref="A6:A2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A36:A38" showDropDown="0" showInputMessage="1" showErrorMessage="1" allowBlank="1" promptTitle="Conditional" prompt="The TURNOVER record is optional for AIFs with content type 2 and 4, and forbidden otherwise." type="list">
      <formula1>"TURNOVER,#ignore this line"</formula1>
    </dataValidation>
    <dataValidation sqref="D36:D38" showDropDown="0" showInputMessage="1" showErrorMessage="1" allowBlank="1" prompt="Market value of turnover in each relevant sub-asset-type during the reporting period in base-currency"/>
    <dataValidation sqref="E36:E38" showDropDown="0" showInputMessage="1" showErrorMessage="1" allowBlank="1" promptTitle="Conditional" prompt="Only for sub-asset-types starting with DER_xxx.  Notional value of turnover in each relevant sub-asset-type during the reporting period in base-currency"/>
    <dataValidation sqref="A50:A52"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0:D52 E50:F50"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1:E52"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1:F52" showDropDown="0" showInputMessage="1" showErrorMessage="1" allowBlank="1" promptTitle="Mandatory" prompt="Monthly changes in NAV including the impact of subscriptions and redemptions._x000a__x000a_Expressed as a percentage (entered here as a number, e.g. enter 1.23% as 1.23)."/>
    <dataValidation sqref="B42 D42 G50:G52" showDropDown="0" showInputMessage="1" showErrorMessage="1" allowBlank="1" promptTitle="Mandatory" prompt="Subscriptions in base currency during month."/>
    <dataValidation sqref="B43:B45 H50:H52" showDropDown="0" showInputMessage="1" showErrorMessage="1" allowBlank="1" promptTitle="Mandatory" prompt="Redemptions in base currency during month."/>
    <dataValidation sqref="C50:C52"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2"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37:B38 B47" showDropDown="0" showInputMessage="1" showErrorMessage="1" allowBlank="1" promptTitle="Mandatory" prompt="Unique AIF id to which this record applies.  _x000a__x000a_Add new AIFs in the AIF section."/>
    <dataValidation sqref="F7:F27 G7:G10 G12 G14 G16:G20 G22:G23 G25" showDropDown="0" showInputMessage="1" showErrorMessage="1" allowBlank="1" promptTitle="Mandatory" prompt="Position value expressed in base currency (as calculated under Article 2 AIFMD)._x000a__x000a_Value cannot be negative."/>
  </dataValidations>
  <pageMargins left="0.7086614173228347" right="0.7086614173228347" top="0.7480314960629921" bottom="0.7480314960629921" header="0.3149606299212598" footer="0.3149606299212598"/>
  <pageSetup orientation="landscape" paperSize="8" scale="70"/>
</worksheet>
</file>

<file path=xl/worksheets/sheet4.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C41" sqref="C41"/>
    </sheetView>
  </sheetViews>
  <sheetFormatPr baseColWidth="10" defaultColWidth="0" defaultRowHeight="10.5" zeroHeight="1"/>
  <cols>
    <col width="48.269531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Alpine IV Parallel Fund, L.P.</t>
        </is>
      </c>
      <c r="C6" s="151" t="inlineStr">
        <is>
          <t>SEC_UEQ_UEQY</t>
        </is>
      </c>
      <c r="D6" s="151" t="inlineStr">
        <is>
          <t>Pinnacle Holdings LLC</t>
        </is>
      </c>
      <c r="E6" s="151" t="inlineStr">
        <is>
          <t>L</t>
        </is>
      </c>
      <c r="F6" s="301" t="n">
        <v>1413704</v>
      </c>
      <c r="G6" s="301" t="n">
        <v>1280573</v>
      </c>
      <c r="H6" s="151" t="inlineStr">
        <is>
          <t>USD</t>
        </is>
      </c>
      <c r="I6" s="151" t="inlineStr">
        <is>
          <t>NORTHAMERICA</t>
        </is>
      </c>
    </row>
    <row r="7" customFormat="1" s="151">
      <c r="A7" s="151" t="inlineStr">
        <is>
          <t>POSITION_COMPACT</t>
        </is>
      </c>
      <c r="B7" s="151" t="inlineStr">
        <is>
          <t>Alpine IV Parallel Fund, L.P.</t>
        </is>
      </c>
      <c r="C7" s="151" t="inlineStr">
        <is>
          <t>SEC_UEQ_UEQY</t>
        </is>
      </c>
      <c r="D7" s="151" t="inlineStr">
        <is>
          <t>Apex Lumber SPV II, L.P.</t>
        </is>
      </c>
      <c r="E7" s="151" t="inlineStr">
        <is>
          <t>L</t>
        </is>
      </c>
      <c r="F7" s="301" t="n">
        <v>361470</v>
      </c>
      <c r="G7" s="301" t="n">
        <v>450974</v>
      </c>
      <c r="H7" s="151" t="inlineStr">
        <is>
          <t>USD</t>
        </is>
      </c>
      <c r="I7" s="151" t="inlineStr">
        <is>
          <t>NORTHAMERICA</t>
        </is>
      </c>
    </row>
    <row r="8" customFormat="1" s="151">
      <c r="A8" s="151" t="inlineStr">
        <is>
          <t>POSITION_COMPACT</t>
        </is>
      </c>
      <c r="B8" s="151" t="inlineStr">
        <is>
          <t>Alpine IV Parallel Fund, L.P.</t>
        </is>
      </c>
      <c r="C8" s="151" t="inlineStr">
        <is>
          <t>SEC_UEQ_UEQY</t>
        </is>
      </c>
      <c r="D8" s="151" t="inlineStr">
        <is>
          <t>Pacific Solutions Partners LLC</t>
        </is>
      </c>
      <c r="E8" s="151" t="inlineStr">
        <is>
          <t>L</t>
        </is>
      </c>
      <c r="F8" s="301" t="n">
        <v>1205891</v>
      </c>
      <c r="G8" s="301" t="n">
        <v>1210102</v>
      </c>
      <c r="H8" s="151" t="inlineStr">
        <is>
          <t>USD</t>
        </is>
      </c>
      <c r="I8" s="151" t="inlineStr">
        <is>
          <t>NORTHAMERICA</t>
        </is>
      </c>
    </row>
    <row r="9" customFormat="1" s="151">
      <c r="A9" s="151" t="inlineStr">
        <is>
          <t>POSITION_COMPACT</t>
        </is>
      </c>
      <c r="B9" s="151" t="inlineStr">
        <is>
          <t>Alpine IV Parallel Fund, L.P.</t>
        </is>
      </c>
      <c r="C9" s="151" t="inlineStr">
        <is>
          <t>SEC_UEQ_UEQY</t>
        </is>
      </c>
      <c r="D9" s="151" t="inlineStr">
        <is>
          <t>Meridian Capital Rentalco Co-Invest, L.P.</t>
        </is>
      </c>
      <c r="E9" s="151" t="inlineStr">
        <is>
          <t>L</t>
        </is>
      </c>
      <c r="F9" s="301" t="n">
        <v>3451273</v>
      </c>
      <c r="G9" s="301" t="n">
        <v>3595402</v>
      </c>
      <c r="H9" s="151" t="inlineStr">
        <is>
          <t>USD</t>
        </is>
      </c>
      <c r="I9" s="151" t="inlineStr">
        <is>
          <t>NORTHAMERICA</t>
        </is>
      </c>
    </row>
    <row r="10" customFormat="1" s="151">
      <c r="A10" s="151" t="inlineStr">
        <is>
          <t>POSITION_COMPACT</t>
        </is>
      </c>
      <c r="B10" s="151" t="inlineStr">
        <is>
          <t>Alpine IV Parallel Fund, L.P.</t>
        </is>
      </c>
      <c r="C10" s="151" t="inlineStr">
        <is>
          <t>SEC_UEQ_UEQY</t>
        </is>
      </c>
      <c r="D10" s="151" t="inlineStr">
        <is>
          <t>CRB Co-Invest Blocker, Inc.</t>
        </is>
      </c>
      <c r="E10" s="151" t="inlineStr">
        <is>
          <t>L</t>
        </is>
      </c>
      <c r="F10" s="301" t="n">
        <v>9870744</v>
      </c>
      <c r="G10" s="301" t="n">
        <v>8516274</v>
      </c>
      <c r="H10" s="151" t="inlineStr">
        <is>
          <t>USD</t>
        </is>
      </c>
      <c r="I10" s="151" t="inlineStr">
        <is>
          <t>NORTHAMERICA</t>
        </is>
      </c>
    </row>
    <row r="11" customFormat="1" s="151">
      <c r="A11" s="151" t="inlineStr">
        <is>
          <t>POSITION_COMPACT</t>
        </is>
      </c>
      <c r="B11" s="151" t="inlineStr">
        <is>
          <t>Alpine IV Parallel Fund, L.P.</t>
        </is>
      </c>
      <c r="C11" s="151" t="inlineStr">
        <is>
          <t>SEC_UEQ_UEQY</t>
        </is>
      </c>
      <c r="D11" s="151" t="inlineStr">
        <is>
          <t>E Pulse Holdings, Corp.</t>
        </is>
      </c>
      <c r="E11" s="151" t="inlineStr">
        <is>
          <t>L</t>
        </is>
      </c>
      <c r="F11" s="301" t="n">
        <v>937028</v>
      </c>
      <c r="G11" s="301" t="n">
        <v>705914</v>
      </c>
      <c r="H11" s="151" t="inlineStr">
        <is>
          <t>USD</t>
        </is>
      </c>
      <c r="I11" s="151" t="inlineStr">
        <is>
          <t>NORTHAMERICA</t>
        </is>
      </c>
    </row>
    <row r="12" customFormat="1" s="151">
      <c r="A12" s="151" t="inlineStr">
        <is>
          <t>POSITION_COMPACT</t>
        </is>
      </c>
      <c r="B12" s="151" t="inlineStr">
        <is>
          <t>Alpine IV Parallel Fund, L.P.</t>
        </is>
      </c>
      <c r="C12" s="151" t="inlineStr">
        <is>
          <t>SEC_UEQ_UEQY</t>
        </is>
      </c>
      <c r="D12" s="151" t="inlineStr">
        <is>
          <t>Equine Network Holdings Co-Invest Blocker GPC, Inc.</t>
        </is>
      </c>
      <c r="E12" s="151" t="inlineStr">
        <is>
          <t>L</t>
        </is>
      </c>
      <c r="F12" s="301" t="n">
        <v>2610206</v>
      </c>
      <c r="G12" s="301" t="n">
        <v>1831294</v>
      </c>
      <c r="H12" s="151" t="inlineStr">
        <is>
          <t>USD</t>
        </is>
      </c>
      <c r="I12" s="151" t="inlineStr">
        <is>
          <t>NORTHAMERICA</t>
        </is>
      </c>
    </row>
    <row r="13" customFormat="1" s="151">
      <c r="A13" s="151" t="inlineStr">
        <is>
          <t>POSITION_COMPACT</t>
        </is>
      </c>
      <c r="B13" s="151" t="inlineStr">
        <is>
          <t>Alpine IV Parallel Fund, L.P.</t>
        </is>
      </c>
      <c r="C13" s="151" t="inlineStr">
        <is>
          <t>SEC_UEQ_UEQY</t>
        </is>
      </c>
      <c r="D13" s="151" t="inlineStr">
        <is>
          <t>Sentinel III Upper Echelon Blocker, Inc.</t>
        </is>
      </c>
      <c r="E13" s="151" t="inlineStr">
        <is>
          <t>L</t>
        </is>
      </c>
      <c r="F13" s="301" t="n">
        <v>1099732</v>
      </c>
      <c r="G13" s="301" t="n">
        <v>1533663</v>
      </c>
      <c r="H13" s="151" t="inlineStr">
        <is>
          <t>USD</t>
        </is>
      </c>
      <c r="I13" s="151" t="inlineStr">
        <is>
          <t>NORTHAMERICA</t>
        </is>
      </c>
    </row>
    <row r="14" customFormat="1" s="151">
      <c r="A14" s="151" t="inlineStr">
        <is>
          <t>POSITION_COMPACT</t>
        </is>
      </c>
      <c r="B14" s="151" t="inlineStr">
        <is>
          <t>Alpine IV Parallel Fund, L.P.</t>
        </is>
      </c>
      <c r="C14" s="151" t="inlineStr">
        <is>
          <t>SEC_UEQ_UEQY</t>
        </is>
      </c>
      <c r="D14" s="151" t="inlineStr">
        <is>
          <t>MedBridge-TDN Holdings, LLC</t>
        </is>
      </c>
      <c r="E14" s="151" t="inlineStr">
        <is>
          <t>L</t>
        </is>
      </c>
      <c r="F14" s="301" t="n">
        <v>2229916</v>
      </c>
      <c r="G14" s="301" t="n">
        <v>2127409</v>
      </c>
      <c r="H14" s="151" t="inlineStr">
        <is>
          <t>USD</t>
        </is>
      </c>
      <c r="I14" s="151" t="inlineStr">
        <is>
          <t>NORTHAMERICA</t>
        </is>
      </c>
    </row>
    <row r="15" customFormat="1" s="151">
      <c r="A15" s="151" t="inlineStr">
        <is>
          <t>POSITION_COMPACT</t>
        </is>
      </c>
      <c r="B15" s="151" t="inlineStr">
        <is>
          <t>Alpine IV Parallel Fund, L.P.</t>
        </is>
      </c>
      <c r="C15" s="151" t="inlineStr">
        <is>
          <t>SEC_UEQ_UEQY</t>
        </is>
      </c>
      <c r="D15" s="151" t="inlineStr">
        <is>
          <t>HH-KTG Holdings, LLC</t>
        </is>
      </c>
      <c r="E15" s="151" t="inlineStr">
        <is>
          <t>L</t>
        </is>
      </c>
      <c r="F15" s="301" t="n">
        <v>698910</v>
      </c>
      <c r="G15" s="301" t="n">
        <v>758649</v>
      </c>
      <c r="H15" s="151" t="inlineStr">
        <is>
          <t>USD</t>
        </is>
      </c>
      <c r="I15" s="151" t="inlineStr">
        <is>
          <t>NORTHAMERICA</t>
        </is>
      </c>
    </row>
    <row r="16" customFormat="1" s="151">
      <c r="A16" s="151" t="inlineStr">
        <is>
          <t>POSITION_COMPACT</t>
        </is>
      </c>
      <c r="B16" s="151" t="inlineStr">
        <is>
          <t>Alpine IV Parallel Fund, L.P.</t>
        </is>
      </c>
      <c r="C16" s="151" t="inlineStr">
        <is>
          <t>SEC_UEQ_UEQY</t>
        </is>
      </c>
      <c r="D16" s="151" t="inlineStr">
        <is>
          <t>MHG Partners Mellott Fund B LLC</t>
        </is>
      </c>
      <c r="E16" s="151" t="inlineStr">
        <is>
          <t>L</t>
        </is>
      </c>
      <c r="F16" s="301" t="n">
        <v>4272702</v>
      </c>
      <c r="G16" s="301" t="n">
        <v>3069736</v>
      </c>
      <c r="H16" s="151" t="inlineStr">
        <is>
          <t>USD</t>
        </is>
      </c>
      <c r="I16" s="151" t="inlineStr">
        <is>
          <t>NORTHAMERICA</t>
        </is>
      </c>
    </row>
    <row r="17" customFormat="1" s="151">
      <c r="A17" s="151" t="inlineStr">
        <is>
          <t>POSITION_COMPACT</t>
        </is>
      </c>
      <c r="B17" s="151" t="inlineStr">
        <is>
          <t>Alpine IV Parallel Fund, L.P.</t>
        </is>
      </c>
      <c r="C17" s="151" t="inlineStr">
        <is>
          <t>SEC_UEQ_UEQY</t>
        </is>
      </c>
      <c r="D17" s="151" t="inlineStr">
        <is>
          <t>MPS Investors, LLC</t>
        </is>
      </c>
      <c r="E17" s="151" t="inlineStr">
        <is>
          <t>L</t>
        </is>
      </c>
      <c r="F17" s="301" t="n">
        <v>1468442</v>
      </c>
      <c r="G17" s="301" t="n">
        <v>1815538</v>
      </c>
      <c r="H17" s="151" t="inlineStr">
        <is>
          <t>USD</t>
        </is>
      </c>
      <c r="I17" s="151" t="inlineStr">
        <is>
          <t>NORTHAMERICA</t>
        </is>
      </c>
    </row>
    <row r="18" customFormat="1" s="151">
      <c r="A18" s="151" t="inlineStr">
        <is>
          <t>POSITION_COMPACT</t>
        </is>
      </c>
      <c r="B18" s="151" t="inlineStr">
        <is>
          <t>Alpine IV Parallel Fund, L.P.</t>
        </is>
      </c>
      <c r="C18" s="151" t="inlineStr">
        <is>
          <t>SEC_UEQ_UEQY</t>
        </is>
      </c>
      <c r="D18" s="151" t="inlineStr">
        <is>
          <t>Inspirational CIV, LLC</t>
        </is>
      </c>
      <c r="E18" s="151" t="inlineStr">
        <is>
          <t>L</t>
        </is>
      </c>
      <c r="F18" s="301" t="n">
        <v>898521</v>
      </c>
      <c r="G18" s="301" t="n">
        <v>862968</v>
      </c>
      <c r="H18" s="151" t="inlineStr">
        <is>
          <t>USD</t>
        </is>
      </c>
      <c r="I18" s="151" t="inlineStr">
        <is>
          <t>NORTHAMERICA</t>
        </is>
      </c>
    </row>
    <row r="19" customFormat="1" s="151">
      <c r="A19" s="151" t="inlineStr">
        <is>
          <t>POSITION_COMPACT</t>
        </is>
      </c>
      <c r="B19" s="151" t="inlineStr">
        <is>
          <t>Alpine IV Parallel Fund, L.P.</t>
        </is>
      </c>
      <c r="C19" s="151" t="inlineStr">
        <is>
          <t>SEC_UEQ_UEQY</t>
        </is>
      </c>
      <c r="D19" s="151" t="inlineStr">
        <is>
          <t>NQAS Holdings, LLC</t>
        </is>
      </c>
      <c r="E19" s="151" t="inlineStr">
        <is>
          <t>L</t>
        </is>
      </c>
      <c r="F19" s="301" t="n">
        <v>492983</v>
      </c>
      <c r="G19" s="301" t="n">
        <v>477433</v>
      </c>
      <c r="H19" s="151" t="inlineStr">
        <is>
          <t>USD</t>
        </is>
      </c>
      <c r="I19" s="151" t="inlineStr">
        <is>
          <t>NORTHAMERICA</t>
        </is>
      </c>
    </row>
    <row r="20" customFormat="1" s="151">
      <c r="A20" s="151" t="inlineStr">
        <is>
          <t>POSITION_COMPACT</t>
        </is>
      </c>
      <c r="B20" s="151" t="inlineStr">
        <is>
          <t>Alpine IV Parallel Fund, L.P.</t>
        </is>
      </c>
      <c r="C20" s="151" t="inlineStr">
        <is>
          <t>SEC_UEQ_UEQY</t>
        </is>
      </c>
      <c r="D20" s="151" t="inlineStr">
        <is>
          <t>Primus SPV, LLC</t>
        </is>
      </c>
      <c r="E20" s="151" t="inlineStr">
        <is>
          <t>L</t>
        </is>
      </c>
      <c r="F20" s="301" t="n">
        <v>2751201</v>
      </c>
      <c r="G20" s="301" t="n">
        <v>3384073</v>
      </c>
      <c r="H20" s="151" t="inlineStr">
        <is>
          <t>USD</t>
        </is>
      </c>
      <c r="I20" s="151" t="inlineStr">
        <is>
          <t>NORTHAMERICA</t>
        </is>
      </c>
    </row>
    <row r="21" customFormat="1" s="151">
      <c r="A21" s="151" t="inlineStr">
        <is>
          <t>POSITION_COMPACT</t>
        </is>
      </c>
      <c r="B21" s="151" t="inlineStr">
        <is>
          <t>Alpine IV Parallel Fund, L.P.</t>
        </is>
      </c>
      <c r="C21" s="151" t="inlineStr">
        <is>
          <t>SEC_UEQ_UEQY</t>
        </is>
      </c>
      <c r="D21" s="151" t="inlineStr">
        <is>
          <t>Telescope MSS Co-Invest Holdings, LLC</t>
        </is>
      </c>
      <c r="E21" s="151" t="inlineStr">
        <is>
          <t>L</t>
        </is>
      </c>
      <c r="F21" s="301" t="n">
        <v>838655</v>
      </c>
      <c r="G21" s="301" t="n">
        <v>1117214</v>
      </c>
      <c r="H21" s="151" t="inlineStr">
        <is>
          <t>USD</t>
        </is>
      </c>
      <c r="I21" s="151" t="inlineStr">
        <is>
          <t>NORTHAMERICA</t>
        </is>
      </c>
    </row>
    <row r="22" customFormat="1" s="151">
      <c r="A22" s="151" t="inlineStr">
        <is>
          <t>POSITION_COMPACT</t>
        </is>
      </c>
      <c r="B22" s="151" t="inlineStr">
        <is>
          <t>Alpine IV Parallel Fund, L.P.</t>
        </is>
      </c>
      <c r="C22" s="151" t="inlineStr">
        <is>
          <t>SEC_UEQ_UEQY</t>
        </is>
      </c>
      <c r="D22" s="151" t="inlineStr">
        <is>
          <t>PNC Associates II, LLC</t>
        </is>
      </c>
      <c r="E22" s="151" t="inlineStr">
        <is>
          <t>L</t>
        </is>
      </c>
      <c r="F22" s="301" t="n">
        <v>5568929</v>
      </c>
      <c r="G22" s="301" t="n">
        <v>4904394</v>
      </c>
      <c r="H22" s="151" t="inlineStr">
        <is>
          <t>USD</t>
        </is>
      </c>
      <c r="I22" s="151" t="inlineStr">
        <is>
          <t>NORTHAMERICA</t>
        </is>
      </c>
    </row>
    <row r="23" customFormat="1" s="151">
      <c r="A23" s="151" t="inlineStr">
        <is>
          <t>#ignore this line</t>
        </is>
      </c>
      <c r="B23" s="151" t="inlineStr">
        <is>
          <t>Alpine IV Parallel Fund, L.P.</t>
        </is>
      </c>
      <c r="C23" s="151" t="inlineStr">
        <is>
          <t>SEC_UEQ_UEQY</t>
        </is>
      </c>
      <c r="D23" s="151" t="inlineStr">
        <is>
          <t>QES Holdings, LLC</t>
        </is>
      </c>
      <c r="E23" s="151" t="inlineStr">
        <is>
          <t>L</t>
        </is>
      </c>
      <c r="F23" s="301" t="n">
        <v>0</v>
      </c>
      <c r="G23" s="301" t="n">
        <v>0</v>
      </c>
      <c r="H23" s="151" t="inlineStr">
        <is>
          <t>USD</t>
        </is>
      </c>
      <c r="I23" s="151" t="inlineStr">
        <is>
          <t>NORTHAMERICA</t>
        </is>
      </c>
    </row>
    <row r="24" customFormat="1" s="151">
      <c r="A24" s="151" t="inlineStr">
        <is>
          <t>POSITION_COMPACT</t>
        </is>
      </c>
      <c r="B24" s="151" t="inlineStr">
        <is>
          <t>Alpine IV Parallel Fund, L.P.</t>
        </is>
      </c>
      <c r="C24" s="151" t="inlineStr">
        <is>
          <t>SEC_UEQ_UEQY</t>
        </is>
      </c>
      <c r="D24" s="151" t="inlineStr">
        <is>
          <t>SSN Co-investors 2020-B, LLC</t>
        </is>
      </c>
      <c r="E24" s="151" t="inlineStr">
        <is>
          <t>L</t>
        </is>
      </c>
      <c r="F24" s="301" t="n">
        <v>3191485</v>
      </c>
      <c r="G24" s="301" t="n">
        <v>3902229</v>
      </c>
      <c r="H24" s="151" t="inlineStr">
        <is>
          <t>USD</t>
        </is>
      </c>
      <c r="I24" s="151" t="inlineStr">
        <is>
          <t>NORTHAMERICA</t>
        </is>
      </c>
    </row>
    <row r="25" customFormat="1" s="151">
      <c r="A25" s="151" t="inlineStr">
        <is>
          <t>POSITION_COMPACT</t>
        </is>
      </c>
      <c r="B25" s="151" t="inlineStr">
        <is>
          <t>Alpine IV Parallel Fund, L.P.</t>
        </is>
      </c>
      <c r="C25" s="151" t="inlineStr">
        <is>
          <t>SEC_UEQ_UEQY</t>
        </is>
      </c>
      <c r="D25" s="151" t="inlineStr">
        <is>
          <t>TQ Investors, LP</t>
        </is>
      </c>
      <c r="E25" s="151" t="inlineStr">
        <is>
          <t>L</t>
        </is>
      </c>
      <c r="F25" s="301" t="n">
        <v>725731</v>
      </c>
      <c r="G25" s="301" t="n">
        <v>889135</v>
      </c>
      <c r="H25" s="151" t="inlineStr">
        <is>
          <t>USD</t>
        </is>
      </c>
      <c r="I25" s="151" t="inlineStr">
        <is>
          <t>NORTHAMERICA</t>
        </is>
      </c>
    </row>
    <row r="26" customFormat="1" s="151">
      <c r="A26" s="151" t="inlineStr">
        <is>
          <t>POSITION_COMPACT</t>
        </is>
      </c>
      <c r="B26" s="151" t="inlineStr">
        <is>
          <t>Alpine IV Parallel Fund, L.P.</t>
        </is>
      </c>
      <c r="C26" s="151" t="inlineStr">
        <is>
          <t>SEC_UEQ_UEQY</t>
        </is>
      </c>
      <c r="D26" s="151" t="inlineStr">
        <is>
          <t>TrueFlame Studios Co-Invest Blocker, Inc.</t>
        </is>
      </c>
      <c r="E26" s="151" t="inlineStr">
        <is>
          <t>L</t>
        </is>
      </c>
      <c r="F26" s="301" t="n">
        <v>2675944</v>
      </c>
      <c r="G26" s="301" t="n">
        <v>2029900</v>
      </c>
      <c r="H26" s="151" t="inlineStr">
        <is>
          <t>USD</t>
        </is>
      </c>
      <c r="I26" s="151" t="inlineStr">
        <is>
          <t>NORTHAMERICA</t>
        </is>
      </c>
    </row>
    <row r="27" customFormat="1" s="151">
      <c r="A27" s="151" t="inlineStr">
        <is>
          <t>POSITION_COMPACT</t>
        </is>
      </c>
      <c r="B27" s="151" t="inlineStr">
        <is>
          <t>Alpine IV Parallel Fund, L.P.</t>
        </is>
      </c>
      <c r="C27" s="151" t="inlineStr">
        <is>
          <t>SEC_CSH_OTHC</t>
        </is>
      </c>
      <c r="D27" s="151" t="inlineStr">
        <is>
          <t>Cash and cash equivalents</t>
        </is>
      </c>
      <c r="E27" s="151" t="inlineStr">
        <is>
          <t>L</t>
        </is>
      </c>
      <c r="F27" s="301" t="n">
        <v>1311965</v>
      </c>
      <c r="G27" s="301" t="n">
        <v>2048619</v>
      </c>
      <c r="H27" s="151" t="inlineStr">
        <is>
          <t>USD</t>
        </is>
      </c>
      <c r="I27" s="151" t="inlineStr">
        <is>
          <t>NORTHAMERICA</t>
        </is>
      </c>
    </row>
    <row r="28" customFormat="1" s="151">
      <c r="A28" s="151" t="inlineStr">
        <is>
          <t>POSITION_COMPACT</t>
        </is>
      </c>
      <c r="B28" s="151" t="inlineStr">
        <is>
          <t>Alpine IV Parallel Fund, L.P.</t>
        </is>
      </c>
      <c r="C28" s="151" t="inlineStr">
        <is>
          <t>OTH_OTH_OTHR</t>
        </is>
      </c>
      <c r="D28" s="151" t="inlineStr">
        <is>
          <t>Other assets</t>
        </is>
      </c>
      <c r="E28" s="151" t="inlineStr">
        <is>
          <t>L</t>
        </is>
      </c>
      <c r="F28" s="301" t="n">
        <v>225235</v>
      </c>
      <c r="G28" s="301" t="n">
        <v>168984</v>
      </c>
      <c r="H28" s="151" t="inlineStr">
        <is>
          <t>USD</t>
        </is>
      </c>
      <c r="I28" s="151" t="inlineStr">
        <is>
          <t>NORTHAMERICA</t>
        </is>
      </c>
    </row>
    <row r="29" customFormat="1" s="151">
      <c r="A29" s="151" t="inlineStr">
        <is>
          <t>POSITION_COMPACT</t>
        </is>
      </c>
      <c r="B29" s="151" t="inlineStr">
        <is>
          <t>Alpine IV Parallel Fund, L.P.</t>
        </is>
      </c>
      <c r="C29" s="151" t="inlineStr">
        <is>
          <t>OTH_OTH_OTHR</t>
        </is>
      </c>
      <c r="D29" s="151" t="inlineStr">
        <is>
          <t>Total liabilities</t>
        </is>
      </c>
      <c r="E29" s="256" t="inlineStr">
        <is>
          <t>S</t>
        </is>
      </c>
      <c r="F29" s="301" t="n">
        <v>0</v>
      </c>
      <c r="G29" s="301" t="n">
        <v>-4635</v>
      </c>
      <c r="H29" s="151" t="inlineStr">
        <is>
          <t>USD</t>
        </is>
      </c>
      <c r="I29" s="151" t="inlineStr">
        <is>
          <t>NORTHAMERICA</t>
        </is>
      </c>
    </row>
    <row r="30" customFormat="1" s="151">
      <c r="A30" s="307" t="n"/>
      <c r="E30" s="256" t="n"/>
      <c r="F30" s="301" t="n"/>
      <c r="G30" s="301" t="n"/>
    </row>
    <row r="31" customFormat="1" s="151">
      <c r="A31" s="307" t="n"/>
      <c r="E31" s="256" t="n"/>
      <c r="F31" s="301" t="n"/>
      <c r="G31" s="301" t="n"/>
    </row>
    <row r="32" customFormat="1" s="151">
      <c r="A32" s="307" t="n"/>
      <c r="E32" s="256" t="n"/>
      <c r="F32" s="301" t="n"/>
      <c r="G32" s="301" t="n"/>
    </row>
    <row r="33" customFormat="1" s="151">
      <c r="A33" s="255" t="inlineStr">
        <is>
          <t># Used for TURNOVER.</t>
        </is>
      </c>
      <c r="B33" s="255" t="n"/>
      <c r="C33" s="255" t="n"/>
      <c r="D33" s="255" t="n"/>
      <c r="E33" s="255" t="n"/>
      <c r="F33" s="255" t="n"/>
      <c r="G33" s="255" t="n"/>
      <c r="H33" s="255" t="n"/>
      <c r="I33" s="243" t="n"/>
    </row>
    <row r="34" customFormat="1" s="151">
      <c r="A34" s="25" t="inlineStr">
        <is>
          <t># XLS - Cash Flow - Investments in portfolio companies</t>
        </is>
      </c>
      <c r="B34" s="287" t="n">
        <v>0</v>
      </c>
      <c r="E34" s="256" t="n"/>
      <c r="F34" s="303" t="n"/>
      <c r="G34" s="301" t="n"/>
    </row>
    <row r="35" customFormat="1" s="151">
      <c r="A35" s="25" t="inlineStr">
        <is>
          <t># XLS - Cash Flow - Distributions from portfolio companies</t>
        </is>
      </c>
      <c r="B35" s="287" t="n">
        <v>1623171.5</v>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Alpine IV Parallel Fund, L.P.</t>
        </is>
      </c>
      <c r="C39" s="153" t="inlineStr">
        <is>
          <t>SEC_UEQ_UEQ</t>
        </is>
      </c>
      <c r="D39" s="345">
        <f>ABS(B34)+ABS(B35)</f>
        <v/>
      </c>
      <c r="E39" s="349" t="n"/>
    </row>
    <row r="40" customFormat="1" s="151">
      <c r="C40" s="153" t="n"/>
      <c r="D40" s="349" t="n"/>
      <c r="E40" s="349" t="n"/>
    </row>
    <row r="41" customFormat="1" s="151">
      <c r="C41" s="153" t="n"/>
      <c r="D41" s="349" t="n"/>
      <c r="E41" s="349" t="n"/>
    </row>
    <row r="42" customFormat="1" s="151">
      <c r="A42" s="255" t="inlineStr">
        <is>
          <t># Used for HISTORICAL_RISK_PROFILE.</t>
        </is>
      </c>
      <c r="B42" s="255" t="n"/>
      <c r="C42" s="255" t="n"/>
      <c r="D42" s="255" t="n"/>
      <c r="E42" s="255" t="n"/>
      <c r="F42" s="255" t="n"/>
      <c r="G42" s="255" t="n"/>
      <c r="H42" s="255" t="n"/>
    </row>
    <row r="43" customFormat="1" s="151">
      <c r="A43" s="285" t="inlineStr">
        <is>
          <t># XLS - Income Statement - Total operating expenses</t>
        </is>
      </c>
      <c r="B43" s="288" t="n">
        <v>107331.5</v>
      </c>
      <c r="C43" s="343" t="inlineStr">
        <is>
          <t>&lt;= Expenses</t>
        </is>
      </c>
    </row>
    <row r="44" customFormat="1" s="151">
      <c r="A44" s="285" t="inlineStr">
        <is>
          <t># XLS - Income Statement - Net increase in partners' capital from operations</t>
        </is>
      </c>
      <c r="B44" s="288" t="n">
        <v>3801368.5</v>
      </c>
      <c r="C44" s="344" t="inlineStr">
        <is>
          <t>&lt;= Real Net</t>
        </is>
      </c>
    </row>
    <row r="45" customFormat="1" s="151">
      <c r="A45" s="338" t="inlineStr">
        <is>
          <t># XLS - Cash Flow - Capital contributions</t>
        </is>
      </c>
      <c r="B45" s="339" t="n">
        <v>0</v>
      </c>
      <c r="D45" s="340" t="n"/>
    </row>
    <row r="46" customFormat="1" s="151">
      <c r="A46" s="338" t="inlineStr">
        <is>
          <t># XLS - Cash Flow - Capital distributions</t>
        </is>
      </c>
      <c r="B46" s="339" t="n">
        <v>0</v>
      </c>
      <c r="C46" s="338" t="inlineStr">
        <is>
          <t>Negative!</t>
        </is>
      </c>
      <c r="D46" s="349" t="n"/>
      <c r="E46" s="349" t="n"/>
      <c r="F46" s="349" t="n"/>
      <c r="G46" s="349" t="n"/>
      <c r="H46" s="349" t="n"/>
    </row>
    <row r="47" customFormat="1" s="151">
      <c r="A47" s="338" t="n"/>
      <c r="B47" s="342" t="n"/>
      <c r="C47" s="349" t="n"/>
      <c r="D47" s="349" t="n"/>
      <c r="E47" s="349" t="n"/>
      <c r="F47" s="349" t="n"/>
      <c r="G47" s="349" t="n"/>
      <c r="H47" s="349" t="n"/>
      <c r="I47" s="349" t="n"/>
      <c r="J47" s="349" t="n"/>
    </row>
    <row r="48" customFormat="1" s="151">
      <c r="A48" s="151" t="inlineStr">
        <is>
          <t># Calculated: Start NAV</t>
        </is>
      </c>
      <c r="B48" s="341">
        <f>B49-B44-B45-B46</f>
        <v/>
      </c>
      <c r="C48" s="349" t="n"/>
      <c r="D48" s="349" t="n"/>
      <c r="E48" s="349" t="n"/>
      <c r="F48" s="349" t="n"/>
      <c r="G48" s="349" t="n"/>
      <c r="H48" s="349" t="n"/>
      <c r="I48" s="349" t="n"/>
      <c r="J48" s="349" t="n"/>
    </row>
    <row r="49" customFormat="1" s="151">
      <c r="A49" s="151" t="inlineStr">
        <is>
          <t># Calculated: End NAV</t>
        </is>
      </c>
      <c r="B49" s="341">
        <f>SUM(G5:G32)</f>
        <v/>
      </c>
      <c r="C49" s="349" t="n"/>
      <c r="D49" s="349" t="n"/>
      <c r="E49" s="349" t="n"/>
      <c r="F49" s="349" t="n"/>
      <c r="G49" s="349" t="n"/>
      <c r="H49" s="349" t="n"/>
      <c r="I49" s="349" t="n"/>
      <c r="J49" s="349" t="n"/>
    </row>
    <row r="50" customFormat="1" s="151">
      <c r="B50" s="264" t="n"/>
      <c r="C50" s="349" t="n"/>
      <c r="D50" s="349" t="n"/>
      <c r="E50" s="349" t="n"/>
      <c r="F50" s="349" t="n"/>
      <c r="G50" s="308" t="n"/>
      <c r="H50" s="308" t="n"/>
      <c r="I50" s="349" t="n"/>
      <c r="J50" s="349" t="n"/>
    </row>
    <row r="51" customFormat="1" s="28">
      <c r="A51" s="31" t="inlineStr">
        <is>
          <t>#HISTORICAL_RISK_PROFILE</t>
        </is>
      </c>
      <c r="B51" s="23" t="inlineStr">
        <is>
          <t>Custom AIF Identification</t>
        </is>
      </c>
      <c r="C51" s="32" t="inlineStr">
        <is>
          <t>Month</t>
        </is>
      </c>
      <c r="D51" s="32" t="inlineStr">
        <is>
          <t>Percentage of gross investment returns</t>
        </is>
      </c>
      <c r="E51" s="32" t="inlineStr">
        <is>
          <t>Percentage of net investment returns</t>
        </is>
      </c>
      <c r="F51" s="32" t="inlineStr">
        <is>
          <t>Percentage of NAV change</t>
        </is>
      </c>
      <c r="G51" s="32" t="inlineStr">
        <is>
          <t>Subscriptions in base currency</t>
        </is>
      </c>
      <c r="H51" s="32" t="inlineStr">
        <is>
          <t>Redemptions  in base currency</t>
        </is>
      </c>
      <c r="I51" s="25" t="n"/>
      <c r="J51" s="25" t="n"/>
      <c r="K51" s="25" t="n"/>
      <c r="L51" s="25" t="n"/>
      <c r="M51" s="25" t="n"/>
    </row>
    <row r="52">
      <c r="A52" s="33" t="inlineStr">
        <is>
          <t>#AIF fieldnummers</t>
        </is>
      </c>
      <c r="B52" s="38" t="inlineStr">
        <is>
          <t>AIF_ID</t>
        </is>
      </c>
      <c r="C52" s="235" t="inlineStr">
        <is>
          <t>219-278</t>
        </is>
      </c>
      <c r="D52" s="235" t="inlineStr">
        <is>
          <t>219-230</t>
        </is>
      </c>
      <c r="E52" s="235" t="inlineStr">
        <is>
          <t>231-242</t>
        </is>
      </c>
      <c r="F52" s="235" t="inlineStr">
        <is>
          <t>243-254</t>
        </is>
      </c>
      <c r="G52" s="235" t="inlineStr">
        <is>
          <t>255-266</t>
        </is>
      </c>
      <c r="H52" s="235" t="inlineStr">
        <is>
          <t>267-278</t>
        </is>
      </c>
    </row>
    <row r="53" customFormat="1" s="151">
      <c r="A53" s="151" t="inlineStr">
        <is>
          <t>HISTORICAL_RISK_PROFILE</t>
        </is>
      </c>
      <c r="B53" s="151" t="inlineStr">
        <is>
          <t>Alpine IV Parallel Fund, L.P.</t>
        </is>
      </c>
      <c r="C53" s="310" t="n"/>
      <c r="D53" s="311">
        <f>(B44+B43)/B48*100</f>
        <v/>
      </c>
      <c r="E53" s="311">
        <f>B44/B48*100</f>
        <v/>
      </c>
      <c r="F53" s="311">
        <f>(B49-B48)/B48*100</f>
        <v/>
      </c>
      <c r="G53" s="345">
        <f>ABS(B45)</f>
        <v/>
      </c>
      <c r="H53" s="345">
        <f>ABS(B46)</f>
        <v/>
      </c>
    </row>
    <row r="54" customFormat="1" s="151">
      <c r="D54" s="192" t="n"/>
      <c r="E54" s="192" t="n"/>
      <c r="F54" s="192" t="n"/>
      <c r="G54" s="338" t="n"/>
      <c r="H54" s="338" t="n"/>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dataValidations xWindow="794" yWindow="828" count="27">
    <dataValidation sqref="A45:A47 A49 D46:H50 I47:J50" showDropDown="0" showInputMessage="1" showErrorMessage="1" allowBlank="1" promptTitle="Mandatory" prompt="Expressed as a percentage (entered here as a number, e.g. enter 1.23% as 1.23)._x000a__x000a_The total should equal 100%."/>
    <dataValidation sqref="C43 C46:C5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7: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40:B41 B50" showDropDown="0" showInputMessage="1" showErrorMessage="1" allowBlank="1" promptTitle="Mandatory" prompt="Unique AIF id to which this record applies.  _x000a__x000a_Add new AIFs in the AIF section."/>
    <dataValidation sqref="C53: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6:B48 H53:H55" showDropDown="0" showInputMessage="1" showErrorMessage="1" allowBlank="1" promptTitle="Mandatory" prompt="Redemptions in base currency during month."/>
    <dataValidation sqref="B45 D45 G53:G55" showDropDown="0" showInputMessage="1" showErrorMessage="1" allowBlank="1" promptTitle="Mandatory" prompt="Subscriptions in base currency during month."/>
    <dataValidation sqref="F54:F55" showDropDown="0" showInputMessage="1" showErrorMessage="1" allowBlank="1" promptTitle="Mandatory" prompt="Monthly changes in NAV including the impact of subscriptions and redemptions._x000a__x000a_Expressed as a percentage (entered here as a number, e.g. enter 1.23% as 1.23)."/>
    <dataValidation sqref="E54: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53:D55 E53:F5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53: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32 D34:D35" showDropDown="0" showInputMessage="1" showErrorMessage="1" allowBlank="1" promptTitle="Mandatory" prompt="No standard. It is strongly recommended to provide the instrument short name as provided by Swift under ISO18774 when available."/>
    <dataValidation sqref="E39:E41" showDropDown="0" showInputMessage="1" showErrorMessage="1" allowBlank="1" promptTitle="Conditional" prompt="Only for sub-asset-types starting with DER_xxx.  Notional value of turnover in each relevant sub-asset-type during the reporting period in base-currency"/>
    <dataValidation sqref="D39:D41" showDropDown="0" showInputMessage="1" showErrorMessage="1" allowBlank="1" prompt="Market value of turnover in each relevant sub-asset-type during the reporting period in base-currency"/>
    <dataValidation sqref="A39:A41" showDropDown="0" showInputMessage="1" showErrorMessage="1" allowBlank="1" promptTitle="Conditional" prompt="The TURNOVER record is optional for AIFs with content type 2 and 4, and forbidden otherwise." type="list">
      <formula1>"TURNOVER,#ignore this line"</formula1>
    </dataValidation>
    <dataValidation sqref="A5 A30: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54:B55" showDropDown="0" showInputMessage="1" showErrorMessage="1" allowBlank="1" promptTitle="Mandatory" prompt="Unique AIF id to which this record applies.  _x000a__x000a_Add new AIFs in the AIF section._x000a_"/>
    <dataValidation sqref="B5:B32 B39 B53" showDropDown="0" showInputMessage="1" showErrorMessage="1" allowBlank="1" promptTitle="Mandatory" prompt="Unique AIF id to which this record applies.  _x000a__x000a_Add new AIFs in the AIF section._x000a_" type="list">
      <formula1>AIF_ID</formula1>
    </dataValidation>
    <dataValidation sqref="H6: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23"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26" showDropDown="0" showInputMessage="1" showErrorMessage="1" allowBlank="1" promptTitle="Mandatory" prompt="“L” for long_x000a_“S” for short" type="list">
      <formula1>Fund75</formula1>
    </dataValidation>
    <dataValidation sqref="F7:F27 F29:F32 G7:G22 G24:G26" showDropDown="0" showInputMessage="1" showErrorMessage="1" allowBlank="1" promptTitle="Mandatory" prompt="Position value expressed in base currency (as calculated under Article 2 AIFMD)._x000a__x000a_Value cannot be negative."/>
    <dataValidation sqref="A6:A2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5.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A36" sqref="A36"/>
    </sheetView>
  </sheetViews>
  <sheetFormatPr baseColWidth="10" defaultColWidth="0" defaultRowHeight="10.5" zeroHeight="1"/>
  <cols>
    <col width="38.816406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Alpine IV Parallel Feeder C.V.</t>
        </is>
      </c>
      <c r="C6" s="151" t="inlineStr">
        <is>
          <t>CIU_OAM_OTHR</t>
        </is>
      </c>
      <c r="D6" s="151" t="inlineStr">
        <is>
          <t>Alpine IV Parallel Fund, L.P.</t>
        </is>
      </c>
      <c r="E6" s="151" t="inlineStr">
        <is>
          <t>L</t>
        </is>
      </c>
      <c r="F6" s="286" t="n">
        <v>30058207.12</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Alpine IV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-74552.45000000001</v>
      </c>
      <c r="C16" s="343" t="inlineStr">
        <is>
          <t>&lt;= Expenses, Negative!</t>
        </is>
      </c>
    </row>
    <row r="17" customFormat="1" s="151">
      <c r="A17" s="285" t="inlineStr">
        <is>
          <t># XLS - QTD - Net Profit</t>
        </is>
      </c>
      <c r="B17" s="288" t="n">
        <v>2928050.88</v>
      </c>
      <c r="C17" s="344" t="inlineStr">
        <is>
          <t>&lt;= Real Net</t>
        </is>
      </c>
    </row>
    <row r="18" customFormat="1" s="151">
      <c r="A18" s="285" t="inlineStr">
        <is>
          <t># XLS - QTD - Deposits</t>
        </is>
      </c>
      <c r="B18" s="339" t="n">
        <v>0</v>
      </c>
      <c r="C18" s="338" t="inlineStr">
        <is>
          <t>Positive!</t>
        </is>
      </c>
      <c r="D18" s="349"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Alpine IV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5" customHeight="1">
      <c r="A36" s="346" t="n"/>
    </row>
  </sheetData>
  <dataValidations count="25">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E6:E8 E13:E14" showDropDown="0" showInputMessage="1" showErrorMessage="1" allowBlank="1" promptTitle="Mandatory" prompt="“L” for long_x000a_“S” for short" type="list">
      <formula1>Fund75</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D12" showDropDown="0" showInputMessage="1" showErrorMessage="1" allowBlank="1" prompt="Market value of turnover in each relevant sub-asset-type during the reporting period in base-currency"/>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showDropDown="0" showInputMessage="1" showErrorMessage="1" allowBlank="1" promptTitle="Mandatory" prompt="Expressed as a percentage (entered here as a number, e.g. enter 1.23% as 1.23)._x000a__x000a_The total should equal 100%."/>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6.xml><?xml version="1.0" encoding="utf-8"?>
<worksheet xmlns="http://schemas.openxmlformats.org/spreadsheetml/2006/main">
  <sheetPr>
    <tabColor theme="4" tint="-0.499984740745262"/>
    <outlinePr summaryBelow="1" summaryRight="1"/>
    <pageSetUpPr/>
  </sheetPr>
  <dimension ref="A1:U65"/>
  <sheetViews>
    <sheetView topLeftCell="A16" zoomScale="80" zoomScaleNormal="80" workbookViewId="0">
      <selection activeCell="C65" sqref="C65"/>
    </sheetView>
  </sheetViews>
  <sheetFormatPr baseColWidth="10" defaultColWidth="0" defaultRowHeight="10.5" zeroHeight="1"/>
  <cols>
    <col width="49.816406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Alpine V Parallel Fund, L.P.</t>
        </is>
      </c>
      <c r="C6" s="151" t="inlineStr">
        <is>
          <t>SEC_UEQ_UEQY</t>
        </is>
      </c>
      <c r="D6" s="151" t="inlineStr">
        <is>
          <t>Atlas Processing, Inc.</t>
        </is>
      </c>
      <c r="E6" s="151" t="inlineStr">
        <is>
          <t>L</t>
        </is>
      </c>
      <c r="F6" s="301" t="n">
        <v>1281148</v>
      </c>
      <c r="G6" s="301" t="n">
        <v>1398710</v>
      </c>
      <c r="H6" s="151" t="inlineStr">
        <is>
          <t>USD</t>
        </is>
      </c>
      <c r="I6" s="151" t="inlineStr">
        <is>
          <t>NORTHAMERICA</t>
        </is>
      </c>
      <c r="K6" s="243" t="n"/>
      <c r="L6" s="243" t="n"/>
    </row>
    <row r="7" customFormat="1" s="151">
      <c r="A7" s="151" t="inlineStr">
        <is>
          <t>POSITION_COMPACT</t>
        </is>
      </c>
      <c r="B7" s="151" t="inlineStr">
        <is>
          <t>Alpine V Parallel Fund, L.P.</t>
        </is>
      </c>
      <c r="C7" s="151" t="inlineStr">
        <is>
          <t>SEC_UEQ_UEQY</t>
        </is>
      </c>
      <c r="D7" s="151" t="inlineStr">
        <is>
          <t>Navigator KGM Co-Investors LP</t>
        </is>
      </c>
      <c r="E7" s="151" t="inlineStr">
        <is>
          <t>L</t>
        </is>
      </c>
      <c r="F7" s="301" t="n">
        <v>1105208</v>
      </c>
      <c r="G7" s="301" t="n">
        <v>855738</v>
      </c>
      <c r="H7" s="151" t="inlineStr">
        <is>
          <t>USD</t>
        </is>
      </c>
      <c r="I7" s="151" t="inlineStr">
        <is>
          <t>NORTHAMERICA</t>
        </is>
      </c>
      <c r="K7" s="243" t="n"/>
      <c r="L7" s="243" t="n"/>
    </row>
    <row r="8" customFormat="1" s="151">
      <c r="A8" s="151" t="inlineStr">
        <is>
          <t>POSITION_COMPACT</t>
        </is>
      </c>
      <c r="B8" s="151" t="inlineStr">
        <is>
          <t>Alpine V Parallel Fund, L.P.</t>
        </is>
      </c>
      <c r="C8" s="151" t="inlineStr">
        <is>
          <t>SEC_UEQ_UEQY</t>
        </is>
      </c>
      <c r="D8" s="151" t="inlineStr">
        <is>
          <t>Navigator Ross Holdings SPV, LLC</t>
        </is>
      </c>
      <c r="E8" s="151" t="inlineStr">
        <is>
          <t>L</t>
        </is>
      </c>
      <c r="F8" s="301" t="n">
        <v>1908671</v>
      </c>
      <c r="G8" s="301" t="n">
        <v>2666206</v>
      </c>
      <c r="H8" s="151" t="inlineStr">
        <is>
          <t>USD</t>
        </is>
      </c>
      <c r="I8" s="151" t="inlineStr">
        <is>
          <t>NORTHAMERICA</t>
        </is>
      </c>
      <c r="K8" s="243" t="n"/>
      <c r="L8" s="243" t="n"/>
    </row>
    <row r="9" customFormat="1" s="151">
      <c r="A9" s="151" t="inlineStr">
        <is>
          <t>POSITION_COMPACT</t>
        </is>
      </c>
      <c r="B9" s="151" t="inlineStr">
        <is>
          <t>Alpine V Parallel Fund, L.P.</t>
        </is>
      </c>
      <c r="C9" s="151" t="inlineStr">
        <is>
          <t>SEC_UEQ_UEQY</t>
        </is>
      </c>
      <c r="D9" s="151" t="inlineStr">
        <is>
          <t>Gateway Capital Title II Feeder Blocker, LLC</t>
        </is>
      </c>
      <c r="E9" s="151" t="inlineStr">
        <is>
          <t>L</t>
        </is>
      </c>
      <c r="F9" s="301" t="n">
        <v>470592</v>
      </c>
      <c r="G9" s="301" t="n">
        <v>593241</v>
      </c>
      <c r="H9" s="151" t="inlineStr">
        <is>
          <t>USD</t>
        </is>
      </c>
      <c r="I9" s="151" t="inlineStr">
        <is>
          <t>NORTHAMERICA</t>
        </is>
      </c>
      <c r="K9" s="243" t="n"/>
      <c r="L9" s="243" t="n"/>
    </row>
    <row r="10" customFormat="1" s="151">
      <c r="A10" s="151" t="inlineStr">
        <is>
          <t>POSITION_COMPACT</t>
        </is>
      </c>
      <c r="B10" s="151" t="inlineStr">
        <is>
          <t>Alpine V Parallel Fund, L.P.</t>
        </is>
      </c>
      <c r="C10" s="151" t="inlineStr">
        <is>
          <t>SEC_UEQ_UEQY</t>
        </is>
      </c>
      <c r="D10" s="151" t="inlineStr">
        <is>
          <t>Summit Growth Partners SPV II, L.P.</t>
        </is>
      </c>
      <c r="E10" s="151" t="inlineStr">
        <is>
          <t>L</t>
        </is>
      </c>
      <c r="F10" s="301" t="n">
        <v>2266669</v>
      </c>
      <c r="G10" s="301" t="n">
        <v>1317160</v>
      </c>
      <c r="H10" s="151" t="inlineStr">
        <is>
          <t>USD</t>
        </is>
      </c>
      <c r="I10" s="151" t="inlineStr">
        <is>
          <t>NORTHAMERICA</t>
        </is>
      </c>
      <c r="K10" s="243" t="n"/>
      <c r="L10" s="243" t="n"/>
    </row>
    <row r="11" customFormat="1" s="151">
      <c r="A11" s="151" t="inlineStr">
        <is>
          <t>POSITION_COMPACT</t>
        </is>
      </c>
      <c r="B11" s="151" t="inlineStr">
        <is>
          <t>Alpine V Parallel Fund, L.P.</t>
        </is>
      </c>
      <c r="C11" s="151" t="inlineStr">
        <is>
          <t>SEC_UEQ_UEQY</t>
        </is>
      </c>
      <c r="D11" s="151" t="inlineStr">
        <is>
          <t>Vela SN Investors, LLC</t>
        </is>
      </c>
      <c r="E11" s="151" t="inlineStr">
        <is>
          <t>L</t>
        </is>
      </c>
      <c r="F11" s="301" t="n">
        <v>2013185</v>
      </c>
      <c r="G11" s="301" t="n">
        <v>1971574</v>
      </c>
      <c r="H11" s="151" t="inlineStr">
        <is>
          <t>USD</t>
        </is>
      </c>
      <c r="I11" s="151" t="inlineStr">
        <is>
          <t>NORTHAMERICA</t>
        </is>
      </c>
      <c r="K11" s="243" t="n"/>
      <c r="L11" s="243" t="n"/>
    </row>
    <row r="12" customFormat="1" s="151">
      <c r="A12" s="151" t="inlineStr">
        <is>
          <t>POSITION_COMPACT</t>
        </is>
      </c>
      <c r="B12" s="151" t="inlineStr">
        <is>
          <t>Alpine V Parallel Fund, L.P.</t>
        </is>
      </c>
      <c r="C12" s="151" t="inlineStr">
        <is>
          <t>SEC_UEQ_UEQY</t>
        </is>
      </c>
      <c r="D12" s="151" t="inlineStr">
        <is>
          <t>GFS Holdings II, LLC</t>
        </is>
      </c>
      <c r="E12" s="151" t="inlineStr">
        <is>
          <t>L</t>
        </is>
      </c>
      <c r="F12" s="301" t="n">
        <v>318232</v>
      </c>
      <c r="G12" s="301" t="n">
        <v>267770</v>
      </c>
      <c r="H12" s="151" t="inlineStr">
        <is>
          <t>USD</t>
        </is>
      </c>
      <c r="I12" s="151" t="inlineStr">
        <is>
          <t>NORTHAMERICA</t>
        </is>
      </c>
      <c r="K12" s="243" t="n"/>
      <c r="L12" s="243" t="n"/>
    </row>
    <row r="13" customFormat="1" s="151">
      <c r="A13" s="151" t="inlineStr">
        <is>
          <t>POSITION_COMPACT</t>
        </is>
      </c>
      <c r="B13" s="151" t="inlineStr">
        <is>
          <t>Alpine V Parallel Fund, L.P.</t>
        </is>
      </c>
      <c r="C13" s="151" t="inlineStr">
        <is>
          <t>SEC_UEQ_UEQY</t>
        </is>
      </c>
      <c r="D13" s="151" t="inlineStr">
        <is>
          <t>MedBridge-Anodyne Holdings, LLC</t>
        </is>
      </c>
      <c r="E13" s="151" t="inlineStr">
        <is>
          <t>L</t>
        </is>
      </c>
      <c r="F13" s="301" t="n">
        <v>3502101.9</v>
      </c>
      <c r="G13" s="301" t="n">
        <v>2476422.96</v>
      </c>
      <c r="H13" s="151" t="inlineStr">
        <is>
          <t>USD</t>
        </is>
      </c>
      <c r="I13" s="151" t="inlineStr">
        <is>
          <t>NORTHAMERICA</t>
        </is>
      </c>
      <c r="K13" s="243" t="n"/>
      <c r="L13" s="243" t="n"/>
    </row>
    <row r="14" customFormat="1" s="151">
      <c r="A14" s="151" t="inlineStr">
        <is>
          <t>POSITION_COMPACT</t>
        </is>
      </c>
      <c r="B14" s="151" t="inlineStr">
        <is>
          <t>Alpine V Parallel Fund, L.P.</t>
        </is>
      </c>
      <c r="C14" s="151" t="inlineStr">
        <is>
          <t>SEC_UEQ_UEQY</t>
        </is>
      </c>
      <c r="D14" s="151" t="inlineStr">
        <is>
          <t>MedBridge-P3 Holdings, LLC</t>
        </is>
      </c>
      <c r="E14" s="151" t="inlineStr">
        <is>
          <t>L</t>
        </is>
      </c>
      <c r="F14" s="301" t="n">
        <v>1786180</v>
      </c>
      <c r="G14" s="301" t="n">
        <v>1807325</v>
      </c>
      <c r="H14" s="151" t="inlineStr">
        <is>
          <t>USD</t>
        </is>
      </c>
      <c r="I14" s="151" t="inlineStr">
        <is>
          <t>NORTHAMERICA</t>
        </is>
      </c>
      <c r="K14" s="243" t="n"/>
      <c r="L14" s="243" t="n"/>
    </row>
    <row r="15" customFormat="1" s="151">
      <c r="A15" s="151" t="inlineStr">
        <is>
          <t>POSITION_COMPACT</t>
        </is>
      </c>
      <c r="B15" s="151" t="inlineStr">
        <is>
          <t>Alpine V Parallel Fund, L.P.</t>
        </is>
      </c>
      <c r="C15" s="151" t="inlineStr">
        <is>
          <t>SEC_UEQ_UEQY</t>
        </is>
      </c>
      <c r="D15" s="151" t="inlineStr">
        <is>
          <t>MedBridge-Veridian Holdings LLC</t>
        </is>
      </c>
      <c r="E15" s="151" t="inlineStr">
        <is>
          <t>L</t>
        </is>
      </c>
      <c r="F15" s="301" t="n">
        <v>2365110</v>
      </c>
      <c r="G15" s="301" t="n">
        <v>2278153</v>
      </c>
      <c r="H15" s="151" t="inlineStr">
        <is>
          <t>USD</t>
        </is>
      </c>
      <c r="I15" s="151" t="inlineStr">
        <is>
          <t>NORTHAMERICA</t>
        </is>
      </c>
      <c r="K15" s="243" t="n"/>
      <c r="L15" s="243" t="n"/>
    </row>
    <row r="16" customFormat="1" s="151">
      <c r="A16" s="151" t="inlineStr">
        <is>
          <t>POSITION_COMPACT</t>
        </is>
      </c>
      <c r="B16" s="151" t="inlineStr">
        <is>
          <t>Alpine V Parallel Fund, L.P.</t>
        </is>
      </c>
      <c r="C16" s="151" t="inlineStr">
        <is>
          <t>SEC_UEQ_UEQY</t>
        </is>
      </c>
      <c r="D16" s="151" t="inlineStr">
        <is>
          <t>KG OL AIV 2 Blocker, L.P.</t>
        </is>
      </c>
      <c r="E16" s="151" t="inlineStr">
        <is>
          <t>L</t>
        </is>
      </c>
      <c r="F16" s="301" t="n">
        <v>1634204</v>
      </c>
      <c r="G16" s="301" t="n">
        <v>1905262</v>
      </c>
      <c r="H16" s="151" t="inlineStr">
        <is>
          <t>USD</t>
        </is>
      </c>
      <c r="I16" s="151" t="inlineStr">
        <is>
          <t>NORTHAMERICA</t>
        </is>
      </c>
      <c r="K16" s="243" t="n"/>
      <c r="L16" s="243" t="n"/>
    </row>
    <row r="17" customFormat="1" s="151">
      <c r="A17" s="151" t="inlineStr">
        <is>
          <t>POSITION_COMPACT</t>
        </is>
      </c>
      <c r="B17" s="151" t="inlineStr">
        <is>
          <t>Alpine V Parallel Fund, L.P.</t>
        </is>
      </c>
      <c r="C17" s="307" t="inlineStr">
        <is>
          <t>CIU_NAM_OTHR</t>
        </is>
      </c>
      <c r="D17" s="151" t="inlineStr">
        <is>
          <t>MHG Partners A-Z Fund F LLC</t>
        </is>
      </c>
      <c r="E17" s="151" t="inlineStr">
        <is>
          <t>L</t>
        </is>
      </c>
      <c r="F17" s="301" t="n">
        <v>1560541</v>
      </c>
      <c r="G17" s="301" t="n">
        <v>2411938</v>
      </c>
      <c r="H17" s="151" t="inlineStr">
        <is>
          <t>USD</t>
        </is>
      </c>
      <c r="I17" s="151" t="inlineStr">
        <is>
          <t>NORTHAMERICA</t>
        </is>
      </c>
      <c r="K17" s="243" t="n"/>
      <c r="L17" s="243" t="n"/>
    </row>
    <row r="18" customFormat="1" s="151">
      <c r="A18" s="151" t="inlineStr">
        <is>
          <t>POSITION_COMPACT</t>
        </is>
      </c>
      <c r="B18" s="151" t="inlineStr">
        <is>
          <t>Alpine V Parallel Fund, L.P.</t>
        </is>
      </c>
      <c r="C18" s="151" t="inlineStr">
        <is>
          <t>SEC_UEQ_UEQY</t>
        </is>
      </c>
      <c r="D18" s="151" t="inlineStr">
        <is>
          <t>Nextel Capital, LLC</t>
        </is>
      </c>
      <c r="E18" s="151" t="inlineStr">
        <is>
          <t>L</t>
        </is>
      </c>
      <c r="F18" s="301" t="n">
        <v>2217678</v>
      </c>
      <c r="G18" s="301" t="n">
        <v>1594919</v>
      </c>
      <c r="H18" s="151" t="inlineStr">
        <is>
          <t>USD</t>
        </is>
      </c>
      <c r="I18" s="151" t="inlineStr">
        <is>
          <t>NORTHAMERICA</t>
        </is>
      </c>
      <c r="K18" s="243" t="n"/>
      <c r="L18" s="243" t="n"/>
    </row>
    <row r="19" customFormat="1" s="151">
      <c r="A19" s="151" t="inlineStr">
        <is>
          <t>POSITION_COMPACT</t>
        </is>
      </c>
      <c r="B19" s="151" t="inlineStr">
        <is>
          <t>Alpine V Parallel Fund, L.P.</t>
        </is>
      </c>
      <c r="C19" s="151" t="inlineStr">
        <is>
          <t>SEC_UEQ_UEQY</t>
        </is>
      </c>
      <c r="D19" s="151" t="inlineStr">
        <is>
          <t>NewDawn American Aerogel SPV, LLC</t>
        </is>
      </c>
      <c r="E19" s="151" t="inlineStr">
        <is>
          <t>L</t>
        </is>
      </c>
      <c r="F19" s="301" t="n">
        <v>1208352</v>
      </c>
      <c r="G19" s="301" t="n">
        <v>1188289</v>
      </c>
      <c r="H19" s="151" t="inlineStr">
        <is>
          <t>USD</t>
        </is>
      </c>
      <c r="I19" s="151" t="inlineStr">
        <is>
          <t>NORTHAMERICA</t>
        </is>
      </c>
      <c r="K19" s="243" t="n"/>
      <c r="L19" s="243" t="n"/>
    </row>
    <row r="20" customFormat="1" s="151">
      <c r="A20" s="151" t="inlineStr">
        <is>
          <t>POSITION_COMPACT</t>
        </is>
      </c>
      <c r="B20" s="151" t="inlineStr">
        <is>
          <t>Alpine V Parallel Fund, L.P.</t>
        </is>
      </c>
      <c r="C20" s="307" t="inlineStr">
        <is>
          <t>CIU_OAM_OTHR</t>
        </is>
      </c>
      <c r="D20" s="151" t="inlineStr">
        <is>
          <t>NSH IV GPC BetterNight Investor, LLC</t>
        </is>
      </c>
      <c r="E20" s="151" t="inlineStr">
        <is>
          <t>L</t>
        </is>
      </c>
      <c r="F20" s="301" t="n">
        <v>879407</v>
      </c>
      <c r="G20" s="301" t="n">
        <v>1285733</v>
      </c>
      <c r="H20" s="151" t="inlineStr">
        <is>
          <t>USD</t>
        </is>
      </c>
      <c r="I20" s="151" t="inlineStr">
        <is>
          <t>NORTHAMERICA</t>
        </is>
      </c>
      <c r="K20" s="243" t="n"/>
      <c r="L20" s="243" t="n"/>
    </row>
    <row r="21" customFormat="1" s="151">
      <c r="A21" s="151" t="inlineStr">
        <is>
          <t>POSITION_COMPACT</t>
        </is>
      </c>
      <c r="B21" s="151" t="inlineStr">
        <is>
          <t>Alpine V Parallel Fund, L.P.</t>
        </is>
      </c>
      <c r="C21" s="307" t="inlineStr">
        <is>
          <t>CIU_NAM_OTHR</t>
        </is>
      </c>
      <c r="D21" s="151" t="inlineStr">
        <is>
          <t>Page Dawson Co-Investors, L.P.</t>
        </is>
      </c>
      <c r="E21" s="151" t="inlineStr">
        <is>
          <t>L</t>
        </is>
      </c>
      <c r="F21" s="301" t="n">
        <v>2759094</v>
      </c>
      <c r="G21" s="301" t="n">
        <v>3146015</v>
      </c>
      <c r="H21" s="151" t="inlineStr">
        <is>
          <t>USD</t>
        </is>
      </c>
      <c r="I21" s="151" t="inlineStr">
        <is>
          <t>NORTHAMERICA</t>
        </is>
      </c>
      <c r="K21" s="243" t="n"/>
      <c r="L21" s="243" t="n"/>
    </row>
    <row r="22" customFormat="1" s="151">
      <c r="A22" s="151" t="inlineStr">
        <is>
          <t>POSITION_COMPACT</t>
        </is>
      </c>
      <c r="B22" s="151" t="inlineStr">
        <is>
          <t>Alpine V Parallel Fund, L.P.</t>
        </is>
      </c>
      <c r="C22" s="151" t="inlineStr">
        <is>
          <t>SEC_UEQ_UEQY</t>
        </is>
      </c>
      <c r="D22" s="151" t="inlineStr">
        <is>
          <t>Pathway Health, Inc</t>
        </is>
      </c>
      <c r="E22" s="151" t="inlineStr">
        <is>
          <t>L</t>
        </is>
      </c>
      <c r="F22" s="301" t="n">
        <v>1135677</v>
      </c>
      <c r="G22" s="301" t="n">
        <v>781138</v>
      </c>
      <c r="H22" s="151" t="inlineStr">
        <is>
          <t>USD</t>
        </is>
      </c>
      <c r="I22" s="151" t="inlineStr">
        <is>
          <t>NORTHAMERICA</t>
        </is>
      </c>
      <c r="K22" s="243" t="n"/>
      <c r="L22" s="243" t="n"/>
    </row>
    <row r="23" customFormat="1" s="151">
      <c r="A23" s="151" t="inlineStr">
        <is>
          <t>POSITION_COMPACT</t>
        </is>
      </c>
      <c r="B23" s="151" t="inlineStr">
        <is>
          <t>Alpine V Parallel Fund, L.P.</t>
        </is>
      </c>
      <c r="C23" s="151" t="inlineStr">
        <is>
          <t>SEC_UEQ_UEQY</t>
        </is>
      </c>
      <c r="D23" s="151" t="inlineStr">
        <is>
          <t>Preston Patterson Acquisition, LLC</t>
        </is>
      </c>
      <c r="E23" s="151" t="inlineStr">
        <is>
          <t>L</t>
        </is>
      </c>
      <c r="F23" s="301" t="n">
        <v>4899413</v>
      </c>
      <c r="G23" s="301" t="n">
        <v>3898120</v>
      </c>
      <c r="H23" s="151" t="inlineStr">
        <is>
          <t>USD</t>
        </is>
      </c>
      <c r="I23" s="151" t="inlineStr">
        <is>
          <t>NORTHAMERICA</t>
        </is>
      </c>
      <c r="K23" s="243" t="n"/>
      <c r="L23" s="243" t="n"/>
    </row>
    <row r="24" customFormat="1" s="151">
      <c r="A24" s="151" t="inlineStr">
        <is>
          <t>POSITION_COMPACT</t>
        </is>
      </c>
      <c r="B24" s="151" t="inlineStr">
        <is>
          <t>Alpine V Parallel Fund, L.P.</t>
        </is>
      </c>
      <c r="C24" s="151" t="inlineStr">
        <is>
          <t>SEC_UEQ_UEQY</t>
        </is>
      </c>
      <c r="D24" s="151" t="inlineStr">
        <is>
          <t>PixelVault Holdco LLC</t>
        </is>
      </c>
      <c r="E24" s="151" t="inlineStr">
        <is>
          <t>L</t>
        </is>
      </c>
      <c r="F24" s="301" t="n">
        <v>1106842</v>
      </c>
      <c r="G24" s="301" t="n">
        <v>1080236</v>
      </c>
      <c r="H24" s="151" t="inlineStr">
        <is>
          <t>USD</t>
        </is>
      </c>
      <c r="I24" s="151" t="inlineStr">
        <is>
          <t>NORTHAMERICA</t>
        </is>
      </c>
      <c r="K24" s="243" t="n"/>
      <c r="L24" s="243" t="n"/>
    </row>
    <row r="25" customFormat="1" s="151">
      <c r="A25" s="151" t="inlineStr">
        <is>
          <t>POSITION_COMPACT</t>
        </is>
      </c>
      <c r="B25" s="151" t="inlineStr">
        <is>
          <t>Alpine V Parallel Fund, L.P.</t>
        </is>
      </c>
      <c r="C25" s="151" t="inlineStr">
        <is>
          <t>SEC_UEQ_UEQY</t>
        </is>
      </c>
      <c r="D25" s="151" t="inlineStr">
        <is>
          <t>Sani-Tech Investors, LLC</t>
        </is>
      </c>
      <c r="E25" s="151" t="inlineStr">
        <is>
          <t>L</t>
        </is>
      </c>
      <c r="F25" s="301" t="n">
        <v>978862</v>
      </c>
      <c r="G25" s="301" t="n">
        <v>722112</v>
      </c>
      <c r="H25" s="151" t="inlineStr">
        <is>
          <t>USD</t>
        </is>
      </c>
      <c r="I25" s="151" t="inlineStr">
        <is>
          <t>NORTHAMERICA</t>
        </is>
      </c>
      <c r="K25" s="243" t="n"/>
      <c r="L25" s="243" t="n"/>
    </row>
    <row r="26" customFormat="1" s="151">
      <c r="A26" s="151" t="inlineStr">
        <is>
          <t>POSITION_COMPACT</t>
        </is>
      </c>
      <c r="B26" s="151" t="inlineStr">
        <is>
          <t>Alpine V Parallel Fund, L.P.</t>
        </is>
      </c>
      <c r="C26" s="151" t="inlineStr">
        <is>
          <t>SEC_UEQ_UEQY</t>
        </is>
      </c>
      <c r="D26" s="151" t="inlineStr">
        <is>
          <t>Platinum Parent LLC</t>
        </is>
      </c>
      <c r="E26" s="151" t="inlineStr">
        <is>
          <t>L</t>
        </is>
      </c>
      <c r="F26" s="301" t="n">
        <v>871256</v>
      </c>
      <c r="G26" s="301" t="n">
        <v>1454718</v>
      </c>
      <c r="H26" s="151" t="inlineStr">
        <is>
          <t>USD</t>
        </is>
      </c>
      <c r="I26" s="151" t="inlineStr">
        <is>
          <t>NORTHAMERICA</t>
        </is>
      </c>
      <c r="K26" s="243" t="n"/>
      <c r="L26" s="243" t="n"/>
    </row>
    <row r="27" customFormat="1" s="151">
      <c r="A27" s="151" t="inlineStr">
        <is>
          <t>POSITION_COMPACT</t>
        </is>
      </c>
      <c r="B27" s="151" t="inlineStr">
        <is>
          <t>Alpine V Parallel Fund, L.P.</t>
        </is>
      </c>
      <c r="C27" s="151" t="inlineStr">
        <is>
          <t>SEC_UEQ_UEQY</t>
        </is>
      </c>
      <c r="D27" s="151" t="inlineStr">
        <is>
          <t>TS-NP, LLC</t>
        </is>
      </c>
      <c r="E27" s="151" t="inlineStr">
        <is>
          <t>L</t>
        </is>
      </c>
      <c r="F27" s="301" t="n">
        <v>1885961</v>
      </c>
      <c r="G27" s="301" t="n">
        <v>1117434</v>
      </c>
      <c r="H27" s="151" t="inlineStr">
        <is>
          <t>USD</t>
        </is>
      </c>
      <c r="I27" s="151" t="inlineStr">
        <is>
          <t>NORTHAMERICA</t>
        </is>
      </c>
      <c r="K27" s="243" t="n"/>
      <c r="L27" s="243" t="n"/>
    </row>
    <row r="28" customFormat="1" s="151">
      <c r="A28" s="151" t="inlineStr">
        <is>
          <t>POSITION_COMPACT</t>
        </is>
      </c>
      <c r="B28" s="151" t="inlineStr">
        <is>
          <t>Alpine V Parallel Fund, L.P.</t>
        </is>
      </c>
      <c r="C28" s="151" t="inlineStr">
        <is>
          <t>SEC_UEQ_UEQY</t>
        </is>
      </c>
      <c r="D28" s="151" t="inlineStr">
        <is>
          <t>Three Fox Brands Holdings, LLC</t>
        </is>
      </c>
      <c r="E28" s="151" t="inlineStr">
        <is>
          <t>L</t>
        </is>
      </c>
      <c r="F28" s="301" t="n">
        <v>1752539</v>
      </c>
      <c r="G28" s="301" t="n">
        <v>1310572</v>
      </c>
      <c r="H28" s="151" t="inlineStr">
        <is>
          <t>USD</t>
        </is>
      </c>
      <c r="I28" s="151" t="inlineStr">
        <is>
          <t>NORTHAMERICA</t>
        </is>
      </c>
      <c r="K28" s="243" t="n"/>
      <c r="L28" s="243" t="n"/>
    </row>
    <row r="29" customFormat="1" s="151">
      <c r="A29" s="151" t="inlineStr">
        <is>
          <t>POSITION_COMPACT</t>
        </is>
      </c>
      <c r="B29" s="151" t="inlineStr">
        <is>
          <t>Alpine V Parallel Fund, L.P.</t>
        </is>
      </c>
      <c r="C29" s="151" t="inlineStr">
        <is>
          <t>SEC_CSH_OTHC</t>
        </is>
      </c>
      <c r="D29" s="151" t="inlineStr">
        <is>
          <t>Cash and cash equivalents</t>
        </is>
      </c>
      <c r="E29" s="256" t="inlineStr">
        <is>
          <t>L</t>
        </is>
      </c>
      <c r="F29" s="301" t="n">
        <v>3646220.73</v>
      </c>
      <c r="G29" s="301" t="n">
        <v>3656119.71</v>
      </c>
      <c r="H29" s="151" t="inlineStr">
        <is>
          <t>USD</t>
        </is>
      </c>
      <c r="I29" s="151" t="inlineStr">
        <is>
          <t>NORTHAMERICA</t>
        </is>
      </c>
    </row>
    <row r="30" customFormat="1" s="151">
      <c r="A30" s="151" t="inlineStr">
        <is>
          <t>POSITION_COMPACT</t>
        </is>
      </c>
      <c r="B30" s="151" t="inlineStr">
        <is>
          <t>Alpine V Parallel Fund, L.P.</t>
        </is>
      </c>
      <c r="C30" s="151" t="inlineStr">
        <is>
          <t>OTH_OTH_OTHR</t>
        </is>
      </c>
      <c r="D30" s="151" t="inlineStr">
        <is>
          <t>Other assets</t>
        </is>
      </c>
      <c r="E30" s="256" t="inlineStr">
        <is>
          <t>L</t>
        </is>
      </c>
      <c r="F30" s="301" t="n">
        <v>121682</v>
      </c>
      <c r="G30" s="301" t="n">
        <v>154276</v>
      </c>
      <c r="H30" s="151" t="inlineStr">
        <is>
          <t>USD</t>
        </is>
      </c>
      <c r="I30" s="151" t="inlineStr">
        <is>
          <t>NORTHAMERICA</t>
        </is>
      </c>
    </row>
    <row r="31" customFormat="1" s="151">
      <c r="A31" s="151" t="inlineStr">
        <is>
          <t>POSITION_COMPACT</t>
        </is>
      </c>
      <c r="B31" s="151" t="inlineStr">
        <is>
          <t>Alpine V Parallel Fund, L.P.</t>
        </is>
      </c>
      <c r="C31" s="151" t="inlineStr">
        <is>
          <t>OTH_OTH_OTHR</t>
        </is>
      </c>
      <c r="D31" s="151" t="inlineStr">
        <is>
          <t>Other liabilities</t>
        </is>
      </c>
      <c r="E31" s="256" t="inlineStr">
        <is>
          <t>S</t>
        </is>
      </c>
      <c r="F31" s="301" t="n">
        <v>0</v>
      </c>
      <c r="G31" s="301" t="n">
        <v>-25652</v>
      </c>
      <c r="H31" s="151" t="inlineStr">
        <is>
          <t>USD</t>
        </is>
      </c>
      <c r="I31" s="151" t="inlineStr">
        <is>
          <t>NORTHAMERICA</t>
        </is>
      </c>
    </row>
    <row r="32" customFormat="1" s="151">
      <c r="E32" s="256" t="n"/>
      <c r="F32" s="301" t="n"/>
      <c r="G32" s="301" t="n"/>
    </row>
    <row r="33" customFormat="1" s="151">
      <c r="E33" s="256" t="n"/>
      <c r="F33" s="301" t="n"/>
      <c r="G33" s="301" t="n"/>
    </row>
    <row r="34" customFormat="1" s="151">
      <c r="E34" s="256" t="n"/>
      <c r="F34" s="301" t="n"/>
      <c r="G34" s="301" t="n"/>
    </row>
    <row r="35" customFormat="1" s="151">
      <c r="A35" s="255" t="inlineStr">
        <is>
          <t># Used for TURNOVER.</t>
        </is>
      </c>
      <c r="B35" s="255" t="n"/>
      <c r="C35" s="255" t="n"/>
      <c r="D35" s="255" t="n"/>
      <c r="E35" s="255" t="n"/>
      <c r="F35" s="255" t="n"/>
      <c r="G35" s="255" t="n"/>
      <c r="H35" s="255" t="n"/>
    </row>
    <row r="36" customFormat="1" s="151">
      <c r="A36" s="25" t="inlineStr">
        <is>
          <t># XLS - Cash Flow - Investments in portfolio companies</t>
        </is>
      </c>
      <c r="B36" s="287" t="n">
        <v>-161065.62</v>
      </c>
      <c r="E36" s="256" t="n"/>
      <c r="F36" s="303" t="n"/>
      <c r="G36" s="301" t="n"/>
    </row>
    <row r="37" customFormat="1" s="151">
      <c r="A37" s="25" t="inlineStr">
        <is>
          <t># XLS - Cash Flow - Distributions from portfolio companies</t>
        </is>
      </c>
      <c r="B37" s="287" t="n">
        <v>833096</v>
      </c>
      <c r="E37" s="256" t="n"/>
      <c r="F37" s="303" t="n"/>
      <c r="G37" s="301" t="n"/>
    </row>
    <row r="38">
      <c r="F38" s="302" t="n"/>
      <c r="G38" s="302" t="n"/>
    </row>
    <row r="39">
      <c r="A39" s="23" t="inlineStr">
        <is>
          <t>#TURNOVER</t>
        </is>
      </c>
      <c r="B39" s="23" t="inlineStr">
        <is>
          <t>Custom AIF Identification</t>
        </is>
      </c>
      <c r="C39" s="35" t="inlineStr">
        <is>
          <t>Sub-asset type code of turnover</t>
        </is>
      </c>
      <c r="D39" s="23" t="inlineStr">
        <is>
          <t>Market value of turnover</t>
        </is>
      </c>
      <c r="E39" s="23" t="inlineStr">
        <is>
          <t>Notional value of turnover</t>
        </is>
      </c>
      <c r="F39" s="28" t="n"/>
      <c r="G39" s="28" t="n"/>
      <c r="H39" s="28" t="n"/>
      <c r="I39" s="28" t="n"/>
      <c r="J39" s="28" t="n"/>
      <c r="K39" s="28" t="n"/>
      <c r="L39" s="28" t="n"/>
      <c r="M39" s="28" t="n"/>
    </row>
    <row r="40">
      <c r="A40" s="29" t="inlineStr">
        <is>
          <t>#AIF fieldnummers</t>
        </is>
      </c>
      <c r="B40" s="38" t="inlineStr">
        <is>
          <t>AIF_ID</t>
        </is>
      </c>
      <c r="C40" s="29" t="n">
        <v>125</v>
      </c>
      <c r="D40" s="29" t="n">
        <v>126</v>
      </c>
      <c r="E40" s="29" t="n">
        <v>127</v>
      </c>
    </row>
    <row r="41" customFormat="1" s="151">
      <c r="A41" s="151" t="inlineStr">
        <is>
          <t>TURNOVER</t>
        </is>
      </c>
      <c r="B41" s="151" t="inlineStr">
        <is>
          <t>Alpine V Parallel Fund, L.P.</t>
        </is>
      </c>
      <c r="C41" s="153" t="inlineStr">
        <is>
          <t>SEC_UEQ_UEQ</t>
        </is>
      </c>
      <c r="D41" s="345">
        <f>ABS(B36)+ABS(B37)</f>
        <v/>
      </c>
      <c r="E41" s="349" t="n"/>
    </row>
    <row r="42" customFormat="1" s="151">
      <c r="C42" s="153" t="n"/>
      <c r="D42" s="349" t="n"/>
      <c r="E42" s="349" t="n"/>
    </row>
    <row r="43" customFormat="1" s="151">
      <c r="C43" s="153" t="n"/>
      <c r="D43" s="349" t="n"/>
      <c r="E43" s="349" t="n"/>
    </row>
    <row r="44" customFormat="1" s="151">
      <c r="A44" s="255" t="inlineStr">
        <is>
          <t># Used for HISTORICAL_RISK_PROFILE.</t>
        </is>
      </c>
      <c r="B44" s="255" t="n"/>
      <c r="C44" s="255" t="n"/>
      <c r="D44" s="255" t="n"/>
      <c r="E44" s="255" t="n"/>
      <c r="F44" s="255" t="n"/>
      <c r="G44" s="255" t="n"/>
      <c r="H44" s="255" t="n"/>
    </row>
    <row r="45" customFormat="1" s="151">
      <c r="A45" s="285" t="inlineStr">
        <is>
          <t># XLS - Income Statement - Total operating expenses</t>
        </is>
      </c>
      <c r="B45" s="288" t="n">
        <v>244888.7</v>
      </c>
      <c r="C45" s="343" t="inlineStr">
        <is>
          <t>&lt;= Expenses</t>
        </is>
      </c>
    </row>
    <row r="46" customFormat="1" s="151">
      <c r="A46" s="285" t="inlineStr">
        <is>
          <t># XLS - Income Statement - Net increase (decrease) in partners' capital from operations</t>
        </is>
      </c>
      <c r="B46" s="288" t="n">
        <v>1065756.62</v>
      </c>
      <c r="C46" s="344" t="inlineStr">
        <is>
          <t>&lt;= Real Net</t>
        </is>
      </c>
    </row>
    <row r="47" customFormat="1" s="151">
      <c r="A47" s="338" t="inlineStr">
        <is>
          <t># XLS - Cash Flow - Capital contributions</t>
        </is>
      </c>
      <c r="B47" s="339" t="n">
        <v>2105250</v>
      </c>
      <c r="D47" s="340" t="n"/>
    </row>
    <row r="48" customFormat="1" s="151">
      <c r="A48" s="338" t="inlineStr">
        <is>
          <t># XLS - Cash Flow - Capital distributions</t>
        </is>
      </c>
      <c r="B48" s="339" t="n">
        <v>0</v>
      </c>
      <c r="C48" s="338" t="inlineStr">
        <is>
          <t>Negative!</t>
        </is>
      </c>
      <c r="D48" s="349" t="n"/>
      <c r="E48" s="349" t="n"/>
      <c r="F48" s="349" t="n"/>
      <c r="G48" s="349" t="n"/>
      <c r="H48" s="349" t="n"/>
    </row>
    <row r="49" customFormat="1" s="151">
      <c r="A49" s="338" t="n"/>
      <c r="B49" s="342" t="n"/>
      <c r="C49" s="349" t="n"/>
      <c r="D49" s="349" t="n"/>
      <c r="E49" s="349" t="n"/>
      <c r="F49" s="349" t="n"/>
      <c r="G49" s="349" t="n"/>
      <c r="H49" s="349" t="n"/>
    </row>
    <row r="50" customFormat="1" s="151">
      <c r="A50" s="151" t="inlineStr">
        <is>
          <t># Calculated: Start NAV</t>
        </is>
      </c>
      <c r="B50" s="341">
        <f>B51-B46-B47-B48</f>
        <v/>
      </c>
      <c r="C50" s="349" t="n"/>
      <c r="D50" s="349" t="n"/>
      <c r="E50" s="349" t="n"/>
      <c r="F50" s="349" t="n"/>
      <c r="G50" s="349" t="n"/>
      <c r="H50" s="349" t="n"/>
      <c r="I50" s="349" t="n"/>
      <c r="J50" s="349" t="n"/>
    </row>
    <row r="51" customFormat="1" s="151">
      <c r="A51" s="151" t="inlineStr">
        <is>
          <t># Calculated: End NAV</t>
        </is>
      </c>
      <c r="B51" s="341">
        <f>SUM(G5:G34)</f>
        <v/>
      </c>
      <c r="C51" s="349" t="n"/>
      <c r="D51" s="349" t="n"/>
      <c r="E51" s="349" t="n"/>
      <c r="F51" s="349" t="n"/>
      <c r="G51" s="349" t="n"/>
      <c r="H51" s="349" t="n"/>
      <c r="I51" s="349" t="n"/>
      <c r="J51" s="349" t="n"/>
    </row>
    <row r="52" customFormat="1" s="28">
      <c r="A52" s="151" t="n"/>
      <c r="B52" s="264" t="n"/>
      <c r="C52" s="349" t="n"/>
      <c r="D52" s="349" t="n"/>
      <c r="E52" s="349" t="n"/>
      <c r="F52" s="349" t="n"/>
      <c r="G52" s="308" t="n"/>
      <c r="H52" s="308" t="n"/>
      <c r="I52" s="25" t="n"/>
      <c r="J52" s="25" t="n"/>
      <c r="K52" s="25" t="n"/>
      <c r="L52" s="25" t="n"/>
      <c r="M52" s="25" t="n"/>
    </row>
    <row r="53">
      <c r="A53" s="31" t="inlineStr">
        <is>
          <t>#HISTORICAL_RISK_PROFILE</t>
        </is>
      </c>
      <c r="B53" s="23" t="inlineStr">
        <is>
          <t>Custom AIF Identification</t>
        </is>
      </c>
      <c r="C53" s="32" t="inlineStr">
        <is>
          <t>Month</t>
        </is>
      </c>
      <c r="D53" s="32" t="inlineStr">
        <is>
          <t>Percentage of gross investment returns</t>
        </is>
      </c>
      <c r="E53" s="32" t="inlineStr">
        <is>
          <t>Percentage of net investment returns</t>
        </is>
      </c>
      <c r="F53" s="32" t="inlineStr">
        <is>
          <t>Percentage of NAV change</t>
        </is>
      </c>
      <c r="G53" s="32" t="inlineStr">
        <is>
          <t>Subscriptions in base currency</t>
        </is>
      </c>
      <c r="H53" s="32" t="inlineStr">
        <is>
          <t>Redemptions  in base currency</t>
        </is>
      </c>
    </row>
    <row r="54" customFormat="1" s="151">
      <c r="A54" s="33" t="inlineStr">
        <is>
          <t>#AIF fieldnummers</t>
        </is>
      </c>
      <c r="B54" s="38" t="inlineStr">
        <is>
          <t>AIF_ID</t>
        </is>
      </c>
      <c r="C54" s="235" t="inlineStr">
        <is>
          <t>219-278</t>
        </is>
      </c>
      <c r="D54" s="235" t="inlineStr">
        <is>
          <t>219-230</t>
        </is>
      </c>
      <c r="E54" s="235" t="inlineStr">
        <is>
          <t>231-242</t>
        </is>
      </c>
      <c r="F54" s="235" t="inlineStr">
        <is>
          <t>243-254</t>
        </is>
      </c>
      <c r="G54" s="235" t="inlineStr">
        <is>
          <t>255-266</t>
        </is>
      </c>
      <c r="H54" s="235" t="inlineStr">
        <is>
          <t>267-278</t>
        </is>
      </c>
    </row>
    <row r="55" customFormat="1" s="151">
      <c r="A55" s="151" t="inlineStr">
        <is>
          <t>HISTORICAL_RISK_PROFILE</t>
        </is>
      </c>
      <c r="B55" s="151" t="inlineStr">
        <is>
          <t>Alpine V Parallel Fund, L.P.</t>
        </is>
      </c>
      <c r="C55" s="310" t="n"/>
      <c r="D55" s="311">
        <f>(B46+B45)/B50*100</f>
        <v/>
      </c>
      <c r="E55" s="311">
        <f>B46/B50*100</f>
        <v/>
      </c>
      <c r="F55" s="311">
        <f>(B51-B50)/B50*100</f>
        <v/>
      </c>
      <c r="G55" s="345">
        <f>ABS(B47)</f>
        <v/>
      </c>
      <c r="H55" s="345">
        <f>ABS(B48)</f>
        <v/>
      </c>
    </row>
    <row r="56" customFormat="1" s="151">
      <c r="D56" s="192" t="n"/>
      <c r="E56" s="192" t="n"/>
      <c r="F56" s="192" t="n"/>
      <c r="G56" s="338" t="n"/>
      <c r="H56" s="338" t="n"/>
    </row>
    <row r="57" customFormat="1" s="41">
      <c r="A57" s="40" t="inlineStr">
        <is>
          <t>#END OF  TEMPLATE</t>
        </is>
      </c>
      <c r="B57" s="40" t="n"/>
      <c r="C57" s="40" t="n"/>
      <c r="D57" s="40" t="n"/>
      <c r="E57" s="40" t="inlineStr">
        <is>
          <t>#END OF  TEMPLATE</t>
        </is>
      </c>
      <c r="F57" s="40" t="n"/>
      <c r="G57" s="40" t="n"/>
      <c r="H57" s="40" t="n"/>
      <c r="I57" s="40" t="n"/>
      <c r="J57" s="40" t="inlineStr">
        <is>
          <t>#END OF  TEMPLATE</t>
        </is>
      </c>
      <c r="K57" s="40" t="n"/>
      <c r="L57" s="40" t="n"/>
      <c r="M57" s="40" t="n"/>
      <c r="N57" s="40" t="n"/>
      <c r="P57" s="40" t="inlineStr">
        <is>
          <t>#END OF  TEMPLATE</t>
        </is>
      </c>
    </row>
    <row r="58"/>
    <row r="59"/>
    <row r="60"/>
    <row r="61"/>
    <row r="62"/>
    <row r="63"/>
    <row r="64">
      <c r="C64" s="151" t="n"/>
      <c r="D64" s="307" t="n"/>
    </row>
    <row r="65">
      <c r="C65" s="151" t="n"/>
      <c r="D65" s="307" t="n"/>
    </row>
  </sheetData>
  <dataValidations xWindow="110" yWindow="1025" count="25">
    <dataValidation sqref="B56" showDropDown="0" showInputMessage="1" showErrorMessage="1" allowBlank="1" promptTitle="Mandatory" prompt="Unique AIF id to which this record applies.  _x000a__x000a_Add new AIFs in the AIF section._x000a_"/>
    <dataValidation sqref="B52" showDropDown="0" showInputMessage="1" showErrorMessage="1" allowBlank="1" promptTitle="Mandatory" prompt="Unique AIF id to which this record applies.  _x000a__x000a_Add new AIFs in the AIF section."/>
    <dataValidation sqref="C36:C37 C64:C6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29:E34 E36:E3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6:F3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6:E28" showDropDown="0" showInputMessage="1" showErrorMessage="1" allowBlank="1" promptTitle="Mandatory" prompt="“L” for long_x000a_“S” for short" type="list">
      <formula1>Fund75</formula1>
    </dataValidation>
    <dataValidation sqref="I6:I2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2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47:A49 A51 D48:H52 I50:J51" showDropDown="0" showInputMessage="1" showErrorMessage="1" allowBlank="1" promptTitle="Mandatory" prompt="Expressed as a percentage (entered here as a number, e.g. enter 1.23% as 1.23)._x000a__x000a_The total should equal 100%."/>
    <dataValidation sqref="A41:A43" showDropDown="0" showInputMessage="1" showErrorMessage="1" allowBlank="1" promptTitle="Conditional" prompt="The TURNOVER record is optional for AIFs with content type 2 and 4, and forbidden otherwise." type="list">
      <formula1>"TURNOVER,#ignore this line"</formula1>
    </dataValidation>
    <dataValidation sqref="D41:D43" showDropDown="0" showInputMessage="1" showErrorMessage="1" allowBlank="1" prompt="Market value of turnover in each relevant sub-asset-type during the reporting period in base-currency"/>
    <dataValidation sqref="E41:E43" showDropDown="0" showInputMessage="1" showErrorMessage="1" allowBlank="1" promptTitle="Conditional" prompt="Only for sub-asset-types starting with DER_xxx.  Notional value of turnover in each relevant sub-asset-type during the reporting period in base-currency"/>
    <dataValidation sqref="D6:D34 D36:D37 D64:D65" showDropDown="0" showInputMessage="1" showErrorMessage="1" allowBlank="1" promptTitle="Mandatory" prompt="No standard. It is strongly recommended to provide the instrument short name as provided by Swift under ISO18774 when available."/>
    <dataValidation sqref="A55:A56"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5:D56 E55:F5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6"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6" showDropDown="0" showInputMessage="1" showErrorMessage="1" allowBlank="1" promptTitle="Mandatory" prompt="Monthly changes in NAV including the impact of subscriptions and redemptions._x000a__x000a_Expressed as a percentage (entered here as a number, e.g. enter 1.23% as 1.23)."/>
    <dataValidation sqref="B47 D47 G55:G56" showDropDown="0" showInputMessage="1" showErrorMessage="1" allowBlank="1" promptTitle="Mandatory" prompt="Subscriptions in base currency during month."/>
    <dataValidation sqref="B48:B50 H55:H56" showDropDown="0" showInputMessage="1" showErrorMessage="1" allowBlank="1" promptTitle="Mandatory" prompt="Redemptions in base currency during month."/>
    <dataValidation sqref="C55:C56"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45 C48:C5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6:F34 G6:G30" showDropDown="0" showInputMessage="1" showErrorMessage="1" allowBlank="1" promptTitle="Mandatory" prompt="Position value expressed in base currency (as calculated under Article 2 AIFMD)._x000a__x000a_Value cannot be negative."/>
    <dataValidation sqref="A6:A3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7.xml><?xml version="1.0" encoding="utf-8"?>
<worksheet xmlns="http://schemas.openxmlformats.org/spreadsheetml/2006/main">
  <sheetPr>
    <tabColor theme="4" tint="-0.499984740745262"/>
    <outlinePr summaryBelow="1" summaryRight="1"/>
    <pageSetUpPr/>
  </sheetPr>
  <dimension ref="A1:U94"/>
  <sheetViews>
    <sheetView topLeftCell="A49" zoomScale="80" zoomScaleNormal="80" workbookViewId="0">
      <selection activeCell="A59" sqref="A59"/>
    </sheetView>
  </sheetViews>
  <sheetFormatPr baseColWidth="10" defaultColWidth="0" defaultRowHeight="10.5" zeroHeight="1"/>
  <cols>
    <col width="49.816406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inlineStr">
        <is>
          <t># XLS - SOI - Fair Value</t>
        </is>
      </c>
      <c r="C5" s="306" t="n"/>
      <c r="D5" s="306" t="n"/>
      <c r="F5" s="306" t="n"/>
      <c r="G5" s="306" t="n"/>
    </row>
    <row r="6" customFormat="1" s="151">
      <c r="F6" s="301" t="n"/>
      <c r="G6" s="301" t="n"/>
      <c r="K6" s="243" t="n"/>
      <c r="L6" s="243" t="n"/>
    </row>
    <row r="7" customFormat="1" s="151">
      <c r="F7" s="301" t="n"/>
      <c r="G7" s="301" t="n"/>
      <c r="K7" s="243" t="n"/>
      <c r="L7" s="243" t="n"/>
    </row>
    <row r="8" customFormat="1" s="151">
      <c r="F8" s="301" t="n"/>
      <c r="G8" s="301" t="n"/>
      <c r="K8" s="243" t="n"/>
      <c r="L8" s="243" t="n"/>
    </row>
    <row r="9" customFormat="1" s="151">
      <c r="F9" s="301" t="n"/>
      <c r="G9" s="301" t="n"/>
      <c r="K9" s="243" t="n"/>
      <c r="L9" s="243" t="n"/>
    </row>
    <row r="10" customFormat="1" s="151">
      <c r="F10" s="301" t="n"/>
      <c r="G10" s="301" t="n"/>
      <c r="K10" s="243" t="n"/>
      <c r="L10" s="243" t="n"/>
    </row>
    <row r="11" customFormat="1" s="151">
      <c r="F11" s="301" t="n"/>
      <c r="G11" s="301" t="n"/>
      <c r="K11" s="243" t="n"/>
      <c r="L11" s="243" t="n"/>
    </row>
    <row r="12" customFormat="1" s="151">
      <c r="F12" s="301" t="n"/>
      <c r="G12" s="301" t="n"/>
      <c r="K12" s="243" t="n"/>
      <c r="L12" s="243" t="n"/>
    </row>
    <row r="13" customFormat="1" s="151">
      <c r="F13" s="301" t="n"/>
      <c r="G13" s="301" t="n"/>
      <c r="K13" s="243" t="n"/>
      <c r="L13" s="243" t="n"/>
    </row>
    <row r="14" customFormat="1" s="151">
      <c r="F14" s="301" t="n"/>
      <c r="G14" s="301" t="n"/>
      <c r="K14" s="243" t="n"/>
      <c r="L14" s="243" t="n"/>
    </row>
    <row r="15" customFormat="1" s="151">
      <c r="F15" s="301" t="n"/>
      <c r="G15" s="301" t="n"/>
      <c r="K15" s="243" t="n"/>
      <c r="L15" s="243" t="n"/>
    </row>
    <row r="16" customFormat="1" s="151">
      <c r="F16" s="301" t="n"/>
      <c r="G16" s="301" t="n"/>
      <c r="K16" s="243" t="n"/>
      <c r="L16" s="243" t="n"/>
    </row>
    <row r="17" customFormat="1" s="151">
      <c r="F17" s="301" t="n"/>
      <c r="G17" s="301" t="n"/>
      <c r="K17" s="243" t="n"/>
      <c r="L17" s="243" t="n"/>
    </row>
    <row r="18" customFormat="1" s="151">
      <c r="F18" s="301" t="n"/>
      <c r="G18" s="301" t="n"/>
      <c r="K18" s="243" t="n"/>
      <c r="L18" s="243" t="n"/>
    </row>
    <row r="19" customFormat="1" s="151">
      <c r="F19" s="301" t="n"/>
      <c r="G19" s="301" t="n"/>
      <c r="K19" s="243" t="n"/>
      <c r="L19" s="243" t="n"/>
    </row>
    <row r="20" customFormat="1" s="151">
      <c r="F20" s="301" t="n"/>
      <c r="G20" s="301" t="n"/>
      <c r="K20" s="243" t="n"/>
      <c r="L20" s="243" t="n"/>
    </row>
    <row r="21" customFormat="1" s="151">
      <c r="F21" s="301" t="n"/>
      <c r="G21" s="301" t="n"/>
      <c r="K21" s="243" t="n"/>
      <c r="L21" s="243" t="n"/>
    </row>
    <row r="22" customFormat="1" s="151">
      <c r="F22" s="301" t="n"/>
      <c r="G22" s="301" t="n"/>
      <c r="K22" s="243" t="n"/>
      <c r="L22" s="243" t="n"/>
    </row>
    <row r="23" customFormat="1" s="151">
      <c r="F23" s="301" t="n"/>
      <c r="G23" s="301" t="n"/>
      <c r="K23" s="243" t="n"/>
      <c r="L23" s="243" t="n"/>
    </row>
    <row r="24" customFormat="1" s="151">
      <c r="C24" s="307" t="n"/>
      <c r="F24" s="301" t="n"/>
      <c r="G24" s="301" t="n"/>
      <c r="K24" s="243" t="n"/>
      <c r="L24" s="243" t="n"/>
    </row>
    <row r="25" customFormat="1" s="151">
      <c r="F25" s="301" t="n"/>
      <c r="G25" s="301" t="n"/>
      <c r="K25" s="243" t="n"/>
      <c r="L25" s="243" t="n"/>
    </row>
    <row r="26" customFormat="1" s="151">
      <c r="F26" s="301" t="n"/>
      <c r="G26" s="301" t="n"/>
      <c r="K26" s="243" t="n"/>
      <c r="L26" s="243" t="n"/>
    </row>
    <row r="27" customFormat="1" s="151">
      <c r="F27" s="301" t="n"/>
      <c r="G27" s="301" t="n"/>
      <c r="K27" s="243" t="n"/>
      <c r="L27" s="243" t="n"/>
    </row>
    <row r="28" customFormat="1" s="151">
      <c r="F28" s="301" t="n"/>
      <c r="G28" s="301" t="n"/>
      <c r="K28" s="243" t="n"/>
      <c r="L28" s="243" t="n"/>
    </row>
    <row r="29" customFormat="1" s="151">
      <c r="F29" s="301" t="n"/>
      <c r="G29" s="301" t="n"/>
      <c r="K29" s="243" t="n"/>
      <c r="L29" s="243" t="n"/>
    </row>
    <row r="30" customFormat="1" s="151">
      <c r="C30" s="307" t="n"/>
      <c r="F30" s="301" t="n"/>
      <c r="G30" s="301" t="n"/>
      <c r="K30" s="243" t="n"/>
      <c r="L30" s="243" t="n"/>
    </row>
    <row r="31" customFormat="1" s="151">
      <c r="F31" s="301" t="n"/>
      <c r="G31" s="301" t="n"/>
      <c r="K31" s="243" t="n"/>
      <c r="L31" s="243" t="n"/>
    </row>
    <row r="32" customFormat="1" s="151">
      <c r="C32" s="307" t="n"/>
      <c r="F32" s="301" t="n"/>
      <c r="G32" s="301" t="n"/>
      <c r="K32" s="243" t="n"/>
      <c r="L32" s="243" t="n"/>
    </row>
    <row r="33" customFormat="1" s="151">
      <c r="F33" s="301" t="n"/>
      <c r="G33" s="301" t="n"/>
      <c r="K33" s="243" t="n"/>
      <c r="L33" s="243" t="n"/>
    </row>
    <row r="34" customFormat="1" s="151">
      <c r="F34" s="301" t="n"/>
      <c r="G34" s="301" t="n"/>
      <c r="K34" s="243" t="n"/>
      <c r="L34" s="243" t="n"/>
    </row>
    <row r="35" customFormat="1" s="151">
      <c r="F35" s="301" t="n"/>
      <c r="G35" s="301" t="n"/>
      <c r="K35" s="243" t="n"/>
      <c r="L35" s="243" t="n"/>
    </row>
    <row r="36" customFormat="1" s="151">
      <c r="F36" s="301" t="n"/>
      <c r="G36" s="301" t="n"/>
      <c r="K36" s="243" t="n"/>
      <c r="L36" s="243" t="n"/>
    </row>
    <row r="37" customFormat="1" s="151">
      <c r="F37" s="301" t="n"/>
      <c r="G37" s="301" t="n"/>
      <c r="K37" s="243" t="n"/>
      <c r="L37" s="243" t="n"/>
    </row>
    <row r="38" customFormat="1" s="151">
      <c r="F38" s="301" t="n"/>
      <c r="G38" s="301" t="n"/>
      <c r="K38" s="243" t="n"/>
      <c r="L38" s="243" t="n"/>
    </row>
    <row r="39" customFormat="1" s="151">
      <c r="F39" s="301" t="n"/>
      <c r="G39" s="301" t="n"/>
      <c r="K39" s="243" t="n"/>
      <c r="L39" s="243" t="n"/>
    </row>
    <row r="40" customFormat="1" s="151">
      <c r="F40" s="301" t="n"/>
      <c r="G40" s="301" t="n"/>
      <c r="K40" s="243" t="n"/>
      <c r="L40" s="243" t="n"/>
    </row>
    <row r="41" customFormat="1" s="151">
      <c r="F41" s="301" t="n"/>
      <c r="G41" s="301" t="n"/>
      <c r="K41" s="243" t="n"/>
      <c r="L41" s="243" t="n"/>
    </row>
    <row r="42" customFormat="1" s="151">
      <c r="F42" s="301" t="n"/>
      <c r="G42" s="301" t="n"/>
      <c r="K42" s="243" t="n"/>
      <c r="L42" s="243" t="n"/>
    </row>
    <row r="43" customFormat="1" s="151">
      <c r="F43" s="301" t="n"/>
      <c r="G43" s="301" t="n"/>
      <c r="K43" s="243" t="n"/>
      <c r="L43" s="243" t="n"/>
    </row>
    <row r="44" customFormat="1" s="151">
      <c r="F44" s="301" t="n"/>
      <c r="G44" s="301" t="n"/>
      <c r="K44" s="243" t="n"/>
      <c r="L44" s="243" t="n"/>
    </row>
    <row r="45" customFormat="1" s="151">
      <c r="F45" s="301" t="n"/>
      <c r="G45" s="301" t="n"/>
      <c r="K45" s="243" t="n"/>
      <c r="L45" s="243" t="n"/>
    </row>
    <row r="46" customFormat="1" s="151">
      <c r="F46" s="301" t="n"/>
      <c r="G46" s="301" t="n"/>
      <c r="K46" s="243" t="n"/>
      <c r="L46" s="243" t="n"/>
    </row>
    <row r="47" customFormat="1" s="151">
      <c r="F47" s="301" t="n"/>
      <c r="G47" s="301" t="n"/>
      <c r="K47" s="243" t="n"/>
      <c r="L47" s="243" t="n"/>
    </row>
    <row r="48" customFormat="1" s="151">
      <c r="F48" s="301" t="n"/>
      <c r="G48" s="301" t="n"/>
      <c r="K48" s="243" t="n"/>
      <c r="L48" s="243" t="n"/>
    </row>
    <row r="49" customFormat="1" s="151">
      <c r="F49" s="301" t="n"/>
      <c r="G49" s="301" t="n"/>
    </row>
    <row r="50" customFormat="1" s="151">
      <c r="A50" s="307" t="inlineStr">
        <is>
          <t># XLS - Balance Sheet - ASSETS (Except the investments) - Last Date</t>
        </is>
      </c>
      <c r="F50" s="301" t="n"/>
      <c r="G50" s="301" t="n"/>
    </row>
    <row r="51" customFormat="1" s="151">
      <c r="E51" s="256" t="n"/>
      <c r="F51" s="301" t="n"/>
      <c r="G51" s="301" t="n"/>
    </row>
    <row r="52" customFormat="1" s="151">
      <c r="E52" s="256" t="n"/>
      <c r="F52" s="301" t="n"/>
      <c r="G52" s="301" t="n"/>
    </row>
    <row r="53" customFormat="1" s="151">
      <c r="E53" s="256" t="n"/>
      <c r="F53" s="301" t="n"/>
      <c r="G53" s="301" t="n"/>
    </row>
    <row r="54" customFormat="1" s="151">
      <c r="E54" s="256" t="n"/>
      <c r="F54" s="301" t="n"/>
      <c r="G54" s="301" t="n"/>
    </row>
    <row r="55" customFormat="1" s="151">
      <c r="C55" s="153" t="n"/>
      <c r="F55" s="301" t="n"/>
      <c r="G55" s="301" t="n"/>
    </row>
    <row r="56" customFormat="1" s="307">
      <c r="A56" s="307" t="inlineStr">
        <is>
          <t># XLS - Balance Sheet - Liabilities - Last Date</t>
        </is>
      </c>
    </row>
    <row r="57" customFormat="1" s="151">
      <c r="E57" s="256" t="n"/>
      <c r="F57" s="301" t="n"/>
      <c r="G57" s="301" t="n"/>
    </row>
    <row r="58" customFormat="1" s="151">
      <c r="E58" s="256" t="n"/>
      <c r="F58" s="301" t="n"/>
      <c r="G58" s="301" t="n"/>
    </row>
    <row r="59" customFormat="1" s="151">
      <c r="E59" s="256" t="n"/>
      <c r="F59" s="301" t="n"/>
      <c r="G59" s="301" t="n"/>
    </row>
    <row r="60" customFormat="1" s="151">
      <c r="E60" s="256" t="n"/>
      <c r="F60" s="301" t="n"/>
      <c r="G60" s="301" t="n"/>
    </row>
    <row r="61" customFormat="1" s="151">
      <c r="E61" s="256" t="n"/>
      <c r="F61" s="301" t="n"/>
      <c r="G61" s="301" t="n"/>
    </row>
    <row r="62" customFormat="1" s="151">
      <c r="E62" s="256" t="n"/>
      <c r="F62" s="301" t="n"/>
      <c r="G62" s="301" t="n"/>
    </row>
    <row r="63" customFormat="1" s="151">
      <c r="E63" s="256" t="n"/>
      <c r="F63" s="301" t="n"/>
      <c r="G63" s="301" t="n"/>
    </row>
    <row r="64" customFormat="1" s="151">
      <c r="A64" s="255" t="inlineStr">
        <is>
          <t># Used for TURNOVER.</t>
        </is>
      </c>
      <c r="B64" s="255" t="n"/>
      <c r="C64" s="255" t="n"/>
      <c r="D64" s="255" t="n"/>
      <c r="E64" s="255" t="n"/>
      <c r="F64" s="255" t="n"/>
      <c r="G64" s="255" t="n"/>
      <c r="H64" s="255" t="n"/>
    </row>
    <row r="65" customFormat="1" s="151">
      <c r="A65" s="25" t="inlineStr">
        <is>
          <t># XLS - Cash Flow - Investments in portfolio companies</t>
        </is>
      </c>
      <c r="B65" s="287" t="n">
        <v>0</v>
      </c>
      <c r="E65" s="256" t="n"/>
      <c r="F65" s="303" t="n"/>
      <c r="G65" s="301" t="n"/>
    </row>
    <row r="66" customFormat="1" s="151">
      <c r="A66" s="25" t="inlineStr">
        <is>
          <t># XLS - Cash Flow - Distributions from portfolio companies</t>
        </is>
      </c>
      <c r="B66" s="287" t="n">
        <v>0</v>
      </c>
      <c r="E66" s="256" t="n"/>
      <c r="F66" s="303" t="n"/>
      <c r="G66" s="301" t="n"/>
    </row>
    <row r="67">
      <c r="F67" s="302" t="n"/>
      <c r="G67" s="302" t="n"/>
    </row>
    <row r="68">
      <c r="A68" s="23" t="inlineStr">
        <is>
          <t>#TURNOVER</t>
        </is>
      </c>
      <c r="B68" s="23" t="inlineStr">
        <is>
          <t>Custom AIF Identification</t>
        </is>
      </c>
      <c r="C68" s="35" t="inlineStr">
        <is>
          <t>Sub-asset type code of turnover</t>
        </is>
      </c>
      <c r="D68" s="23" t="inlineStr">
        <is>
          <t>Market value of turnover</t>
        </is>
      </c>
      <c r="E68" s="23" t="inlineStr">
        <is>
          <t>Notional value of turnover</t>
        </is>
      </c>
      <c r="F68" s="28" t="n"/>
      <c r="G68" s="28" t="n"/>
      <c r="H68" s="28" t="n"/>
      <c r="I68" s="28" t="n"/>
      <c r="J68" s="28" t="n"/>
      <c r="K68" s="28" t="n"/>
      <c r="L68" s="28" t="n"/>
      <c r="M68" s="28" t="n"/>
    </row>
    <row r="69">
      <c r="A69" s="29" t="inlineStr">
        <is>
          <t>#AIF fieldnummers</t>
        </is>
      </c>
      <c r="B69" s="38" t="inlineStr">
        <is>
          <t>AIF_ID</t>
        </is>
      </c>
      <c r="C69" s="29" t="n">
        <v>125</v>
      </c>
      <c r="D69" s="29" t="n">
        <v>126</v>
      </c>
      <c r="E69" s="29" t="n">
        <v>127</v>
      </c>
    </row>
    <row r="70" customFormat="1" s="151">
      <c r="A70" s="151" t="inlineStr">
        <is>
          <t>TURNOVER</t>
        </is>
      </c>
      <c r="B70" s="151" t="inlineStr">
        <is>
          <t>Alpine VI Parallel Fund, L.P.</t>
        </is>
      </c>
      <c r="C70" s="153" t="inlineStr">
        <is>
          <t>SEC_UEQ_UEQ</t>
        </is>
      </c>
      <c r="D70" s="345">
        <f>ABS(B65)+ABS(B66)</f>
        <v/>
      </c>
      <c r="E70" s="349" t="n"/>
    </row>
    <row r="71" customFormat="1" s="151">
      <c r="C71" s="153" t="n"/>
      <c r="D71" s="349" t="n"/>
      <c r="E71" s="349" t="n"/>
    </row>
    <row r="72" customFormat="1" s="151">
      <c r="C72" s="153" t="n"/>
      <c r="D72" s="349" t="n"/>
      <c r="E72" s="349" t="n"/>
    </row>
    <row r="73" customFormat="1" s="151">
      <c r="A73" s="255" t="inlineStr">
        <is>
          <t># Used for HISTORICAL_RISK_PROFILE.</t>
        </is>
      </c>
      <c r="B73" s="255" t="n"/>
      <c r="C73" s="255" t="n"/>
      <c r="D73" s="255" t="n"/>
      <c r="E73" s="255" t="n"/>
      <c r="F73" s="255" t="n"/>
      <c r="G73" s="255" t="n"/>
      <c r="H73" s="255" t="n"/>
    </row>
    <row r="74" customFormat="1" s="151">
      <c r="A74" s="285" t="inlineStr">
        <is>
          <t># XLS - Income Statement - Total operating expenses</t>
        </is>
      </c>
      <c r="B74" s="288" t="n">
        <v>0</v>
      </c>
      <c r="C74" s="343" t="inlineStr">
        <is>
          <t>&lt;= Expenses</t>
        </is>
      </c>
    </row>
    <row r="75" customFormat="1" s="151">
      <c r="A75" s="285" t="inlineStr">
        <is>
          <t># XLS - Income Statement - Net increase (decrease) in partners' capital from operations</t>
        </is>
      </c>
      <c r="B75" s="288" t="n">
        <v>0</v>
      </c>
      <c r="C75" s="344" t="inlineStr">
        <is>
          <t>&lt;= Real Net</t>
        </is>
      </c>
    </row>
    <row r="76" customFormat="1" s="151">
      <c r="A76" s="338" t="inlineStr">
        <is>
          <t># XLS - Cash Flow - Capital contributions</t>
        </is>
      </c>
      <c r="B76" s="339" t="n">
        <v>0</v>
      </c>
      <c r="D76" s="340" t="n"/>
    </row>
    <row r="77" customFormat="1" s="151">
      <c r="A77" s="338" t="inlineStr">
        <is>
          <t># XLS - Cash Flow - Capital distributions</t>
        </is>
      </c>
      <c r="B77" s="339" t="n">
        <v>0</v>
      </c>
      <c r="C77" s="338" t="inlineStr">
        <is>
          <t>Negative!</t>
        </is>
      </c>
      <c r="D77" s="349" t="n"/>
      <c r="E77" s="349" t="n"/>
      <c r="F77" s="349" t="n"/>
      <c r="G77" s="349" t="n"/>
      <c r="H77" s="349" t="n"/>
    </row>
    <row r="78" customFormat="1" s="151">
      <c r="A78" s="338" t="n"/>
      <c r="B78" s="342" t="n"/>
      <c r="C78" s="349" t="n"/>
      <c r="D78" s="349" t="n"/>
      <c r="E78" s="349" t="n"/>
      <c r="F78" s="349" t="n"/>
      <c r="G78" s="349" t="n"/>
      <c r="H78" s="349" t="n"/>
    </row>
    <row r="79" customFormat="1" s="151">
      <c r="A79" s="151" t="inlineStr">
        <is>
          <t># Calculated: Start NAV</t>
        </is>
      </c>
      <c r="B79" s="341">
        <f>B80-B75-B76-B77</f>
        <v/>
      </c>
      <c r="C79" s="349" t="n"/>
      <c r="D79" s="349" t="n"/>
      <c r="E79" s="349" t="n"/>
      <c r="F79" s="349" t="n"/>
      <c r="G79" s="349" t="n"/>
      <c r="H79" s="349" t="n"/>
      <c r="I79" s="349" t="n"/>
      <c r="J79" s="349" t="n"/>
    </row>
    <row r="80" customFormat="1" s="151">
      <c r="A80" s="151" t="inlineStr">
        <is>
          <t># Calculated: End NAV</t>
        </is>
      </c>
      <c r="B80" s="341">
        <f>SUM(F5:G63)</f>
        <v/>
      </c>
      <c r="C80" s="349" t="n"/>
      <c r="D80" s="349" t="n"/>
      <c r="E80" s="349" t="n"/>
      <c r="F80" s="349" t="n"/>
      <c r="G80" s="349" t="n"/>
      <c r="H80" s="349" t="n"/>
      <c r="I80" s="349" t="n"/>
      <c r="J80" s="349" t="n"/>
    </row>
    <row r="81" customFormat="1" s="28">
      <c r="A81" s="151" t="n"/>
      <c r="B81" s="264" t="n"/>
      <c r="C81" s="349" t="n"/>
      <c r="D81" s="349" t="n"/>
      <c r="E81" s="349" t="n"/>
      <c r="F81" s="349" t="n"/>
      <c r="G81" s="308" t="n"/>
      <c r="H81" s="308" t="n"/>
      <c r="I81" s="25" t="n"/>
      <c r="J81" s="25" t="n"/>
      <c r="K81" s="25" t="n"/>
      <c r="L81" s="25" t="n"/>
      <c r="M81" s="25" t="n"/>
    </row>
    <row r="82">
      <c r="A82" s="31" t="inlineStr">
        <is>
          <t>#HISTORICAL_RISK_PROFILE</t>
        </is>
      </c>
      <c r="B82" s="23" t="inlineStr">
        <is>
          <t>Custom AIF Identification</t>
        </is>
      </c>
      <c r="C82" s="32" t="inlineStr">
        <is>
          <t>Month</t>
        </is>
      </c>
      <c r="D82" s="32" t="inlineStr">
        <is>
          <t>Percentage of gross investment returns</t>
        </is>
      </c>
      <c r="E82" s="32" t="inlineStr">
        <is>
          <t>Percentage of net investment returns</t>
        </is>
      </c>
      <c r="F82" s="32" t="inlineStr">
        <is>
          <t>Percentage of NAV change</t>
        </is>
      </c>
      <c r="G82" s="32" t="inlineStr">
        <is>
          <t>Subscriptions in base currency</t>
        </is>
      </c>
      <c r="H82" s="32" t="inlineStr">
        <is>
          <t>Redemptions  in base currency</t>
        </is>
      </c>
    </row>
    <row r="83" customFormat="1" s="151">
      <c r="A83" s="33" t="inlineStr">
        <is>
          <t>#AIF fieldnummers</t>
        </is>
      </c>
      <c r="B83" s="38" t="inlineStr">
        <is>
          <t>AIF_ID</t>
        </is>
      </c>
      <c r="C83" s="235" t="inlineStr">
        <is>
          <t>219-278</t>
        </is>
      </c>
      <c r="D83" s="235" t="inlineStr">
        <is>
          <t>219-230</t>
        </is>
      </c>
      <c r="E83" s="235" t="inlineStr">
        <is>
          <t>231-242</t>
        </is>
      </c>
      <c r="F83" s="235" t="inlineStr">
        <is>
          <t>243-254</t>
        </is>
      </c>
      <c r="G83" s="235" t="inlineStr">
        <is>
          <t>255-266</t>
        </is>
      </c>
      <c r="H83" s="235" t="inlineStr">
        <is>
          <t>267-278</t>
        </is>
      </c>
    </row>
    <row r="84" customFormat="1" s="151">
      <c r="A84" s="151" t="inlineStr">
        <is>
          <t>#ignore this line</t>
        </is>
      </c>
      <c r="B84" s="151" t="inlineStr">
        <is>
          <t>Alpine VI Parallel Fund, L.P.</t>
        </is>
      </c>
      <c r="C84" s="310" t="n"/>
      <c r="D84" s="311">
        <f>(B75+B74)/B79*100</f>
        <v/>
      </c>
      <c r="E84" s="311">
        <f>B75/B79*100</f>
        <v/>
      </c>
      <c r="F84" s="311">
        <f>(B80-B79)/B79*100</f>
        <v/>
      </c>
      <c r="G84" s="345">
        <f>ABS(B76)</f>
        <v/>
      </c>
      <c r="H84" s="345">
        <f>ABS(B77)</f>
        <v/>
      </c>
    </row>
    <row r="85" customFormat="1" s="151">
      <c r="D85" s="192" t="n"/>
      <c r="E85" s="192" t="n"/>
      <c r="F85" s="192" t="n"/>
      <c r="G85" s="338" t="n"/>
      <c r="H85" s="338" t="n"/>
    </row>
    <row r="86" customFormat="1" s="41">
      <c r="A86" s="40" t="inlineStr">
        <is>
          <t>#END OF  TEMPLATE</t>
        </is>
      </c>
      <c r="B86" s="40" t="n"/>
      <c r="C86" s="40" t="n"/>
      <c r="D86" s="40" t="n"/>
      <c r="E86" s="40" t="inlineStr">
        <is>
          <t>#END OF  TEMPLATE</t>
        </is>
      </c>
      <c r="F86" s="40" t="n"/>
      <c r="G86" s="40" t="n"/>
      <c r="H86" s="40" t="n"/>
      <c r="I86" s="40" t="n"/>
      <c r="J86" s="40" t="inlineStr">
        <is>
          <t>#END OF  TEMPLATE</t>
        </is>
      </c>
      <c r="K86" s="40" t="n"/>
      <c r="L86" s="40" t="n"/>
      <c r="M86" s="40" t="n"/>
      <c r="N86" s="40" t="n"/>
      <c r="P86" s="40" t="inlineStr">
        <is>
          <t>#END OF  TEMPLATE</t>
        </is>
      </c>
    </row>
    <row r="87"/>
    <row r="88"/>
    <row r="89"/>
    <row r="90"/>
    <row r="91"/>
    <row r="92"/>
    <row r="93">
      <c r="C93" s="151" t="n"/>
      <c r="D93" s="307" t="n"/>
    </row>
    <row r="94">
      <c r="C94" s="151" t="n"/>
      <c r="D94" s="307" t="n"/>
    </row>
  </sheetData>
  <dataValidations count="26">
    <dataValidation sqref="A8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74 C77:C8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 A50 A56 D56:XFD5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84:C8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77:B79 H84:H85" showDropDown="0" showInputMessage="1" showErrorMessage="1" allowBlank="1" promptTitle="Mandatory" prompt="Redemptions in base currency during month."/>
    <dataValidation sqref="B76 D76 G84:G85" showDropDown="0" showInputMessage="1" showErrorMessage="1" allowBlank="1" promptTitle="Mandatory" prompt="Subscriptions in base currency during month."/>
    <dataValidation sqref="F85" showDropDown="0" showInputMessage="1" showErrorMessage="1" allowBlank="1" promptTitle="Mandatory" prompt="Monthly changes in NAV including the impact of subscriptions and redemptions._x000a__x000a_Expressed as a percentage (entered here as a number, e.g. enter 1.23% as 1.23)."/>
    <dataValidation sqref="E8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84:D85 E84:F84"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84:A8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6:A49 A51:A55 A57:A63"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D6:D55 D57:D63 D65:D66 D93:D94" showDropDown="0" showInputMessage="1" showErrorMessage="1" allowBlank="1" promptTitle="Mandatory" prompt="No standard. It is strongly recommended to provide the instrument short name as provided by Swift under ISO18774 when available."/>
    <dataValidation sqref="F6:F55 F57:F63" showDropDown="0" showInputMessage="1" showErrorMessage="1" allowBlank="1" promptTitle="Mandatory" prompt="Position value expressed in base currency (as calculated under Article 2 AIFMD)._x000a__x000a_Value cannot be negative."/>
    <dataValidation sqref="E70:E72" showDropDown="0" showInputMessage="1" showErrorMessage="1" allowBlank="1" promptTitle="Conditional" prompt="Only for sub-asset-types starting with DER_xxx.  Notional value of turnover in each relevant sub-asset-type during the reporting period in base-currency"/>
    <dataValidation sqref="D70:D72" showDropDown="0" showInputMessage="1" showErrorMessage="1" allowBlank="1" prompt="Market value of turnover in each relevant sub-asset-type during the reporting period in base-currency"/>
    <dataValidation sqref="A70:A72" showDropDown="0" showInputMessage="1" showErrorMessage="1" allowBlank="1" promptTitle="Conditional" prompt="The TURNOVER record is optional for AIFs with content type 2 and 4, and forbidden otherwise." type="list">
      <formula1>"TURNOVER,#ignore this line"</formula1>
    </dataValidation>
    <dataValidation sqref="A76:A78 A80 D77:H81 I79:J80" showDropDown="0" showInputMessage="1" showErrorMessage="1" allowBlank="1" promptTitle="Mandatory" prompt="Expressed as a percentage (entered here as a number, e.g. enter 1.23% as 1.23)._x000a__x000a_The total should equal 100%."/>
    <dataValidation sqref="H6:H50 H55"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50 I55"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50 G55"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50 E55" showDropDown="0" showInputMessage="1" showErrorMessage="1" allowBlank="1" promptTitle="Mandatory" prompt="“L” for long_x000a_“S” for short" type="list">
      <formula1>Fund75</formula1>
    </dataValidation>
    <dataValidation sqref="F65:F66"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51:E54 E57:E63 E65:E66"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65:C66 C93:C9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81" showDropDown="0" showInputMessage="1" showErrorMessage="1" allowBlank="1" promptTitle="Mandatory" prompt="Unique AIF id to which this record applies.  _x000a__x000a_Add new AIFs in the AIF section."/>
    <dataValidation sqref="B85" showDropDown="0" showInputMessage="1" showErrorMessage="1" allowBlank="1" promptTitle="Mandatory" prompt="Unique AIF id to which this record applies.  _x000a__x000a_Add new AIFs in the AIF section._x000a_"/>
  </dataValidations>
  <pageMargins left="0.7086614173228347" right="0.7086614173228347" top="0.7480314960629921" bottom="0.7480314960629921" header="0.3149606299212598" footer="0.3149606299212598"/>
  <pageSetup orientation="landscape" paperSize="8" scale="70"/>
</worksheet>
</file>

<file path=xl/worksheets/sheet8.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A7" sqref="A7"/>
    </sheetView>
  </sheetViews>
  <sheetFormatPr baseColWidth="10" defaultColWidth="0" defaultRowHeight="10.5" zeroHeight="1"/>
  <cols>
    <col width="38.816406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#ignore this line</t>
        </is>
      </c>
      <c r="B6" s="151" t="inlineStr">
        <is>
          <t>Alpine VI Parallel Feeder C.V.</t>
        </is>
      </c>
      <c r="C6" s="151" t="inlineStr">
        <is>
          <t>CIU_OAM_OTHR</t>
        </is>
      </c>
      <c r="D6" s="151" t="inlineStr">
        <is>
          <t>Alpine VI Parallel Fund, L.P.</t>
        </is>
      </c>
      <c r="E6" s="151" t="inlineStr">
        <is>
          <t>L</t>
        </is>
      </c>
      <c r="F6" s="286" t="n">
        <v>39251266.79156647</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Alpine VI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-74552.45000000001</v>
      </c>
      <c r="C16" s="343" t="inlineStr">
        <is>
          <t>&lt;= Expenses, Negative!</t>
        </is>
      </c>
    </row>
    <row r="17" customFormat="1" s="151">
      <c r="A17" s="285" t="inlineStr">
        <is>
          <t># XLS - QTD - Net Profit</t>
        </is>
      </c>
      <c r="B17" s="288" t="n">
        <v>2928050.88</v>
      </c>
      <c r="C17" s="344" t="inlineStr">
        <is>
          <t>&lt;= Real Net</t>
        </is>
      </c>
    </row>
    <row r="18" customFormat="1" s="151">
      <c r="A18" s="285" t="inlineStr">
        <is>
          <t># XLS - QTD - Deposits</t>
        </is>
      </c>
      <c r="B18" s="339" t="n">
        <v>0</v>
      </c>
      <c r="C18" s="338" t="inlineStr">
        <is>
          <t>Positive!</t>
        </is>
      </c>
      <c r="D18" s="349"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#ignore this line</t>
        </is>
      </c>
      <c r="B26" s="151" t="inlineStr">
        <is>
          <t>Alpine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5" customHeight="1">
      <c r="A36" s="346" t="n"/>
    </row>
  </sheetData>
  <dataValidations count="25">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12" showDropDown="0" showInputMessage="1" showErrorMessage="1" allowBlank="1" prompt="Market value of turnover in each relevant sub-asset-type during the reporting period in base-currency"/>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E13:E14" showDropDown="0" showInputMessage="1" showErrorMessage="1" allowBlank="1" promptTitle="Mandatory" prompt="“L” for long_x000a_“S” for short" type="list">
      <formula1>Fund75</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9.xml><?xml version="1.0" encoding="utf-8"?>
<worksheet xmlns="http://schemas.openxmlformats.org/spreadsheetml/2006/main">
  <sheetPr>
    <tabColor theme="4" tint="-0.499984740745262"/>
    <outlinePr summaryBelow="1" summaryRight="1"/>
    <pageSetUpPr/>
  </sheetPr>
  <dimension ref="A1:U58"/>
  <sheetViews>
    <sheetView topLeftCell="A16" zoomScale="80" zoomScaleNormal="80" workbookViewId="0">
      <selection activeCell="D42" sqref="D42"/>
    </sheetView>
  </sheetViews>
  <sheetFormatPr baseColWidth="10" defaultColWidth="0" defaultRowHeight="10.5" zeroHeight="1"/>
  <cols>
    <col width="43.726562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Ridgeline V Parallel Fund, L.P.</t>
        </is>
      </c>
      <c r="C6" s="151" t="inlineStr">
        <is>
          <t>SEC_UEQ_UEQY</t>
        </is>
      </c>
      <c r="D6" s="151" t="inlineStr">
        <is>
          <t>Westfield Acquisition Corp.</t>
        </is>
      </c>
      <c r="E6" s="151" t="inlineStr">
        <is>
          <t>L</t>
        </is>
      </c>
      <c r="F6" s="301" t="n">
        <v>805963</v>
      </c>
      <c r="G6" s="301" t="n">
        <v>1147874</v>
      </c>
      <c r="H6" s="151" t="inlineStr">
        <is>
          <t>USD</t>
        </is>
      </c>
      <c r="I6" s="151" t="inlineStr">
        <is>
          <t>NORTHAMERICA</t>
        </is>
      </c>
      <c r="K6" s="243" t="n"/>
      <c r="L6" s="243" t="n"/>
    </row>
    <row r="7" customFormat="1" s="151">
      <c r="A7" s="151" t="inlineStr">
        <is>
          <t>POSITION_COMPACT</t>
        </is>
      </c>
      <c r="B7" s="151" t="inlineStr">
        <is>
          <t>Ridgeline V Parallel Fund, L.P.</t>
        </is>
      </c>
      <c r="C7" s="307" t="inlineStr">
        <is>
          <t>CIU_NAM_OTHR</t>
        </is>
      </c>
      <c r="D7" s="151" t="inlineStr">
        <is>
          <t>Magnolia Fund III, L.P.</t>
        </is>
      </c>
      <c r="E7" s="151" t="inlineStr">
        <is>
          <t>L</t>
        </is>
      </c>
      <c r="F7" s="301" t="n">
        <v>47412</v>
      </c>
      <c r="G7" s="301" t="n">
        <v>41109</v>
      </c>
      <c r="H7" s="151" t="inlineStr">
        <is>
          <t>USD</t>
        </is>
      </c>
      <c r="I7" s="151" t="inlineStr">
        <is>
          <t>NORTHAMERICA</t>
        </is>
      </c>
      <c r="L7" s="243" t="n"/>
    </row>
    <row r="8" customFormat="1" s="151">
      <c r="A8" s="151" t="inlineStr">
        <is>
          <t>POSITION_COMPACT</t>
        </is>
      </c>
      <c r="B8" s="151" t="inlineStr">
        <is>
          <t>Ridgeline V Parallel Fund, L.P.</t>
        </is>
      </c>
      <c r="C8" s="151" t="inlineStr">
        <is>
          <t>SEC_UEQ_UEQY</t>
        </is>
      </c>
      <c r="D8" s="151" t="inlineStr">
        <is>
          <t>Green Team Co-Investors, L.P.</t>
        </is>
      </c>
      <c r="E8" s="151" t="inlineStr">
        <is>
          <t>L</t>
        </is>
      </c>
      <c r="F8" s="301" t="n">
        <v>714394</v>
      </c>
      <c r="G8" s="301" t="n">
        <v>794225</v>
      </c>
      <c r="H8" s="151" t="inlineStr">
        <is>
          <t>USD</t>
        </is>
      </c>
      <c r="I8" s="151" t="inlineStr">
        <is>
          <t>NORTHAMERICA</t>
        </is>
      </c>
      <c r="L8" s="243" t="n"/>
    </row>
    <row r="9" customFormat="1" s="151">
      <c r="A9" s="151" t="inlineStr">
        <is>
          <t>POSITION_COMPACT</t>
        </is>
      </c>
      <c r="B9" s="151" t="inlineStr">
        <is>
          <t>Ridgeline V Parallel Fund, L.P.</t>
        </is>
      </c>
      <c r="C9" s="151" t="inlineStr">
        <is>
          <t>SEC_UEQ_UEQY</t>
        </is>
      </c>
      <c r="D9" s="151" t="inlineStr">
        <is>
          <t>DRCP ABCOM, LLC</t>
        </is>
      </c>
      <c r="E9" s="151" t="inlineStr">
        <is>
          <t>L</t>
        </is>
      </c>
      <c r="F9" s="301" t="n">
        <v>840514</v>
      </c>
      <c r="G9" s="301" t="n">
        <v>908456</v>
      </c>
      <c r="H9" s="151" t="inlineStr">
        <is>
          <t>USD</t>
        </is>
      </c>
      <c r="I9" s="151" t="inlineStr">
        <is>
          <t>NORTHAMERICA</t>
        </is>
      </c>
      <c r="L9" s="243" t="n"/>
    </row>
    <row r="10" customFormat="1" s="151">
      <c r="A10" s="151" t="inlineStr">
        <is>
          <t>POSITION_COMPACT</t>
        </is>
      </c>
      <c r="B10" s="151" t="inlineStr">
        <is>
          <t>Ridgeline V Parallel Fund, L.P.</t>
        </is>
      </c>
      <c r="C10" s="151" t="inlineStr">
        <is>
          <t>SEC_UEQ_UEQY</t>
        </is>
      </c>
      <c r="D10" s="151" t="inlineStr">
        <is>
          <t>DRCP CE Rental, LLC</t>
        </is>
      </c>
      <c r="E10" s="151" t="inlineStr">
        <is>
          <t>L</t>
        </is>
      </c>
      <c r="F10" s="301" t="n">
        <v>7796</v>
      </c>
      <c r="G10" s="301" t="n">
        <v>6550</v>
      </c>
      <c r="H10" s="151" t="inlineStr">
        <is>
          <t>USD</t>
        </is>
      </c>
      <c r="I10" s="151" t="inlineStr">
        <is>
          <t>NORTHAMERICA</t>
        </is>
      </c>
      <c r="L10" s="243" t="n"/>
    </row>
    <row r="11" customFormat="1" s="151">
      <c r="A11" s="151" t="inlineStr">
        <is>
          <t>POSITION_COMPACT</t>
        </is>
      </c>
      <c r="B11" s="151" t="inlineStr">
        <is>
          <t>Ridgeline V Parallel Fund, L.P.</t>
        </is>
      </c>
      <c r="C11" s="151" t="inlineStr">
        <is>
          <t>SEC_UEQ_UEQY</t>
        </is>
      </c>
      <c r="D11" s="151" t="inlineStr">
        <is>
          <t>DRCP Daystar, LLC</t>
        </is>
      </c>
      <c r="E11" s="151" t="inlineStr">
        <is>
          <t>L</t>
        </is>
      </c>
      <c r="F11" s="301" t="n">
        <v>178075</v>
      </c>
      <c r="G11" s="301" t="n">
        <v>186894</v>
      </c>
      <c r="H11" s="151" t="inlineStr">
        <is>
          <t>USD</t>
        </is>
      </c>
      <c r="I11" s="151" t="inlineStr">
        <is>
          <t>NORTHAMERICA</t>
        </is>
      </c>
      <c r="L11" s="243" t="n"/>
    </row>
    <row r="12" customFormat="1" s="151">
      <c r="A12" s="151" t="inlineStr">
        <is>
          <t>POSITION_COMPACT</t>
        </is>
      </c>
      <c r="B12" s="151" t="inlineStr">
        <is>
          <t>Ridgeline V Parallel Fund, L.P.</t>
        </is>
      </c>
      <c r="C12" s="151" t="inlineStr">
        <is>
          <t>SEC_UEQ_UEQY</t>
        </is>
      </c>
      <c r="D12" s="151" t="inlineStr">
        <is>
          <t>DRCP EMPI, LLC</t>
        </is>
      </c>
      <c r="E12" s="151" t="inlineStr">
        <is>
          <t>L</t>
        </is>
      </c>
      <c r="F12" s="301" t="n">
        <v>946371</v>
      </c>
      <c r="G12" s="301" t="n">
        <v>1022580</v>
      </c>
      <c r="H12" s="151" t="inlineStr">
        <is>
          <t>USD</t>
        </is>
      </c>
      <c r="I12" s="151" t="inlineStr">
        <is>
          <t>NORTHAMERICA</t>
        </is>
      </c>
      <c r="L12" s="243" t="n"/>
    </row>
    <row r="13" customFormat="1" s="151">
      <c r="A13" s="151" t="inlineStr">
        <is>
          <t>POSITION_COMPACT</t>
        </is>
      </c>
      <c r="B13" s="151" t="inlineStr">
        <is>
          <t>Ridgeline V Parallel Fund, L.P.</t>
        </is>
      </c>
      <c r="C13" s="307" t="inlineStr">
        <is>
          <t>CIU_NAM_OTHR</t>
        </is>
      </c>
      <c r="D13" s="151" t="inlineStr">
        <is>
          <t>DRCP Fund II, LP</t>
        </is>
      </c>
      <c r="E13" s="151" t="inlineStr">
        <is>
          <t>L</t>
        </is>
      </c>
      <c r="F13" s="301" t="n">
        <v>2075915</v>
      </c>
      <c r="G13" s="301" t="n">
        <v>2421116</v>
      </c>
      <c r="H13" s="151" t="inlineStr">
        <is>
          <t>USD</t>
        </is>
      </c>
      <c r="I13" s="151" t="inlineStr">
        <is>
          <t>NORTHAMERICA</t>
        </is>
      </c>
      <c r="L13" s="243" t="n"/>
    </row>
    <row r="14" customFormat="1" s="151">
      <c r="A14" s="151" t="inlineStr">
        <is>
          <t>POSITION_COMPACT</t>
        </is>
      </c>
      <c r="B14" s="151" t="inlineStr">
        <is>
          <t>Ridgeline V Parallel Fund, L.P.</t>
        </is>
      </c>
      <c r="C14" s="151" t="inlineStr">
        <is>
          <t>SEC_UEQ_UEQY</t>
        </is>
      </c>
      <c r="D14" s="151" t="inlineStr">
        <is>
          <t>Falcon Builders, L.P.</t>
        </is>
      </c>
      <c r="E14" s="151" t="inlineStr">
        <is>
          <t>L</t>
        </is>
      </c>
      <c r="F14" s="301" t="n">
        <v>3623968</v>
      </c>
      <c r="G14" s="301" t="n">
        <v>3598289</v>
      </c>
      <c r="H14" s="151" t="inlineStr">
        <is>
          <t>USD</t>
        </is>
      </c>
      <c r="I14" s="151" t="inlineStr">
        <is>
          <t>NORTHAMERICA</t>
        </is>
      </c>
      <c r="L14" s="243" t="n"/>
    </row>
    <row r="15" customFormat="1" s="151">
      <c r="A15" s="151" t="inlineStr">
        <is>
          <t>POSITION_COMPACT</t>
        </is>
      </c>
      <c r="B15" s="151" t="inlineStr">
        <is>
          <t>Ridgeline V Parallel Fund, L.P.</t>
        </is>
      </c>
      <c r="C15" s="151" t="inlineStr">
        <is>
          <t>SEC_UEQ_UEQY</t>
        </is>
      </c>
      <c r="D15" s="151" t="inlineStr">
        <is>
          <t>DX Healthcare Partners IV (B), L.P.</t>
        </is>
      </c>
      <c r="E15" s="151" t="inlineStr">
        <is>
          <t>L</t>
        </is>
      </c>
      <c r="F15" s="301" t="n">
        <v>3754086</v>
      </c>
      <c r="G15" s="301" t="n">
        <v>5453019</v>
      </c>
      <c r="H15" s="151" t="inlineStr">
        <is>
          <t>USD</t>
        </is>
      </c>
      <c r="I15" s="151" t="inlineStr">
        <is>
          <t>NORTHAMERICA</t>
        </is>
      </c>
      <c r="L15" s="243" t="n"/>
    </row>
    <row r="16" customFormat="1" s="151">
      <c r="A16" s="151" t="inlineStr">
        <is>
          <t>POSITION_COMPACT</t>
        </is>
      </c>
      <c r="B16" s="151" t="inlineStr">
        <is>
          <t>Ridgeline V Parallel Fund, L.P.</t>
        </is>
      </c>
      <c r="C16" s="307" t="inlineStr">
        <is>
          <t>CIU_NAM_OTHR</t>
        </is>
      </c>
      <c r="D16" s="151" t="inlineStr">
        <is>
          <t>Forte Consumer Capital Fund III, LP</t>
        </is>
      </c>
      <c r="E16" s="151" t="inlineStr">
        <is>
          <t>L</t>
        </is>
      </c>
      <c r="F16" s="301" t="n">
        <v>3918323</v>
      </c>
      <c r="G16" s="301" t="n">
        <v>5817610</v>
      </c>
      <c r="H16" s="151" t="inlineStr">
        <is>
          <t>USD</t>
        </is>
      </c>
      <c r="I16" s="151" t="inlineStr">
        <is>
          <t>NORTHAMERICA</t>
        </is>
      </c>
      <c r="L16" s="243" t="n"/>
    </row>
    <row r="17" customFormat="1" s="151">
      <c r="A17" s="151" t="inlineStr">
        <is>
          <t>POSITION_COMPACT</t>
        </is>
      </c>
      <c r="B17" s="151" t="inlineStr">
        <is>
          <t>Ridgeline V Parallel Fund, L.P.</t>
        </is>
      </c>
      <c r="C17" s="151" t="inlineStr">
        <is>
          <t>SEC_UEQ_UEQY</t>
        </is>
      </c>
      <c r="D17" s="151" t="inlineStr">
        <is>
          <t>MedBridge Hearing Holdings, LLC</t>
        </is>
      </c>
      <c r="E17" s="151" t="inlineStr">
        <is>
          <t>L</t>
        </is>
      </c>
      <c r="F17" s="301" t="n">
        <v>1185564</v>
      </c>
      <c r="G17" s="301" t="n">
        <v>724060</v>
      </c>
      <c r="H17" s="151" t="inlineStr">
        <is>
          <t>USD</t>
        </is>
      </c>
      <c r="I17" s="151" t="inlineStr">
        <is>
          <t>NORTHAMERICA</t>
        </is>
      </c>
      <c r="L17" s="243" t="n"/>
    </row>
    <row r="18" customFormat="1" s="151">
      <c r="A18" s="151" t="inlineStr">
        <is>
          <t>POSITION_COMPACT</t>
        </is>
      </c>
      <c r="B18" s="151" t="inlineStr">
        <is>
          <t>Ridgeline V Parallel Fund, L.P.</t>
        </is>
      </c>
      <c r="C18" s="151" t="inlineStr">
        <is>
          <t>SEC_UEQ_UEQY</t>
        </is>
      </c>
      <c r="D18" s="151" t="inlineStr">
        <is>
          <t>MedBridge Hospitalist Holdings, LLC</t>
        </is>
      </c>
      <c r="E18" s="151" t="inlineStr">
        <is>
          <t>L</t>
        </is>
      </c>
      <c r="F18" s="301" t="n">
        <v>792661</v>
      </c>
      <c r="G18" s="301" t="n">
        <v>1035861</v>
      </c>
      <c r="H18" s="151" t="inlineStr">
        <is>
          <t>USD</t>
        </is>
      </c>
      <c r="I18" s="151" t="inlineStr">
        <is>
          <t>NORTHAMERICA</t>
        </is>
      </c>
      <c r="L18" s="243" t="n"/>
    </row>
    <row r="19" customFormat="1" s="151">
      <c r="A19" s="151" t="inlineStr">
        <is>
          <t>POSITION_COMPACT</t>
        </is>
      </c>
      <c r="B19" s="151" t="inlineStr">
        <is>
          <t>Ridgeline V Parallel Fund, L.P.</t>
        </is>
      </c>
      <c r="C19" s="307" t="inlineStr">
        <is>
          <t>CIU_NAM_OTHR</t>
        </is>
      </c>
      <c r="D19" s="151" t="inlineStr">
        <is>
          <t>MedBridge Investment Fund III (Parallel Fund), L.P.</t>
        </is>
      </c>
      <c r="E19" s="151" t="inlineStr">
        <is>
          <t>L</t>
        </is>
      </c>
      <c r="F19" s="301" t="n">
        <v>3899996</v>
      </c>
      <c r="G19" s="301" t="n">
        <v>3668621</v>
      </c>
      <c r="H19" s="151" t="inlineStr">
        <is>
          <t>USD</t>
        </is>
      </c>
      <c r="I19" s="151" t="inlineStr">
        <is>
          <t>NORTHAMERICA</t>
        </is>
      </c>
      <c r="L19" s="243" t="n"/>
    </row>
    <row r="20" customFormat="1" s="151">
      <c r="A20" s="151" t="inlineStr">
        <is>
          <t>POSITION_COMPACT</t>
        </is>
      </c>
      <c r="B20" s="151" t="inlineStr">
        <is>
          <t>Ridgeline V Parallel Fund, L.P.</t>
        </is>
      </c>
      <c r="C20" s="151" t="inlineStr">
        <is>
          <t>SEC_UEQ_UEQY</t>
        </is>
      </c>
      <c r="D20" s="151" t="inlineStr">
        <is>
          <t>MCN Capital Partners III, L.P.</t>
        </is>
      </c>
      <c r="E20" s="151" t="inlineStr">
        <is>
          <t>L</t>
        </is>
      </c>
      <c r="F20" s="301" t="n">
        <v>1680030</v>
      </c>
      <c r="G20" s="301" t="n">
        <v>1388751</v>
      </c>
      <c r="H20" s="151" t="inlineStr">
        <is>
          <t>USD</t>
        </is>
      </c>
      <c r="I20" s="151" t="inlineStr">
        <is>
          <t>NORTHAMERICA</t>
        </is>
      </c>
      <c r="L20" s="243" t="n"/>
    </row>
    <row r="21" customFormat="1" s="151">
      <c r="A21" s="151" t="inlineStr">
        <is>
          <t>POSITION_COMPACT</t>
        </is>
      </c>
      <c r="B21" s="151" t="inlineStr">
        <is>
          <t>Ridgeline V Parallel Fund, L.P.</t>
        </is>
      </c>
      <c r="C21" s="307" t="inlineStr">
        <is>
          <t>CIU_NAM_OTHR</t>
        </is>
      </c>
      <c r="D21" s="151" t="inlineStr">
        <is>
          <t>New Haven Capital Fund II-A, LP</t>
        </is>
      </c>
      <c r="E21" s="151" t="inlineStr">
        <is>
          <t>L</t>
        </is>
      </c>
      <c r="F21" s="301" t="n">
        <v>9663705</v>
      </c>
      <c r="G21" s="301" t="n">
        <v>11502604</v>
      </c>
      <c r="H21" s="151" t="inlineStr">
        <is>
          <t>USD</t>
        </is>
      </c>
      <c r="I21" s="151" t="inlineStr">
        <is>
          <t>NORTHAMERICA</t>
        </is>
      </c>
      <c r="L21" s="243" t="n"/>
    </row>
    <row r="22" customFormat="1" s="151">
      <c r="A22" s="151" t="inlineStr">
        <is>
          <t>POSITION_COMPACT</t>
        </is>
      </c>
      <c r="B22" s="151" t="inlineStr">
        <is>
          <t>Ridgeline V Parallel Fund, L.P.</t>
        </is>
      </c>
      <c r="C22" s="307" t="inlineStr">
        <is>
          <t>CIU_NAM_OTHR</t>
        </is>
      </c>
      <c r="D22" s="151" t="inlineStr">
        <is>
          <t>ORH Opportunity Fund II, L.P.</t>
        </is>
      </c>
      <c r="E22" s="151" t="inlineStr">
        <is>
          <t>L</t>
        </is>
      </c>
      <c r="F22" s="301" t="n">
        <v>78535</v>
      </c>
      <c r="G22" s="301" t="n">
        <v>53986</v>
      </c>
      <c r="H22" s="151" t="inlineStr">
        <is>
          <t>USD</t>
        </is>
      </c>
      <c r="I22" s="151" t="inlineStr">
        <is>
          <t>NORTHAMERICA</t>
        </is>
      </c>
      <c r="L22" s="243" t="n"/>
    </row>
    <row r="23" customFormat="1" s="151">
      <c r="A23" s="151" t="inlineStr">
        <is>
          <t>POSITION_COMPACT</t>
        </is>
      </c>
      <c r="B23" s="151" t="inlineStr">
        <is>
          <t>Ridgeline V Parallel Fund, L.P.</t>
        </is>
      </c>
      <c r="C23" s="307" t="inlineStr">
        <is>
          <t>CIU_NAM_OTHR</t>
        </is>
      </c>
      <c r="D23" s="151" t="inlineStr">
        <is>
          <t>ORH Opportunity Fund III, L.P.</t>
        </is>
      </c>
      <c r="E23" s="151" t="inlineStr">
        <is>
          <t>L</t>
        </is>
      </c>
      <c r="F23" s="301" t="n">
        <v>4414172</v>
      </c>
      <c r="G23" s="301" t="n">
        <v>5581367</v>
      </c>
      <c r="H23" s="151" t="inlineStr">
        <is>
          <t>USD</t>
        </is>
      </c>
      <c r="I23" s="151" t="inlineStr">
        <is>
          <t>NORTHAMERICA</t>
        </is>
      </c>
      <c r="L23" s="243" t="n"/>
    </row>
    <row r="24" customFormat="1" s="151">
      <c r="A24" s="151" t="inlineStr">
        <is>
          <t>POSITION_COMPACT</t>
        </is>
      </c>
      <c r="B24" s="151" t="inlineStr">
        <is>
          <t>Ridgeline V Parallel Fund, L.P.</t>
        </is>
      </c>
      <c r="C24" s="151" t="inlineStr">
        <is>
          <t>SEC_UEQ_UEQY</t>
        </is>
      </c>
      <c r="D24" s="151" t="inlineStr">
        <is>
          <t>ORH OTR Coinvestment, LP</t>
        </is>
      </c>
      <c r="E24" s="151" t="inlineStr">
        <is>
          <t>L</t>
        </is>
      </c>
      <c r="F24" s="301" t="n">
        <v>1710775</v>
      </c>
      <c r="G24" s="301" t="n">
        <v>1757514</v>
      </c>
      <c r="H24" s="151" t="inlineStr">
        <is>
          <t>USD</t>
        </is>
      </c>
      <c r="I24" s="151" t="inlineStr">
        <is>
          <t>NORTHAMERICA</t>
        </is>
      </c>
      <c r="L24" s="243" t="n"/>
    </row>
    <row r="25" customFormat="1" s="151">
      <c r="A25" s="151" t="inlineStr">
        <is>
          <t>#ignore this line</t>
        </is>
      </c>
      <c r="B25" s="151" t="inlineStr">
        <is>
          <t>Ridgeline V Parallel Fund, L.P.</t>
        </is>
      </c>
      <c r="C25" s="151" t="inlineStr">
        <is>
          <t>SEC_UEQ_UEQY</t>
        </is>
      </c>
      <c r="D25" s="151" t="inlineStr">
        <is>
          <t>ORG USME Coinvestment, LP</t>
        </is>
      </c>
      <c r="E25" s="151" t="inlineStr">
        <is>
          <t>L</t>
        </is>
      </c>
      <c r="F25" s="301" t="n">
        <v>0</v>
      </c>
      <c r="G25" s="301" t="n">
        <v>0</v>
      </c>
      <c r="H25" s="151" t="inlineStr">
        <is>
          <t>USD</t>
        </is>
      </c>
      <c r="I25" s="151" t="inlineStr">
        <is>
          <t>NORTHAMERICA</t>
        </is>
      </c>
      <c r="L25" s="243" t="n"/>
    </row>
    <row r="26" customFormat="1" s="151">
      <c r="A26" s="151" t="inlineStr">
        <is>
          <t>POSITION_COMPACT</t>
        </is>
      </c>
      <c r="B26" s="151" t="inlineStr">
        <is>
          <t>Ridgeline V Parallel Fund, L.P.</t>
        </is>
      </c>
      <c r="C26" s="307" t="inlineStr">
        <is>
          <t>CIU_NAM_OTHR</t>
        </is>
      </c>
      <c r="D26" s="151" t="inlineStr">
        <is>
          <t>Coral Bay Capital Fund IV, L.P.</t>
        </is>
      </c>
      <c r="E26" s="151" t="inlineStr">
        <is>
          <t>L</t>
        </is>
      </c>
      <c r="F26" s="301" t="n">
        <v>3798687</v>
      </c>
      <c r="G26" s="301" t="n">
        <v>3687053</v>
      </c>
      <c r="H26" s="151" t="inlineStr">
        <is>
          <t>USD</t>
        </is>
      </c>
      <c r="I26" s="151" t="inlineStr">
        <is>
          <t>NORTHAMERICA</t>
        </is>
      </c>
      <c r="L26" s="243" t="n"/>
    </row>
    <row r="27" customFormat="1" s="151">
      <c r="A27" s="151" t="inlineStr">
        <is>
          <t>POSITION_COMPACT</t>
        </is>
      </c>
      <c r="B27" s="151" t="inlineStr">
        <is>
          <t>Ridgeline V Parallel Fund, L.P.</t>
        </is>
      </c>
      <c r="C27" s="151" t="inlineStr">
        <is>
          <t>SEC_UEQ_UEQY</t>
        </is>
      </c>
      <c r="D27" s="151" t="inlineStr">
        <is>
          <t>PBC Lancer Co-Investors, L.P.</t>
        </is>
      </c>
      <c r="E27" s="151" t="inlineStr">
        <is>
          <t>L</t>
        </is>
      </c>
      <c r="F27" s="301" t="n">
        <v>548</v>
      </c>
      <c r="G27" s="301" t="n">
        <v>323</v>
      </c>
      <c r="H27" s="151" t="inlineStr">
        <is>
          <t>USD</t>
        </is>
      </c>
      <c r="I27" s="151" t="inlineStr">
        <is>
          <t>NORTHAMERICA</t>
        </is>
      </c>
      <c r="L27" s="243" t="n"/>
    </row>
    <row r="28" customFormat="1" s="151">
      <c r="A28" s="151" t="inlineStr">
        <is>
          <t>POSITION_COMPACT</t>
        </is>
      </c>
      <c r="B28" s="151" t="inlineStr">
        <is>
          <t>Ridgeline V Parallel Fund, L.P.</t>
        </is>
      </c>
      <c r="C28" s="307" t="inlineStr">
        <is>
          <t>CIU_NAM_OTHR</t>
        </is>
      </c>
      <c r="D28" s="151" t="inlineStr">
        <is>
          <t>Stone Hill Capital III-B, LP</t>
        </is>
      </c>
      <c r="E28" s="151" t="inlineStr">
        <is>
          <t>L</t>
        </is>
      </c>
      <c r="F28" s="301" t="n">
        <v>5219009</v>
      </c>
      <c r="G28" s="301" t="n">
        <v>5008429</v>
      </c>
      <c r="H28" s="151" t="inlineStr">
        <is>
          <t>USD</t>
        </is>
      </c>
      <c r="I28" s="151" t="inlineStr">
        <is>
          <t>NORTHAMERICA</t>
        </is>
      </c>
      <c r="L28" s="243" t="n"/>
    </row>
    <row r="29" customFormat="1" s="151">
      <c r="A29" s="151" t="inlineStr">
        <is>
          <t>POSITION_COMPACT</t>
        </is>
      </c>
      <c r="B29" s="151" t="inlineStr">
        <is>
          <t>Ridgeline V Parallel Fund, L.P.</t>
        </is>
      </c>
      <c r="C29" s="307" t="inlineStr">
        <is>
          <t>CIU_NAM_OTHR</t>
        </is>
      </c>
      <c r="D29" s="151" t="inlineStr">
        <is>
          <t>Northfield Capital II LP (a)</t>
        </is>
      </c>
      <c r="E29" s="151" t="inlineStr">
        <is>
          <t>L</t>
        </is>
      </c>
      <c r="F29" s="301" t="n">
        <v>4530406</v>
      </c>
      <c r="G29" s="301" t="n">
        <v>3161201</v>
      </c>
      <c r="H29" s="151" t="inlineStr">
        <is>
          <t>USD</t>
        </is>
      </c>
      <c r="I29" s="151" t="inlineStr">
        <is>
          <t>NORTHAMERICA</t>
        </is>
      </c>
      <c r="L29" s="243" t="n"/>
    </row>
    <row r="30" customFormat="1" s="151">
      <c r="A30" s="151" t="inlineStr">
        <is>
          <t>POSITION_COMPACT</t>
        </is>
      </c>
      <c r="B30" s="151" t="inlineStr">
        <is>
          <t>Ridgeline V Parallel Fund, L.P.</t>
        </is>
      </c>
      <c r="C30" s="151" t="inlineStr">
        <is>
          <t>SEC_CSH_OTHC</t>
        </is>
      </c>
      <c r="D30" s="151" t="inlineStr">
        <is>
          <t>Cash and cash equivalents</t>
        </is>
      </c>
      <c r="E30" s="151" t="inlineStr">
        <is>
          <t>L</t>
        </is>
      </c>
      <c r="F30" s="301" t="n">
        <v>2015251</v>
      </c>
      <c r="G30" s="301" t="n">
        <v>2399037</v>
      </c>
      <c r="H30" s="151" t="inlineStr">
        <is>
          <t>USD</t>
        </is>
      </c>
      <c r="I30" s="151" t="inlineStr">
        <is>
          <t>NORTHAMERICA</t>
        </is>
      </c>
    </row>
    <row r="31" customFormat="1" s="151">
      <c r="A31" s="151" t="inlineStr">
        <is>
          <t>POSITION_COMPACT</t>
        </is>
      </c>
      <c r="B31" s="151" t="inlineStr">
        <is>
          <t>Ridgeline V Parallel Fund, L.P.</t>
        </is>
      </c>
      <c r="C31" s="151" t="inlineStr">
        <is>
          <t>OTH_OTH_OTHR</t>
        </is>
      </c>
      <c r="D31" s="151" t="inlineStr">
        <is>
          <t>Other assets</t>
        </is>
      </c>
      <c r="E31" s="151" t="inlineStr">
        <is>
          <t>L</t>
        </is>
      </c>
      <c r="F31" s="301" t="n">
        <v>1560440</v>
      </c>
      <c r="G31" s="301" t="n">
        <v>1419640</v>
      </c>
      <c r="H31" s="151" t="inlineStr">
        <is>
          <t>USD</t>
        </is>
      </c>
      <c r="I31" s="151" t="inlineStr">
        <is>
          <t>NORTHAMERICA</t>
        </is>
      </c>
    </row>
    <row r="32" customFormat="1" s="151">
      <c r="A32" s="151" t="inlineStr">
        <is>
          <t>POSITION_COMPACT</t>
        </is>
      </c>
      <c r="B32" s="151" t="inlineStr">
        <is>
          <t>Ridgeline V Parallel Fund, L.P.</t>
        </is>
      </c>
      <c r="C32" s="151" t="inlineStr">
        <is>
          <t>OTH_OTH_OTHR</t>
        </is>
      </c>
      <c r="D32" s="151" t="inlineStr">
        <is>
          <t>Total liabilities</t>
        </is>
      </c>
      <c r="E32" s="151" t="inlineStr">
        <is>
          <t>S</t>
        </is>
      </c>
      <c r="F32" s="301" t="n">
        <v>0</v>
      </c>
      <c r="G32" s="301" t="n">
        <v>-2125</v>
      </c>
      <c r="H32" s="151" t="inlineStr">
        <is>
          <t>USD</t>
        </is>
      </c>
      <c r="I32" s="151" t="inlineStr">
        <is>
          <t>NORTHAMERICA</t>
        </is>
      </c>
    </row>
    <row r="33" customFormat="1" s="151">
      <c r="A33" s="307" t="n"/>
      <c r="E33" s="256" t="n"/>
      <c r="F33" s="301" t="n"/>
      <c r="G33" s="301" t="n"/>
    </row>
    <row r="34" customFormat="1" s="151">
      <c r="A34" s="307" t="n"/>
      <c r="E34" s="256" t="n"/>
      <c r="F34" s="301" t="n"/>
      <c r="G34" s="301" t="n"/>
    </row>
    <row r="35" customFormat="1" s="151">
      <c r="A35" s="255" t="inlineStr">
        <is>
          <t># TURNOVER for Stuyvesant comes from a separate sheet because there are two sub-asset types, ask Brandon.</t>
        </is>
      </c>
      <c r="B35" s="255" t="n"/>
      <c r="C35" s="255" t="n"/>
      <c r="D35" s="255" t="n"/>
      <c r="E35" s="255" t="n"/>
      <c r="F35" s="255" t="n"/>
      <c r="G35" s="255" t="n"/>
      <c r="H35" s="255" t="n"/>
    </row>
    <row r="36" customFormat="1" s="151">
      <c r="A36" s="25" t="inlineStr">
        <is>
          <t># XLS - Cash Flow - Investments in portfolio companies</t>
        </is>
      </c>
      <c r="B36" s="365" t="n">
        <v>-227747</v>
      </c>
      <c r="D36" s="25" t="inlineStr">
        <is>
          <t># Turn-Over (Funds) -&gt; CIU_CIU_CIU</t>
        </is>
      </c>
      <c r="E36" s="256" t="n"/>
      <c r="F36" s="303" t="n"/>
      <c r="G36" s="301" t="n"/>
    </row>
    <row r="37" customFormat="1" s="151">
      <c r="A37" s="25" t="inlineStr">
        <is>
          <t># XLS - Cash Flow - Distributions from portfolio companies</t>
        </is>
      </c>
      <c r="B37" s="365" t="n">
        <v>796877</v>
      </c>
      <c r="D37" s="25" t="inlineStr">
        <is>
          <t># Turn-Over (Co-Investments) -&gt; SEQ_UEQ_UEQ</t>
        </is>
      </c>
      <c r="E37" s="256" t="n"/>
      <c r="F37" s="303" t="n"/>
      <c r="G37" s="301" t="n"/>
    </row>
    <row r="38">
      <c r="F38" s="302" t="n"/>
      <c r="G38" s="302" t="n"/>
    </row>
    <row r="39">
      <c r="A39" s="23" t="inlineStr">
        <is>
          <t>#TURNOVER</t>
        </is>
      </c>
      <c r="B39" s="23" t="inlineStr">
        <is>
          <t>Custom AIF Identification</t>
        </is>
      </c>
      <c r="C39" s="35" t="inlineStr">
        <is>
          <t>Sub-asset type code of turnover</t>
        </is>
      </c>
      <c r="D39" s="23" t="inlineStr">
        <is>
          <t>Market value of turnover</t>
        </is>
      </c>
      <c r="E39" s="23" t="inlineStr">
        <is>
          <t>Notional value of turnover</t>
        </is>
      </c>
      <c r="F39" s="28" t="n"/>
      <c r="G39" s="28" t="n"/>
      <c r="H39" s="28" t="n"/>
      <c r="I39" s="28" t="n"/>
      <c r="J39" s="28" t="n"/>
      <c r="K39" s="28" t="n"/>
      <c r="L39" s="28" t="n"/>
      <c r="M39" s="28" t="n"/>
    </row>
    <row r="40">
      <c r="A40" s="29" t="inlineStr">
        <is>
          <t>#AIF fieldnummers</t>
        </is>
      </c>
      <c r="B40" s="38" t="inlineStr">
        <is>
          <t>AIF_ID</t>
        </is>
      </c>
      <c r="C40" s="29" t="n">
        <v>125</v>
      </c>
      <c r="D40" s="29" t="n">
        <v>126</v>
      </c>
      <c r="E40" s="29" t="n">
        <v>127</v>
      </c>
    </row>
    <row r="41" customFormat="1" s="151">
      <c r="A41" s="151" t="inlineStr">
        <is>
          <t>TURNOVER</t>
        </is>
      </c>
      <c r="B41" s="151" t="inlineStr">
        <is>
          <t>Ridgeline V Parallel Fund, L.P.</t>
        </is>
      </c>
      <c r="C41" s="153" t="inlineStr">
        <is>
          <t>CIU_CIU_CIU</t>
        </is>
      </c>
      <c r="D41" s="345">
        <f>ABS(B36)+ABS(B37)</f>
        <v/>
      </c>
      <c r="E41" s="349" t="n"/>
    </row>
    <row r="42" customFormat="1" s="151">
      <c r="A42" s="151" t="inlineStr">
        <is>
          <t>#ignore this line</t>
        </is>
      </c>
      <c r="B42" s="151" t="inlineStr">
        <is>
          <t>Ridgeline V Parallel Fund, L.P.</t>
        </is>
      </c>
      <c r="C42" s="153" t="inlineStr">
        <is>
          <t>SEC_UEQ_UEQ</t>
        </is>
      </c>
      <c r="D42" s="345">
        <f>B37</f>
        <v/>
      </c>
      <c r="E42" s="349" t="n"/>
    </row>
    <row r="43" customFormat="1" s="151">
      <c r="C43" s="153" t="n"/>
      <c r="D43" s="349" t="n"/>
      <c r="E43" s="349" t="n"/>
    </row>
    <row r="44" customFormat="1" s="151">
      <c r="C44" s="153" t="n"/>
      <c r="D44" s="349" t="n"/>
      <c r="E44" s="349" t="n"/>
    </row>
    <row r="45" customFormat="1" s="151">
      <c r="A45" s="255" t="inlineStr">
        <is>
          <t># Used for HISTORICAL_RISK_PROFILE.</t>
        </is>
      </c>
      <c r="B45" s="255" t="n"/>
      <c r="C45" s="255" t="n"/>
      <c r="D45" s="255" t="n"/>
      <c r="E45" s="255" t="n"/>
      <c r="F45" s="255" t="n"/>
      <c r="G45" s="255" t="n"/>
      <c r="H45" s="255" t="n"/>
    </row>
    <row r="46" customFormat="1" s="151">
      <c r="A46" s="285" t="inlineStr">
        <is>
          <t># XLS - Income Statement - Total operating expenses</t>
        </is>
      </c>
      <c r="B46" s="288" t="n">
        <v>104824</v>
      </c>
      <c r="C46" s="343" t="inlineStr">
        <is>
          <t>&lt;= Expenses</t>
        </is>
      </c>
    </row>
    <row r="47" customFormat="1" s="151">
      <c r="A47" s="285" t="inlineStr">
        <is>
          <t># XLS - Income Statement - Net increase (decrease) in partners' capital from operations</t>
        </is>
      </c>
      <c r="B47" s="288" t="n">
        <v>1711069</v>
      </c>
      <c r="C47" s="344" t="inlineStr">
        <is>
          <t>&lt;= Real Net</t>
        </is>
      </c>
    </row>
    <row r="48" customFormat="1" s="151">
      <c r="A48" s="338" t="inlineStr">
        <is>
          <t># XLS - Cash Flow - Capital contributions</t>
        </is>
      </c>
      <c r="B48" s="339" t="n">
        <v>0</v>
      </c>
      <c r="D48" s="340" t="n"/>
    </row>
    <row r="49" customFormat="1" s="151">
      <c r="A49" s="338" t="inlineStr">
        <is>
          <t># XLS - Cash Flow - Capital distributions</t>
        </is>
      </c>
      <c r="B49" s="339" t="n">
        <v>0</v>
      </c>
      <c r="C49" s="338" t="inlineStr">
        <is>
          <t>Negative!</t>
        </is>
      </c>
      <c r="D49" s="349" t="n"/>
      <c r="E49" s="349" t="n"/>
      <c r="F49" s="349" t="n"/>
      <c r="G49" s="349" t="n"/>
      <c r="H49" s="349" t="n"/>
    </row>
    <row r="50" customFormat="1" s="151">
      <c r="A50" s="338" t="n"/>
      <c r="B50" s="342" t="n"/>
      <c r="C50" s="349" t="n"/>
      <c r="D50" s="349" t="n"/>
      <c r="E50" s="349" t="n"/>
      <c r="F50" s="349" t="n"/>
      <c r="G50" s="349" t="n"/>
      <c r="H50" s="349" t="n"/>
    </row>
    <row r="51" customFormat="1" s="151">
      <c r="A51" s="151" t="inlineStr">
        <is>
          <t># Calculated: Start NAV</t>
        </is>
      </c>
      <c r="B51" s="341">
        <f>B52-B47-B48-B49</f>
        <v/>
      </c>
      <c r="C51" s="349" t="n"/>
      <c r="D51" s="349" t="n"/>
      <c r="E51" s="349" t="n"/>
      <c r="F51" s="349" t="n"/>
      <c r="G51" s="349" t="n"/>
      <c r="H51" s="349" t="n"/>
      <c r="I51" s="349" t="n"/>
      <c r="J51" s="349" t="n"/>
    </row>
    <row r="52" customFormat="1" s="151">
      <c r="A52" s="151" t="inlineStr">
        <is>
          <t># Calculated: End NAV</t>
        </is>
      </c>
      <c r="B52" s="341">
        <f>SUM(G5:G34)</f>
        <v/>
      </c>
      <c r="C52" s="349" t="n"/>
      <c r="D52" s="349" t="n"/>
      <c r="E52" s="349" t="n"/>
      <c r="F52" s="349" t="n"/>
      <c r="G52" s="349" t="n"/>
      <c r="H52" s="349" t="n"/>
      <c r="I52" s="349" t="n"/>
      <c r="J52" s="349" t="n"/>
    </row>
    <row r="53" customFormat="1" s="28">
      <c r="A53" s="151" t="n"/>
      <c r="B53" s="264" t="n"/>
      <c r="C53" s="349" t="n"/>
      <c r="D53" s="349" t="n"/>
      <c r="E53" s="349" t="n"/>
      <c r="F53" s="349" t="n"/>
      <c r="G53" s="308" t="n"/>
      <c r="H53" s="308" t="n"/>
      <c r="I53" s="25" t="n"/>
      <c r="J53" s="25" t="n"/>
      <c r="K53" s="25" t="n"/>
      <c r="L53" s="25" t="n"/>
      <c r="M53" s="25" t="n"/>
    </row>
    <row r="54">
      <c r="A54" s="31" t="inlineStr">
        <is>
          <t>#HISTORICAL_RISK_PROFILE</t>
        </is>
      </c>
      <c r="B54" s="23" t="inlineStr">
        <is>
          <t>Custom AIF Identification</t>
        </is>
      </c>
      <c r="C54" s="32" t="inlineStr">
        <is>
          <t>Month</t>
        </is>
      </c>
      <c r="D54" s="32" t="inlineStr">
        <is>
          <t>Percentage of gross investment returns</t>
        </is>
      </c>
      <c r="E54" s="32" t="inlineStr">
        <is>
          <t>Percentage of net investment returns</t>
        </is>
      </c>
      <c r="F54" s="32" t="inlineStr">
        <is>
          <t>Percentage of NAV change</t>
        </is>
      </c>
      <c r="G54" s="32" t="inlineStr">
        <is>
          <t>Subscriptions in base currency</t>
        </is>
      </c>
      <c r="H54" s="32" t="inlineStr">
        <is>
          <t>Redemptions  in base currency</t>
        </is>
      </c>
    </row>
    <row r="55" customFormat="1" s="151">
      <c r="A55" s="33" t="inlineStr">
        <is>
          <t>#AIF fieldnummers</t>
        </is>
      </c>
      <c r="B55" s="38" t="inlineStr">
        <is>
          <t>AIF_ID</t>
        </is>
      </c>
      <c r="C55" s="235" t="inlineStr">
        <is>
          <t>219-278</t>
        </is>
      </c>
      <c r="D55" s="235" t="inlineStr">
        <is>
          <t>219-230</t>
        </is>
      </c>
      <c r="E55" s="235" t="inlineStr">
        <is>
          <t>231-242</t>
        </is>
      </c>
      <c r="F55" s="235" t="inlineStr">
        <is>
          <t>243-254</t>
        </is>
      </c>
      <c r="G55" s="235" t="inlineStr">
        <is>
          <t>255-266</t>
        </is>
      </c>
      <c r="H55" s="235" t="inlineStr">
        <is>
          <t>267-278</t>
        </is>
      </c>
    </row>
    <row r="56" customFormat="1" s="151">
      <c r="A56" s="151" t="inlineStr">
        <is>
          <t>HISTORICAL_RISK_PROFILE</t>
        </is>
      </c>
      <c r="B56" s="151" t="inlineStr">
        <is>
          <t>Ridgeline V Parallel Fund, L.P.</t>
        </is>
      </c>
      <c r="C56" s="310" t="n"/>
      <c r="D56" s="311">
        <f>(B47+B46)/B51*100</f>
        <v/>
      </c>
      <c r="E56" s="311">
        <f>B47/B51*100</f>
        <v/>
      </c>
      <c r="F56" s="311">
        <f>(B52-B51)/B51*100</f>
        <v/>
      </c>
      <c r="G56" s="345">
        <f>ABS(B48)</f>
        <v/>
      </c>
      <c r="H56" s="345">
        <f>ABS(B49)</f>
        <v/>
      </c>
    </row>
    <row r="57" customFormat="1" s="151">
      <c r="D57" s="192" t="n"/>
      <c r="E57" s="192" t="n"/>
      <c r="F57" s="192" t="n"/>
      <c r="G57" s="338" t="n"/>
      <c r="H57" s="338" t="n"/>
    </row>
    <row r="58" customFormat="1" s="41">
      <c r="A58" s="40" t="inlineStr">
        <is>
          <t>#END OF  TEMPLATE</t>
        </is>
      </c>
      <c r="B58" s="40" t="n"/>
      <c r="C58" s="40" t="n"/>
      <c r="D58" s="40" t="n"/>
      <c r="E58" s="40" t="inlineStr">
        <is>
          <t>#END OF  TEMPLATE</t>
        </is>
      </c>
      <c r="F58" s="40" t="n"/>
      <c r="G58" s="40" t="n"/>
      <c r="H58" s="40" t="n"/>
      <c r="I58" s="40" t="n"/>
      <c r="J58" s="40" t="inlineStr">
        <is>
          <t>#END OF  TEMPLATE</t>
        </is>
      </c>
      <c r="K58" s="40" t="n"/>
      <c r="L58" s="40" t="n"/>
      <c r="M58" s="40" t="n"/>
      <c r="N58" s="40" t="n"/>
      <c r="P58" s="40" t="inlineStr">
        <is>
          <t>#END OF  TEMPLATE</t>
        </is>
      </c>
    </row>
  </sheetData>
  <autoFilter ref="A3:AO29"/>
  <dataValidations count="26">
    <dataValidation sqref="B5:B34 B41:B43 B56:B57" showDropDown="0" showInputMessage="1" showErrorMessage="1" allowBlank="1" promptTitle="Mandatory" prompt="Unique AIF id to which this record applies.  _x000a__x000a_Add new AIFs in the AIF section._x000a_"/>
    <dataValidation sqref="B53" showDropDown="0" showInputMessage="1" showErrorMessage="1" allowBlank="1" promptTitle="Mandatory" prompt="Unique AIF id to which this record applies.  _x000a__x000a_Add new AIFs in the AIF section."/>
    <dataValidation sqref="C36:C3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2:E34 E36:E3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6:F3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5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46 C49:C5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8:A50 A52 D49:H53 I51:J52" showDropDown="0" showInputMessage="1" showErrorMessage="1" allowBlank="1" promptTitle="Mandatory" prompt="Expressed as a percentage (entered here as a number, e.g. enter 1.23% as 1.23)._x000a__x000a_The total should equal 100%."/>
    <dataValidation sqref="D6:D34" showDropDown="0" showInputMessage="1" showErrorMessage="1" allowBlank="1" promptTitle="Mandatory" prompt="No standard. It is strongly recommended to provide the instrument short name as provided by Swift under ISO18774 when available."/>
    <dataValidation sqref="A56:A5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6:D57 E56:F5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7" showDropDown="0" showInputMessage="1" showErrorMessage="1" allowBlank="1" promptTitle="Mandatory" prompt="Monthly changes in NAV including the impact of subscriptions and redemptions._x000a__x000a_Expressed as a percentage (entered here as a number, e.g. enter 1.23% as 1.23)."/>
    <dataValidation sqref="B48 D48 G56:G57" showDropDown="0" showInputMessage="1" showErrorMessage="1" allowBlank="1" promptTitle="Mandatory" prompt="Subscriptions in base currency during month."/>
    <dataValidation sqref="B49:B51 H56:H57" showDropDown="0" showInputMessage="1" showErrorMessage="1" allowBlank="1" promptTitle="Mandatory" prompt="Redemptions in base currency during month."/>
    <dataValidation sqref="C56:C5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33:A3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41:A44" showDropDown="0" showInputMessage="1" showErrorMessage="1" allowBlank="1" promptTitle="Conditional" prompt="The TURNOVER record is optional for AIFs with content type 2 and 4, and forbidden otherwise." type="list">
      <formula1>"TURNOVER,#ignore this line"</formula1>
    </dataValidation>
    <dataValidation sqref="D41:D44" showDropDown="0" showInputMessage="1" showErrorMessage="1" allowBlank="1" prompt="Market value of turnover in each relevant sub-asset-type during the reporting period in base-currency"/>
    <dataValidation sqref="E41:E44" showDropDown="0" showInputMessage="1" showErrorMessage="1" allowBlank="1" promptTitle="Conditional" prompt="Only for sub-asset-types starting with DER_xxx.  Notional value of turnover in each relevant sub-asset-type during the reporting period in base-currency"/>
    <dataValidation sqref="F6:F34 G6:G24 G26:G30" showDropDown="0" showInputMessage="1" showErrorMessage="1" allowBlank="1" promptTitle="Mandatory" prompt="Position value expressed in base currency (as calculated under Article 2 AIFMD)._x000a__x000a_Value cannot be negative."/>
    <dataValidation sqref="E6:E31" showDropDown="0" showInputMessage="1" showErrorMessage="1" allowBlank="1" promptTitle="Mandatory" prompt="“L” for long_x000a_“S” for short" type="list">
      <formula1>Fund75</formula1>
    </dataValidation>
    <dataValidation sqref="G25"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I29"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29"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10.xml><?xml version="1.0" encoding="utf-8"?>
<worksheet xmlns="http://schemas.openxmlformats.org/spreadsheetml/2006/main">
  <sheetPr>
    <tabColor theme="4" tint="-0.499984740745262"/>
    <outlinePr summaryBelow="1" summaryRight="1"/>
    <pageSetUpPr/>
  </sheetPr>
  <dimension ref="A1:M29"/>
  <sheetViews>
    <sheetView zoomScale="80" zoomScaleNormal="80" workbookViewId="0">
      <selection activeCell="C49" sqref="C49"/>
    </sheetView>
  </sheetViews>
  <sheetFormatPr baseColWidth="10" defaultColWidth="0" defaultRowHeight="10.5" zeroHeight="1"/>
  <cols>
    <col width="28.453125" customWidth="1" style="25" min="1" max="1"/>
    <col width="23.453125"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hidden="1" style="25" min="1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Ridgeline V Parallel Feeder C.V.</t>
        </is>
      </c>
      <c r="C6" s="151" t="inlineStr">
        <is>
          <t>CIU_OAM_OTHR</t>
        </is>
      </c>
      <c r="D6" s="151" t="inlineStr">
        <is>
          <t>Ridgeline V Parallel Fund, L.P.</t>
        </is>
      </c>
      <c r="E6" s="151" t="inlineStr">
        <is>
          <t>L</t>
        </is>
      </c>
      <c r="F6" s="286" t="n">
        <v>56578492.23</v>
      </c>
      <c r="G6" s="242" t="n"/>
      <c r="H6" s="151" t="inlineStr">
        <is>
          <t>USD</t>
        </is>
      </c>
      <c r="I6" s="151" t="inlineStr">
        <is>
          <t>NORTHAMERICA</t>
        </is>
      </c>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Ridgeline V Parallel Feeder C.V.</t>
        </is>
      </c>
      <c r="C12" s="153" t="inlineStr">
        <is>
          <t>CIU_CIU_CIU</t>
        </is>
      </c>
      <c r="D12" s="345">
        <f>ABS(B18)+ABS(B19)</f>
        <v/>
      </c>
      <c r="E12" s="349" t="n"/>
    </row>
    <row r="13" customFormat="1" s="151">
      <c r="C13" s="153" t="n"/>
      <c r="D13" s="349" t="n"/>
      <c r="E13" s="349"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-65806.25</v>
      </c>
      <c r="C16" s="343" t="inlineStr">
        <is>
          <t>&lt;= Expenses, Negative!</t>
        </is>
      </c>
    </row>
    <row r="17" customFormat="1" s="151">
      <c r="A17" s="285" t="inlineStr">
        <is>
          <t># XLS - QTD - Net Profit</t>
        </is>
      </c>
      <c r="B17" s="288" t="n">
        <v>1211064.2</v>
      </c>
      <c r="C17" s="344" t="inlineStr">
        <is>
          <t>&lt;= Real Net</t>
        </is>
      </c>
    </row>
    <row r="18" customFormat="1" s="151">
      <c r="A18" s="285" t="inlineStr">
        <is>
          <t># XLS - QTD - Deposits</t>
        </is>
      </c>
      <c r="B18" s="339" t="n">
        <v>0</v>
      </c>
      <c r="C18" s="338" t="inlineStr">
        <is>
          <t>Positive!</t>
        </is>
      </c>
      <c r="D18" s="340" t="n"/>
      <c r="I18" s="347" t="n"/>
      <c r="J18" s="347"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28">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c r="I24" s="25" t="n"/>
      <c r="J24" s="25" t="n"/>
    </row>
    <row r="25">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Ridgeline 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41">
      <c r="A28" s="151" t="n"/>
      <c r="B28" s="286" t="n"/>
      <c r="C28" s="285" t="n"/>
      <c r="D28" s="285" t="n"/>
      <c r="E28" s="285" t="n"/>
      <c r="F28" s="285" t="n"/>
      <c r="G28" s="285" t="n"/>
      <c r="H28" s="285" t="n"/>
      <c r="I28" s="24" t="n"/>
      <c r="J28" s="24" t="n"/>
    </row>
    <row r="29">
      <c r="A29" s="40" t="inlineStr">
        <is>
          <t>#END OF  TEMPLATE</t>
        </is>
      </c>
      <c r="B29" s="40" t="n"/>
      <c r="C29" s="40" t="n"/>
      <c r="D29" s="40" t="n"/>
      <c r="E29" s="40" t="inlineStr">
        <is>
          <t>#END OF  TEMPLATE</t>
        </is>
      </c>
      <c r="F29" s="40" t="n"/>
      <c r="G29" s="40" t="n"/>
      <c r="H29" s="40" t="n"/>
      <c r="I29" s="40" t="n"/>
      <c r="J29" s="40" t="inlineStr">
        <is>
          <t>#END OF  TEMPLATE</t>
        </is>
      </c>
    </row>
  </sheetData>
  <dataValidations count="25">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showDropDown="0" showInputMessage="1" showErrorMessage="1" allowBlank="1" promptTitle="Mandatory" prompt="“L” for long_x000a_“S” for short" type="list">
      <formula1>Fund75</formula1>
    </dataValidation>
    <dataValidation sqref="D6:D8" showDropDown="0" showInputMessage="1" showErrorMessage="1" allowBlank="1" promptTitle="Mandatory" prompt="No standard. It is strongly recommended to provide the instrument short name as provided by Swift under ISO18774 when available."/>
    <dataValidation sqref="B13:B14" showDropDown="0" showInputMessage="1" showErrorMessage="1" allowBlank="1" promptTitle="Mandatory" prompt="Unique AIF id to which this record applies.  _x000a__x000a_Add new AIFs in the AIF section." type="list">
      <formula1>AIF_ID</formula1>
    </dataValidation>
    <dataValidation sqref="F6:F8" showDropDown="0" showInputMessage="1" showErrorMessage="1" allowBlank="1" promptTitle="Mandatory" prompt="Position value expressed in base currency (as calculated under Article 2 AIFMD)._x000a__x000a_Value cannot be negative."/>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D12:D14" showDropDown="0" showInputMessage="1" showErrorMessage="1" allowBlank="1" prompt="Market value of turnover in each relevant sub-asset-type during the reporting period in base-currency"/>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1.xml><?xml version="1.0" encoding="utf-8"?>
<worksheet xmlns="http://schemas.openxmlformats.org/spreadsheetml/2006/main">
  <sheetPr>
    <tabColor theme="4" tint="-0.499984740745262"/>
    <outlinePr summaryBelow="1" summaryRight="1"/>
    <pageSetUpPr/>
  </sheetPr>
  <dimension ref="A1:U66"/>
  <sheetViews>
    <sheetView topLeftCell="A13" zoomScale="80" zoomScaleNormal="80" workbookViewId="0">
      <selection activeCell="D50" sqref="D50"/>
    </sheetView>
  </sheetViews>
  <sheetFormatPr baseColWidth="10" defaultColWidth="0" defaultRowHeight="10.5" zeroHeight="1"/>
  <cols>
    <col width="49.1796875" bestFit="1" customWidth="1" style="25" min="1" max="1"/>
    <col width="21.81640625" bestFit="1" customWidth="1" style="25" min="2" max="2"/>
    <col width="26.1796875" bestFit="1" customWidth="1" style="25" min="3" max="3"/>
    <col width="31.81640625" bestFit="1" customWidth="1" style="25" min="4" max="4"/>
    <col width="28.26953125" bestFit="1" customWidth="1" style="25" min="5" max="5"/>
    <col width="20.54296875" bestFit="1" customWidth="1" style="25" min="6" max="6"/>
    <col width="29.7265625" bestFit="1" customWidth="1" style="25" min="7" max="7"/>
    <col width="31.1796875" bestFit="1" customWidth="1" style="25" min="8" max="8"/>
    <col width="10.54296875" bestFit="1" customWidth="1" style="25" min="9" max="9"/>
    <col width="28.26953125" bestFit="1"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28.26953125" bestFit="1" customWidth="1" style="25" min="16" max="16"/>
    <col width="18.81640625" customWidth="1" style="25" min="17" max="17"/>
    <col width="27.453125" customWidth="1" style="25" min="18" max="18"/>
    <col width="23.81640625" bestFit="1" customWidth="1" style="25" min="19" max="19"/>
    <col width="27.81640625" bestFit="1" customWidth="1" style="25" min="20" max="20"/>
    <col width="28.26953125" bestFit="1"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Ridgeline VI Parallel Fund, L.P</t>
        </is>
      </c>
      <c r="C6" s="151" t="inlineStr">
        <is>
          <t>SEC_UEQ_UEQY</t>
        </is>
      </c>
      <c r="D6" s="151" t="inlineStr">
        <is>
          <t>Pinnacle Holdings LLC</t>
        </is>
      </c>
      <c r="E6" s="151" t="inlineStr">
        <is>
          <t>L</t>
        </is>
      </c>
      <c r="F6" s="301" t="n">
        <v>1007598</v>
      </c>
      <c r="G6" s="301" t="n">
        <v>1269367</v>
      </c>
      <c r="H6" s="151" t="inlineStr">
        <is>
          <t>USD</t>
        </is>
      </c>
      <c r="I6" s="151" t="inlineStr">
        <is>
          <t>NORTHAMERICA</t>
        </is>
      </c>
      <c r="K6" s="243" t="n"/>
      <c r="L6" s="243" t="n"/>
    </row>
    <row r="7" customFormat="1" s="151">
      <c r="A7" s="151" t="inlineStr">
        <is>
          <t>POSITION_COMPACT</t>
        </is>
      </c>
      <c r="B7" s="151" t="inlineStr">
        <is>
          <t>Ridgeline VI Parallel Fund, L.P</t>
        </is>
      </c>
      <c r="C7" s="151" t="inlineStr">
        <is>
          <t>SEC_UEQ_UEQY</t>
        </is>
      </c>
      <c r="D7" s="151" t="inlineStr">
        <is>
          <t>CRB Co-Invest Blocker, Inc.</t>
        </is>
      </c>
      <c r="E7" s="151" t="inlineStr">
        <is>
          <t>L</t>
        </is>
      </c>
      <c r="F7" s="301" t="n">
        <v>5658315</v>
      </c>
      <c r="G7" s="301" t="n">
        <v>4011441</v>
      </c>
      <c r="H7" s="151" t="inlineStr">
        <is>
          <t>USD</t>
        </is>
      </c>
      <c r="I7" s="151" t="inlineStr">
        <is>
          <t>NORTHAMERICA</t>
        </is>
      </c>
    </row>
    <row r="8" customFormat="1" s="151">
      <c r="A8" s="151" t="inlineStr">
        <is>
          <t>POSITION_COMPACT</t>
        </is>
      </c>
      <c r="B8" s="151" t="inlineStr">
        <is>
          <t>Ridgeline VI Parallel Fund, L.P</t>
        </is>
      </c>
      <c r="C8" s="307" t="inlineStr">
        <is>
          <t>CIU_NAM_OTHR</t>
        </is>
      </c>
      <c r="D8" s="151" t="inlineStr">
        <is>
          <t xml:space="preserve">Meridian Capital Fund, L.P. </t>
        </is>
      </c>
      <c r="E8" s="151" t="inlineStr">
        <is>
          <t>L</t>
        </is>
      </c>
      <c r="F8" s="301" t="n">
        <v>8888394</v>
      </c>
      <c r="G8" s="301" t="n">
        <v>8218446</v>
      </c>
      <c r="H8" s="151" t="inlineStr">
        <is>
          <t>USD</t>
        </is>
      </c>
      <c r="I8" s="151" t="inlineStr">
        <is>
          <t>NORTHAMERICA</t>
        </is>
      </c>
    </row>
    <row r="9" customFormat="1" s="151">
      <c r="A9" s="151" t="inlineStr">
        <is>
          <t>POSITION_COMPACT</t>
        </is>
      </c>
      <c r="B9" s="151" t="inlineStr">
        <is>
          <t>Ridgeline VI Parallel Fund, L.P</t>
        </is>
      </c>
      <c r="C9" s="307" t="inlineStr">
        <is>
          <t>CIU_NAM_OTHR</t>
        </is>
      </c>
      <c r="D9" s="151" t="inlineStr">
        <is>
          <t>Meridian Capital Fund, L.P. (Secondary)</t>
        </is>
      </c>
      <c r="E9" s="151" t="inlineStr">
        <is>
          <t>L</t>
        </is>
      </c>
      <c r="F9" s="301" t="n">
        <v>59531</v>
      </c>
      <c r="G9" s="301" t="n">
        <v>58343</v>
      </c>
      <c r="H9" s="151" t="inlineStr">
        <is>
          <t>USD</t>
        </is>
      </c>
      <c r="I9" s="151" t="inlineStr">
        <is>
          <t>NORTHAMERICA</t>
        </is>
      </c>
    </row>
    <row r="10" customFormat="1" s="151">
      <c r="A10" s="151" t="inlineStr">
        <is>
          <t>POSITION_COMPACT</t>
        </is>
      </c>
      <c r="B10" s="151" t="inlineStr">
        <is>
          <t>Ridgeline VI Parallel Fund, L.P</t>
        </is>
      </c>
      <c r="C10" s="307" t="inlineStr">
        <is>
          <t>CIU_NAM_OTHR</t>
        </is>
      </c>
      <c r="D10" s="151" t="inlineStr">
        <is>
          <t>Meridian Capital Rentalco Co-Invest, L.P.</t>
        </is>
      </c>
      <c r="E10" s="151" t="inlineStr">
        <is>
          <t>L</t>
        </is>
      </c>
      <c r="F10" s="301" t="n">
        <v>2776032</v>
      </c>
      <c r="G10" s="301" t="n">
        <v>1836091</v>
      </c>
      <c r="H10" s="151" t="inlineStr">
        <is>
          <t>USD</t>
        </is>
      </c>
      <c r="I10" s="151" t="inlineStr">
        <is>
          <t>NORTHAMERICA</t>
        </is>
      </c>
    </row>
    <row r="11" customFormat="1" s="151">
      <c r="A11" s="151" t="inlineStr">
        <is>
          <t>POSITION_COMPACT</t>
        </is>
      </c>
      <c r="B11" s="151" t="inlineStr">
        <is>
          <t>Ridgeline VI Parallel Fund, L.P</t>
        </is>
      </c>
      <c r="C11" s="151" t="inlineStr">
        <is>
          <t>SEC_UEQ_UEQY</t>
        </is>
      </c>
      <c r="D11" s="151" t="inlineStr">
        <is>
          <t>Equine Network Holdings Co-Invest Blocker GPC, Inc.</t>
        </is>
      </c>
      <c r="E11" s="151" t="inlineStr">
        <is>
          <t>L</t>
        </is>
      </c>
      <c r="F11" s="301" t="n">
        <v>1597532</v>
      </c>
      <c r="G11" s="301" t="n">
        <v>1334652</v>
      </c>
      <c r="H11" s="151" t="inlineStr">
        <is>
          <t>USD</t>
        </is>
      </c>
      <c r="I11" s="151" t="inlineStr">
        <is>
          <t>NORTHAMERICA</t>
        </is>
      </c>
    </row>
    <row r="12" customFormat="1" s="151">
      <c r="A12" s="151" t="inlineStr">
        <is>
          <t>POSITION_COMPACT</t>
        </is>
      </c>
      <c r="B12" s="151" t="inlineStr">
        <is>
          <t>Ridgeline VI Parallel Fund, L.P</t>
        </is>
      </c>
      <c r="C12" s="307" t="inlineStr">
        <is>
          <t>CIU_NAM_OTHR</t>
        </is>
      </c>
      <c r="D12" s="151" t="inlineStr">
        <is>
          <t xml:space="preserve">Growth Horizon Partners I-A, L.P. </t>
        </is>
      </c>
      <c r="E12" s="151" t="inlineStr">
        <is>
          <t>L</t>
        </is>
      </c>
      <c r="F12" s="301" t="n">
        <v>12863886</v>
      </c>
      <c r="G12" s="301" t="n">
        <v>10054268</v>
      </c>
      <c r="H12" s="151" t="inlineStr">
        <is>
          <t>USD</t>
        </is>
      </c>
      <c r="I12" s="151" t="inlineStr">
        <is>
          <t>NORTHAMERICA</t>
        </is>
      </c>
    </row>
    <row r="13" customFormat="1" s="151">
      <c r="A13" s="151" t="inlineStr">
        <is>
          <t>POSITION_COMPACT</t>
        </is>
      </c>
      <c r="B13" s="151" t="inlineStr">
        <is>
          <t>Ridgeline VI Parallel Fund, L.P</t>
        </is>
      </c>
      <c r="C13" s="307" t="inlineStr">
        <is>
          <t>CIU_NAM_OTHR</t>
        </is>
      </c>
      <c r="D13" s="151" t="inlineStr">
        <is>
          <t>Sentinel Capital Partners Fund III (A), L.P.</t>
        </is>
      </c>
      <c r="E13" s="151" t="inlineStr">
        <is>
          <t>L</t>
        </is>
      </c>
      <c r="F13" s="301" t="n">
        <v>6407126</v>
      </c>
      <c r="G13" s="301" t="n">
        <v>8920564</v>
      </c>
      <c r="H13" s="151" t="inlineStr">
        <is>
          <t>USD</t>
        </is>
      </c>
      <c r="I13" s="151" t="inlineStr">
        <is>
          <t>NORTHAMERICA</t>
        </is>
      </c>
    </row>
    <row r="14" customFormat="1" s="151">
      <c r="A14" s="151" t="inlineStr">
        <is>
          <t>POSITION_COMPACT</t>
        </is>
      </c>
      <c r="B14" s="151" t="inlineStr">
        <is>
          <t>Ridgeline VI Parallel Fund, L.P</t>
        </is>
      </c>
      <c r="C14" s="151" t="inlineStr">
        <is>
          <t>SEC_UEQ_UEQY</t>
        </is>
      </c>
      <c r="D14" s="151" t="inlineStr">
        <is>
          <t>Sentinel III Upper Echelon Blocker, Inc.</t>
        </is>
      </c>
      <c r="E14" s="151" t="inlineStr">
        <is>
          <t>L</t>
        </is>
      </c>
      <c r="F14" s="301" t="n">
        <v>715190</v>
      </c>
      <c r="G14" s="301" t="n">
        <v>974353</v>
      </c>
      <c r="H14" s="151" t="inlineStr">
        <is>
          <t>USD</t>
        </is>
      </c>
      <c r="I14" s="151" t="inlineStr">
        <is>
          <t>NORTHAMERICA</t>
        </is>
      </c>
    </row>
    <row r="15" customFormat="1" s="151">
      <c r="A15" s="151" t="inlineStr">
        <is>
          <t>POSITION_COMPACT</t>
        </is>
      </c>
      <c r="B15" s="151" t="inlineStr">
        <is>
          <t>Ridgeline VI Parallel Fund, L.P</t>
        </is>
      </c>
      <c r="C15" s="307" t="inlineStr">
        <is>
          <t>CIU_NAM_OTHR</t>
        </is>
      </c>
      <c r="D15" s="151" t="inlineStr">
        <is>
          <t>Hamilton Reed Capital Partners V L.P.</t>
        </is>
      </c>
      <c r="E15" s="151" t="inlineStr">
        <is>
          <t>L</t>
        </is>
      </c>
      <c r="F15" s="301" t="n">
        <v>3083682</v>
      </c>
      <c r="G15" s="301" t="n">
        <v>3022831</v>
      </c>
      <c r="H15" s="151" t="inlineStr">
        <is>
          <t>USD</t>
        </is>
      </c>
      <c r="I15" s="151" t="inlineStr">
        <is>
          <t>NORTHAMERICA</t>
        </is>
      </c>
    </row>
    <row r="16" customFormat="1" s="151">
      <c r="A16" s="151" t="inlineStr">
        <is>
          <t>POSITION_COMPACT</t>
        </is>
      </c>
      <c r="B16" s="151" t="inlineStr">
        <is>
          <t>Ridgeline VI Parallel Fund, L.P</t>
        </is>
      </c>
      <c r="C16" s="151" t="inlineStr">
        <is>
          <t>SEC_UEQ_UEQY</t>
        </is>
      </c>
      <c r="D16" s="151" t="inlineStr">
        <is>
          <t>HH-KTG Holdings, LLC</t>
        </is>
      </c>
      <c r="E16" s="151" t="inlineStr">
        <is>
          <t>L</t>
        </is>
      </c>
      <c r="F16" s="301" t="n">
        <v>1206615</v>
      </c>
      <c r="G16" s="301" t="n">
        <v>1228262</v>
      </c>
      <c r="H16" s="151" t="inlineStr">
        <is>
          <t>USD</t>
        </is>
      </c>
      <c r="I16" s="151" t="inlineStr">
        <is>
          <t>NORTHAMERICA</t>
        </is>
      </c>
    </row>
    <row r="17" customFormat="1" s="151">
      <c r="A17" s="151" t="inlineStr">
        <is>
          <t>POSITION_COMPACT</t>
        </is>
      </c>
      <c r="B17" s="151" t="inlineStr">
        <is>
          <t>Ridgeline VI Parallel Fund, L.P</t>
        </is>
      </c>
      <c r="C17" s="151" t="inlineStr">
        <is>
          <t>SEC_UEQ_UEQY</t>
        </is>
      </c>
      <c r="D17" s="151" t="inlineStr">
        <is>
          <t>Silent Bay Capital Partners I-A, L.P.</t>
        </is>
      </c>
      <c r="E17" s="151" t="inlineStr">
        <is>
          <t>L</t>
        </is>
      </c>
      <c r="F17" s="301" t="n">
        <v>7477002</v>
      </c>
      <c r="G17" s="301" t="n">
        <v>8183014</v>
      </c>
      <c r="H17" s="151" t="inlineStr">
        <is>
          <t>USD</t>
        </is>
      </c>
      <c r="I17" s="151" t="inlineStr">
        <is>
          <t>NORTHAMERICA</t>
        </is>
      </c>
    </row>
    <row r="18" customFormat="1" s="151">
      <c r="A18" s="151" t="inlineStr">
        <is>
          <t>POSITION_COMPACT</t>
        </is>
      </c>
      <c r="B18" s="151" t="inlineStr">
        <is>
          <t>Ridgeline VI Parallel Fund, L.P</t>
        </is>
      </c>
      <c r="C18" s="151" t="inlineStr">
        <is>
          <t>SEC_UEQ_UEQY</t>
        </is>
      </c>
      <c r="D18" s="151" t="inlineStr">
        <is>
          <t>KG DIG BLOCKER 2, LP</t>
        </is>
      </c>
      <c r="E18" s="151" t="inlineStr">
        <is>
          <t>L</t>
        </is>
      </c>
      <c r="F18" s="301" t="n">
        <v>962218</v>
      </c>
      <c r="G18" s="301" t="n">
        <v>1065550</v>
      </c>
      <c r="H18" s="151" t="inlineStr">
        <is>
          <t>USD</t>
        </is>
      </c>
      <c r="I18" s="151" t="inlineStr">
        <is>
          <t>NORTHAMERICA</t>
        </is>
      </c>
    </row>
    <row r="19" customFormat="1" s="151">
      <c r="A19" s="151" t="inlineStr">
        <is>
          <t>POSITION_COMPACT</t>
        </is>
      </c>
      <c r="B19" s="151" t="inlineStr">
        <is>
          <t>Ridgeline VI Parallel Fund, L.P</t>
        </is>
      </c>
      <c r="C19" s="151" t="inlineStr">
        <is>
          <t>SEC_UEQ_UEQY</t>
        </is>
      </c>
      <c r="D19" s="151" t="inlineStr">
        <is>
          <t>KG Gregorys, LLC</t>
        </is>
      </c>
      <c r="E19" s="151" t="inlineStr">
        <is>
          <t>L</t>
        </is>
      </c>
      <c r="F19" s="301" t="n">
        <v>2229376</v>
      </c>
      <c r="G19" s="301" t="n">
        <v>1822700</v>
      </c>
      <c r="H19" s="151" t="inlineStr">
        <is>
          <t>USD</t>
        </is>
      </c>
      <c r="I19" s="151" t="inlineStr">
        <is>
          <t>NORTHAMERICA</t>
        </is>
      </c>
    </row>
    <row r="20" customFormat="1" s="151">
      <c r="A20" s="151" t="inlineStr">
        <is>
          <t>POSITION_COMPACT</t>
        </is>
      </c>
      <c r="B20" s="151" t="inlineStr">
        <is>
          <t>Ridgeline VI Parallel Fund, L.P</t>
        </is>
      </c>
      <c r="C20" s="151" t="inlineStr">
        <is>
          <t>SEC_UEQ_UEQY</t>
        </is>
      </c>
      <c r="D20" s="151" t="inlineStr">
        <is>
          <t>KG OL AIV 2 Blocker, L.P.</t>
        </is>
      </c>
      <c r="E20" s="151" t="inlineStr">
        <is>
          <t>L</t>
        </is>
      </c>
      <c r="F20" s="301" t="n">
        <v>1038972</v>
      </c>
      <c r="G20" s="301" t="n">
        <v>1164085</v>
      </c>
      <c r="H20" s="151" t="inlineStr">
        <is>
          <t>USD</t>
        </is>
      </c>
      <c r="I20" s="151" t="inlineStr">
        <is>
          <t>NORTHAMERICA</t>
        </is>
      </c>
    </row>
    <row r="21" customFormat="1" s="151">
      <c r="A21" s="151" t="inlineStr">
        <is>
          <t>POSITION_COMPACT</t>
        </is>
      </c>
      <c r="B21" s="151" t="inlineStr">
        <is>
          <t>Ridgeline VI Parallel Fund, L.P</t>
        </is>
      </c>
      <c r="C21" s="307" t="inlineStr">
        <is>
          <t>CIU_NAM_OTHR</t>
        </is>
      </c>
      <c r="D21" s="151" t="inlineStr">
        <is>
          <t>Pantry Fund II, LP</t>
        </is>
      </c>
      <c r="E21" s="151" t="inlineStr">
        <is>
          <t>L</t>
        </is>
      </c>
      <c r="F21" s="301" t="n">
        <v>6312963</v>
      </c>
      <c r="G21" s="301" t="n">
        <v>9031481</v>
      </c>
      <c r="H21" s="151" t="inlineStr">
        <is>
          <t>USD</t>
        </is>
      </c>
      <c r="I21" s="151" t="inlineStr">
        <is>
          <t>NORTHAMERICA</t>
        </is>
      </c>
    </row>
    <row r="22" customFormat="1" s="151">
      <c r="A22" s="151" t="inlineStr">
        <is>
          <t>POSITION_COMPACT</t>
        </is>
      </c>
      <c r="B22" s="151" t="inlineStr">
        <is>
          <t>Ridgeline VI Parallel Fund, L.P</t>
        </is>
      </c>
      <c r="C22" s="151" t="inlineStr">
        <is>
          <t>SEC_UEQ_UEQY</t>
        </is>
      </c>
      <c r="D22" s="151" t="inlineStr">
        <is>
          <t>Inspirational CIV, LLC</t>
        </is>
      </c>
      <c r="E22" s="151" t="inlineStr">
        <is>
          <t>L</t>
        </is>
      </c>
      <c r="F22" s="301" t="n">
        <v>550786</v>
      </c>
      <c r="G22" s="301" t="n">
        <v>666211</v>
      </c>
      <c r="H22" s="151" t="inlineStr">
        <is>
          <t>USD</t>
        </is>
      </c>
      <c r="I22" s="151" t="inlineStr">
        <is>
          <t>NORTHAMERICA</t>
        </is>
      </c>
    </row>
    <row r="23" customFormat="1" s="151">
      <c r="A23" s="151" t="inlineStr">
        <is>
          <t>POSITION_COMPACT</t>
        </is>
      </c>
      <c r="B23" s="151" t="inlineStr">
        <is>
          <t>Ridgeline VI Parallel Fund, L.P</t>
        </is>
      </c>
      <c r="C23" s="307" t="inlineStr">
        <is>
          <t>CIU_NAM_OTHR</t>
        </is>
      </c>
      <c r="D23" s="151" t="inlineStr">
        <is>
          <t xml:space="preserve">North Fork Capital Fund I, L.P. </t>
        </is>
      </c>
      <c r="E23" s="151" t="inlineStr">
        <is>
          <t>L</t>
        </is>
      </c>
      <c r="F23" s="301" t="n">
        <v>6581198</v>
      </c>
      <c r="G23" s="301" t="n">
        <v>10574086</v>
      </c>
      <c r="H23" s="151" t="inlineStr">
        <is>
          <t>USD</t>
        </is>
      </c>
      <c r="I23" s="151" t="inlineStr">
        <is>
          <t>NORTHAMERICA</t>
        </is>
      </c>
    </row>
    <row r="24" customFormat="1" s="151">
      <c r="A24" s="151" t="inlineStr">
        <is>
          <t>POSITION_COMPACT</t>
        </is>
      </c>
      <c r="B24" s="151" t="inlineStr">
        <is>
          <t>Ridgeline VI Parallel Fund, L.P</t>
        </is>
      </c>
      <c r="C24" s="151" t="inlineStr">
        <is>
          <t>SEC_UEQ_UEQY</t>
        </is>
      </c>
      <c r="D24" s="151" t="inlineStr">
        <is>
          <t>Primus SPV, LLC</t>
        </is>
      </c>
      <c r="E24" s="151" t="inlineStr">
        <is>
          <t>L</t>
        </is>
      </c>
      <c r="F24" s="301" t="n">
        <v>1219527</v>
      </c>
      <c r="G24" s="301" t="n">
        <v>1322930</v>
      </c>
      <c r="H24" s="151" t="inlineStr">
        <is>
          <t>USD</t>
        </is>
      </c>
      <c r="I24" s="151" t="inlineStr">
        <is>
          <t>NORTHAMERICA</t>
        </is>
      </c>
    </row>
    <row r="25" customFormat="1" s="151">
      <c r="A25" s="151" t="inlineStr">
        <is>
          <t>POSITION_COMPACT</t>
        </is>
      </c>
      <c r="B25" s="151" t="inlineStr">
        <is>
          <t>Ridgeline VI Parallel Fund, L.P</t>
        </is>
      </c>
      <c r="C25" s="307" t="inlineStr">
        <is>
          <t>CIU_NAM_OTHR</t>
        </is>
      </c>
      <c r="D25" s="151" t="inlineStr">
        <is>
          <t>Coral Bay Capital Fund V, LP</t>
        </is>
      </c>
      <c r="E25" s="151" t="inlineStr">
        <is>
          <t>L</t>
        </is>
      </c>
      <c r="F25" s="301" t="n">
        <v>9717514</v>
      </c>
      <c r="G25" s="301" t="n">
        <v>10159771</v>
      </c>
      <c r="H25" s="151" t="inlineStr">
        <is>
          <t>USD</t>
        </is>
      </c>
      <c r="I25" s="151" t="inlineStr">
        <is>
          <t>NORTHAMERICA</t>
        </is>
      </c>
    </row>
    <row r="26" customFormat="1" s="151">
      <c r="A26" s="151" t="inlineStr">
        <is>
          <t>POSITION_COMPACT</t>
        </is>
      </c>
      <c r="B26" s="151" t="inlineStr">
        <is>
          <t>Ridgeline VI Parallel Fund, L.P</t>
        </is>
      </c>
      <c r="C26" s="307" t="inlineStr">
        <is>
          <t>CIU_NAM_OTHR</t>
        </is>
      </c>
      <c r="D26" s="151" t="inlineStr">
        <is>
          <t>Telescope Equity I, L.P.</t>
        </is>
      </c>
      <c r="E26" s="151" t="inlineStr">
        <is>
          <t>L</t>
        </is>
      </c>
      <c r="F26" s="301" t="n">
        <v>4150400</v>
      </c>
      <c r="G26" s="301" t="n">
        <v>3808990</v>
      </c>
      <c r="H26" s="151" t="inlineStr">
        <is>
          <t>USD</t>
        </is>
      </c>
      <c r="I26" s="151" t="inlineStr">
        <is>
          <t>NORTHAMERICA</t>
        </is>
      </c>
    </row>
    <row r="27" customFormat="1" s="151">
      <c r="A27" s="151" t="inlineStr">
        <is>
          <t>POSITION_COMPACT</t>
        </is>
      </c>
      <c r="B27" s="151" t="inlineStr">
        <is>
          <t>Ridgeline VI Parallel Fund, L.P</t>
        </is>
      </c>
      <c r="C27" s="307" t="inlineStr">
        <is>
          <t>CIU_NAM_OTHR</t>
        </is>
      </c>
      <c r="D27" s="151" t="inlineStr">
        <is>
          <t>Telescope IBH Holdings LLC</t>
        </is>
      </c>
      <c r="E27" s="151" t="inlineStr">
        <is>
          <t>L</t>
        </is>
      </c>
      <c r="F27" s="301" t="n">
        <v>1829145</v>
      </c>
      <c r="G27" s="301" t="n">
        <v>1256404</v>
      </c>
      <c r="H27" s="151" t="inlineStr">
        <is>
          <t>USD</t>
        </is>
      </c>
      <c r="I27" s="151" t="inlineStr">
        <is>
          <t>NORTHAMERICA</t>
        </is>
      </c>
    </row>
    <row r="28" customFormat="1" s="151">
      <c r="A28" s="151" t="inlineStr">
        <is>
          <t>POSITION_COMPACT</t>
        </is>
      </c>
      <c r="B28" s="151" t="inlineStr">
        <is>
          <t>Ridgeline VI Parallel Fund, L.P</t>
        </is>
      </c>
      <c r="C28" s="307" t="inlineStr">
        <is>
          <t>CIU_NAM_OTHR</t>
        </is>
      </c>
      <c r="D28" s="151" t="inlineStr">
        <is>
          <t>Telescope MSS Co-Invest Holdings, LLC</t>
        </is>
      </c>
      <c r="E28" s="151" t="inlineStr">
        <is>
          <t>L</t>
        </is>
      </c>
      <c r="F28" s="301" t="n">
        <v>995843</v>
      </c>
      <c r="G28" s="301" t="n">
        <v>1009901</v>
      </c>
      <c r="H28" s="151" t="inlineStr">
        <is>
          <t>USD</t>
        </is>
      </c>
      <c r="I28" s="151" t="inlineStr">
        <is>
          <t>NORTHAMERICA</t>
        </is>
      </c>
    </row>
    <row r="29" customFormat="1" s="151">
      <c r="A29" s="151" t="inlineStr">
        <is>
          <t>POSITION_COMPACT</t>
        </is>
      </c>
      <c r="B29" s="151" t="inlineStr">
        <is>
          <t>Ridgeline VI Parallel Fund, L.P</t>
        </is>
      </c>
      <c r="C29" s="307" t="inlineStr">
        <is>
          <t>CIU_NAM_OTHR</t>
        </is>
      </c>
      <c r="D29" s="151" t="inlineStr">
        <is>
          <t>Pine Street Capital Partners, LP</t>
        </is>
      </c>
      <c r="E29" s="151" t="inlineStr">
        <is>
          <t>L</t>
        </is>
      </c>
      <c r="F29" s="301" t="n">
        <v>7508274</v>
      </c>
      <c r="G29" s="301" t="n">
        <v>8286837</v>
      </c>
      <c r="H29" s="151" t="inlineStr">
        <is>
          <t>USD</t>
        </is>
      </c>
      <c r="I29" s="151" t="inlineStr">
        <is>
          <t>NORTHAMERICA</t>
        </is>
      </c>
    </row>
    <row r="30" customFormat="1" s="151">
      <c r="A30" s="151" t="inlineStr">
        <is>
          <t>POSITION_COMPACT</t>
        </is>
      </c>
      <c r="B30" s="151" t="inlineStr">
        <is>
          <t>Ridgeline VI Parallel Fund, L.P</t>
        </is>
      </c>
      <c r="C30" s="151" t="inlineStr">
        <is>
          <t>SEC_UEQ_UEQY</t>
        </is>
      </c>
      <c r="D30" s="151" t="inlineStr">
        <is>
          <t>Sani-Tech Investors, LLC</t>
        </is>
      </c>
      <c r="E30" s="151" t="inlineStr">
        <is>
          <t>L</t>
        </is>
      </c>
      <c r="F30" s="301" t="n">
        <v>400268</v>
      </c>
      <c r="G30" s="301" t="n">
        <v>497861</v>
      </c>
      <c r="H30" s="151" t="inlineStr">
        <is>
          <t>USD</t>
        </is>
      </c>
      <c r="I30" s="151" t="inlineStr">
        <is>
          <t>NORTHAMERICA</t>
        </is>
      </c>
    </row>
    <row r="31" customFormat="1" s="151">
      <c r="A31" s="151" t="inlineStr">
        <is>
          <t>POSITION_COMPACT</t>
        </is>
      </c>
      <c r="B31" s="151" t="inlineStr">
        <is>
          <t>Ridgeline VI Parallel Fund, L.P</t>
        </is>
      </c>
      <c r="C31" s="151" t="inlineStr">
        <is>
          <t>SEC_UEQ_UEQY</t>
        </is>
      </c>
      <c r="D31" s="151" t="inlineStr">
        <is>
          <t>SDP Investors, LP</t>
        </is>
      </c>
      <c r="E31" s="151" t="inlineStr">
        <is>
          <t>L</t>
        </is>
      </c>
      <c r="F31" s="301" t="n">
        <v>458585</v>
      </c>
      <c r="G31" s="301" t="n">
        <v>629831</v>
      </c>
      <c r="H31" s="151" t="inlineStr">
        <is>
          <t>USD</t>
        </is>
      </c>
      <c r="I31" s="151" t="inlineStr">
        <is>
          <t>NORTHAMERICA</t>
        </is>
      </c>
    </row>
    <row r="32" customFormat="1" s="151">
      <c r="A32" s="151" t="inlineStr">
        <is>
          <t>POSITION_COMPACT</t>
        </is>
      </c>
      <c r="B32" s="151" t="inlineStr">
        <is>
          <t>Ridgeline VI Parallel Fund, L.P</t>
        </is>
      </c>
      <c r="C32" s="307" t="inlineStr">
        <is>
          <t>CIU_NAM_OTHR</t>
        </is>
      </c>
      <c r="D32" s="151" t="inlineStr">
        <is>
          <t>VELEO Capital Partners, LLC</t>
        </is>
      </c>
      <c r="E32" s="151" t="inlineStr">
        <is>
          <t>L</t>
        </is>
      </c>
      <c r="F32" s="301" t="n">
        <v>9617344</v>
      </c>
      <c r="G32" s="301" t="n">
        <v>10692436</v>
      </c>
      <c r="H32" s="151" t="inlineStr">
        <is>
          <t>USD</t>
        </is>
      </c>
      <c r="I32" s="151" t="inlineStr">
        <is>
          <t>NORTHAMERICA</t>
        </is>
      </c>
    </row>
    <row r="33" customFormat="1" s="151">
      <c r="A33" s="151" t="inlineStr">
        <is>
          <t>POSITION_COMPACT</t>
        </is>
      </c>
      <c r="B33" s="151" t="inlineStr">
        <is>
          <t>Ridgeline VI Parallel Fund, L.P</t>
        </is>
      </c>
      <c r="C33" s="307" t="inlineStr">
        <is>
          <t>CIU_NAM_OTHR</t>
        </is>
      </c>
      <c r="D33" s="151" t="inlineStr">
        <is>
          <t xml:space="preserve">Acacia Fund I, L.P. </t>
        </is>
      </c>
      <c r="E33" s="151" t="inlineStr">
        <is>
          <t>L</t>
        </is>
      </c>
      <c r="F33" s="301" t="n">
        <v>5713935</v>
      </c>
      <c r="G33" s="301" t="n">
        <v>4558648</v>
      </c>
      <c r="H33" s="151" t="inlineStr">
        <is>
          <t>USD</t>
        </is>
      </c>
      <c r="I33" s="151" t="inlineStr">
        <is>
          <t>NORTHAMERICA</t>
        </is>
      </c>
    </row>
    <row r="34" customFormat="1" s="151">
      <c r="A34" s="151" t="inlineStr">
        <is>
          <t>POSITION_COMPACT</t>
        </is>
      </c>
      <c r="B34" s="151" t="inlineStr">
        <is>
          <t>Ridgeline VI Parallel Fund, L.P</t>
        </is>
      </c>
      <c r="C34" s="307" t="inlineStr">
        <is>
          <t>CIU_NAM_OTHR</t>
        </is>
      </c>
      <c r="D34" s="151" t="inlineStr">
        <is>
          <t>Lintel Capital Fund III, LP</t>
        </is>
      </c>
      <c r="E34" s="151" t="inlineStr">
        <is>
          <t>L</t>
        </is>
      </c>
      <c r="F34" s="301" t="n">
        <v>4701438</v>
      </c>
      <c r="G34" s="301" t="n">
        <v>6082808</v>
      </c>
      <c r="H34" s="151" t="inlineStr">
        <is>
          <t>USD</t>
        </is>
      </c>
      <c r="I34" s="151" t="inlineStr">
        <is>
          <t>NORTHAMERICA</t>
        </is>
      </c>
    </row>
    <row r="35" customFormat="1" s="151">
      <c r="A35" s="151" t="inlineStr">
        <is>
          <t>POSITION_COMPACT</t>
        </is>
      </c>
      <c r="B35" s="151" t="inlineStr">
        <is>
          <t>Ridgeline VI Parallel Fund, L.P</t>
        </is>
      </c>
      <c r="C35" s="151" t="inlineStr">
        <is>
          <t>SEC_UEQ_UEQY</t>
        </is>
      </c>
      <c r="D35" s="151" t="inlineStr">
        <is>
          <t>TrueFlame Studios, LLC</t>
        </is>
      </c>
      <c r="E35" s="151" t="inlineStr">
        <is>
          <t>L</t>
        </is>
      </c>
      <c r="F35" s="301" t="n">
        <v>1127935</v>
      </c>
      <c r="G35" s="301" t="n">
        <v>1479040</v>
      </c>
      <c r="H35" s="151" t="inlineStr">
        <is>
          <t>USD</t>
        </is>
      </c>
      <c r="I35" s="151" t="inlineStr">
        <is>
          <t>NORTHAMERICA</t>
        </is>
      </c>
    </row>
    <row r="36" customFormat="1" s="151">
      <c r="A36" s="151" t="inlineStr">
        <is>
          <t>POSITION_COMPACT</t>
        </is>
      </c>
      <c r="B36" s="151" t="inlineStr">
        <is>
          <t>Ridgeline VI Parallel Fund, L.P</t>
        </is>
      </c>
      <c r="C36" s="151" t="inlineStr">
        <is>
          <t>SEC_UEQ_UEQY</t>
        </is>
      </c>
      <c r="D36" s="151" t="inlineStr">
        <is>
          <t>Zone 7 Investors LP</t>
        </is>
      </c>
      <c r="E36" s="151" t="inlineStr">
        <is>
          <t>L</t>
        </is>
      </c>
      <c r="F36" s="301" t="n">
        <v>373904</v>
      </c>
      <c r="G36" s="301" t="n">
        <v>373497</v>
      </c>
      <c r="H36" s="151" t="inlineStr">
        <is>
          <t>USD</t>
        </is>
      </c>
      <c r="I36" s="151" t="inlineStr">
        <is>
          <t>NORTHAMERICA</t>
        </is>
      </c>
    </row>
    <row r="37" customFormat="1" s="151">
      <c r="A37" s="151" t="inlineStr">
        <is>
          <t>POSITION_COMPACT</t>
        </is>
      </c>
      <c r="B37" s="151" t="inlineStr">
        <is>
          <t>Ridgeline VI Parallel Fund, L.P</t>
        </is>
      </c>
      <c r="C37" s="151" t="inlineStr">
        <is>
          <t>SEC_CSH_OTHC</t>
        </is>
      </c>
      <c r="D37" s="151" t="inlineStr">
        <is>
          <t>Cash and cash equivalents</t>
        </is>
      </c>
      <c r="E37" s="151" t="inlineStr">
        <is>
          <t>L</t>
        </is>
      </c>
      <c r="F37" s="301" t="n">
        <v>2263266</v>
      </c>
      <c r="G37" s="301" t="n">
        <v>2518616</v>
      </c>
      <c r="H37" s="151" t="inlineStr">
        <is>
          <t>USD</t>
        </is>
      </c>
      <c r="I37" s="151" t="inlineStr">
        <is>
          <t>NORTHAMERICA</t>
        </is>
      </c>
    </row>
    <row r="38" customFormat="1" s="151">
      <c r="A38" s="151" t="inlineStr">
        <is>
          <t>POSITION_COMPACT</t>
        </is>
      </c>
      <c r="B38" s="151" t="inlineStr">
        <is>
          <t>Ridgeline VI Parallel Fund, L.P</t>
        </is>
      </c>
      <c r="C38" s="151" t="inlineStr">
        <is>
          <t>OTH_OTH_OTHR</t>
        </is>
      </c>
      <c r="D38" s="151" t="inlineStr">
        <is>
          <t>Other assets</t>
        </is>
      </c>
      <c r="E38" s="151" t="inlineStr">
        <is>
          <t>L</t>
        </is>
      </c>
      <c r="F38" s="301" t="n">
        <v>493423</v>
      </c>
      <c r="G38" s="301" t="n">
        <v>723637</v>
      </c>
      <c r="H38" s="151" t="inlineStr">
        <is>
          <t>USD</t>
        </is>
      </c>
      <c r="I38" s="151" t="inlineStr">
        <is>
          <t>NORTHAMERICA</t>
        </is>
      </c>
    </row>
    <row r="39" customFormat="1" s="151">
      <c r="A39" s="151" t="inlineStr">
        <is>
          <t>POSITION_COMPACT</t>
        </is>
      </c>
      <c r="B39" s="151" t="inlineStr">
        <is>
          <t>Ridgeline VI Parallel Fund, L.P</t>
        </is>
      </c>
      <c r="C39" s="151" t="inlineStr">
        <is>
          <t>OTH_OTH_OTHR</t>
        </is>
      </c>
      <c r="D39" s="151" t="inlineStr">
        <is>
          <t>Total liabilities</t>
        </is>
      </c>
      <c r="E39" s="151" t="inlineStr">
        <is>
          <t>S</t>
        </is>
      </c>
      <c r="F39" s="301" t="n">
        <v>0</v>
      </c>
      <c r="G39" s="301" t="n">
        <v>-2764</v>
      </c>
      <c r="H39" s="151" t="inlineStr">
        <is>
          <t>USD</t>
        </is>
      </c>
      <c r="I39" s="151" t="inlineStr">
        <is>
          <t>NORTHAMERICA</t>
        </is>
      </c>
    </row>
    <row r="40" customFormat="1" s="151">
      <c r="E40" s="256" t="n"/>
      <c r="F40" s="301" t="n"/>
      <c r="G40" s="301" t="n"/>
    </row>
    <row r="41" customFormat="1" s="151">
      <c r="E41" s="256" t="n"/>
      <c r="F41" s="301" t="n"/>
      <c r="G41" s="301" t="n"/>
    </row>
    <row r="42" customFormat="1" s="151">
      <c r="E42" s="256" t="n"/>
      <c r="F42" s="301" t="n"/>
      <c r="G42" s="301" t="n"/>
    </row>
    <row r="43" customFormat="1" s="151">
      <c r="E43" s="256" t="n"/>
      <c r="F43" s="301" t="n"/>
      <c r="G43" s="301" t="n"/>
    </row>
    <row r="44" customFormat="1" s="151">
      <c r="A44" s="255" t="inlineStr">
        <is>
          <t># TURNOVER for Stuyvesant comes from a separate sheet because there are two sub-asset types, ask Brandon.</t>
        </is>
      </c>
      <c r="B44" s="255" t="n"/>
      <c r="C44" s="255" t="n"/>
      <c r="D44" s="255" t="n"/>
      <c r="E44" s="255" t="n"/>
      <c r="F44" s="255" t="n"/>
      <c r="G44" s="255" t="n"/>
      <c r="H44" s="255" t="n"/>
    </row>
    <row r="45" customFormat="1" s="151">
      <c r="A45" s="151" t="inlineStr">
        <is>
          <t># XLS - Cash Flow - Investments in portfolio companies</t>
        </is>
      </c>
      <c r="B45" s="365" t="n">
        <v>-1861551</v>
      </c>
      <c r="D45" s="25" t="inlineStr">
        <is>
          <t># Turn-Over (Funds) -&gt; CIU_CIU_CIU</t>
        </is>
      </c>
      <c r="E45" s="256" t="n"/>
      <c r="F45" s="303" t="n"/>
      <c r="G45" s="301" t="n"/>
    </row>
    <row r="46" customFormat="1" s="151">
      <c r="A46" s="151" t="inlineStr">
        <is>
          <t># XLS - Cash Flow - Distributions from portfolio companies</t>
        </is>
      </c>
      <c r="B46" s="365" t="n">
        <v>2603354</v>
      </c>
      <c r="D46" s="25" t="inlineStr">
        <is>
          <t># Turn-Over (Co-Investments) -&gt; SEQ_UEQ_UEQ</t>
        </is>
      </c>
      <c r="E46" s="256" t="n"/>
      <c r="F46" s="303" t="n"/>
      <c r="G46" s="301" t="n"/>
    </row>
    <row r="47">
      <c r="F47" s="302" t="n"/>
      <c r="G47" s="302" t="n"/>
    </row>
    <row r="48">
      <c r="A48" s="23" t="inlineStr">
        <is>
          <t>#TURNOVER</t>
        </is>
      </c>
      <c r="B48" s="23" t="inlineStr">
        <is>
          <t>Custom AIF Identification</t>
        </is>
      </c>
      <c r="C48" s="35" t="inlineStr">
        <is>
          <t>Sub-asset type code of turnover</t>
        </is>
      </c>
      <c r="D48" s="23" t="inlineStr">
        <is>
          <t>Market value of turnover</t>
        </is>
      </c>
      <c r="E48" s="23" t="inlineStr">
        <is>
          <t>Notional value of turnover</t>
        </is>
      </c>
      <c r="F48" s="28" t="n"/>
      <c r="G48" s="28" t="n"/>
      <c r="H48" s="28" t="n"/>
      <c r="I48" s="28" t="n"/>
      <c r="J48" s="28" t="n"/>
      <c r="K48" s="28" t="n"/>
      <c r="L48" s="28" t="n"/>
      <c r="M48" s="28" t="n"/>
    </row>
    <row r="49">
      <c r="A49" s="29" t="inlineStr">
        <is>
          <t>#AIF fieldnummers</t>
        </is>
      </c>
      <c r="B49" s="38" t="inlineStr">
        <is>
          <t>AIF_ID</t>
        </is>
      </c>
      <c r="C49" s="29" t="n">
        <v>125</v>
      </c>
      <c r="D49" s="29" t="n">
        <v>126</v>
      </c>
      <c r="E49" s="29" t="n">
        <v>127</v>
      </c>
    </row>
    <row r="50" customFormat="1" s="151">
      <c r="A50" s="151" t="inlineStr">
        <is>
          <t>TURNOVER</t>
        </is>
      </c>
      <c r="B50" s="151" t="inlineStr">
        <is>
          <t>Ridgeline VI Parallel Fund, L.P</t>
        </is>
      </c>
      <c r="C50" s="153" t="inlineStr">
        <is>
          <t>CIU_CIU_CIU</t>
        </is>
      </c>
      <c r="D50" s="345">
        <f>ABS(B45)+ABS(B46)</f>
        <v/>
      </c>
      <c r="E50" s="349" t="n"/>
    </row>
    <row r="51" customFormat="1" s="151">
      <c r="A51" s="151" t="inlineStr">
        <is>
          <t>#ignore this line</t>
        </is>
      </c>
      <c r="B51" s="151" t="inlineStr">
        <is>
          <t>Ridgeline VI Parallel Fund, L.P</t>
        </is>
      </c>
      <c r="C51" s="153" t="inlineStr">
        <is>
          <t>SEC_UEQ_UEQ</t>
        </is>
      </c>
      <c r="D51" s="345">
        <f>B46</f>
        <v/>
      </c>
      <c r="E51" s="349" t="n"/>
    </row>
    <row r="52" customFormat="1" s="151">
      <c r="C52" s="153" t="n"/>
      <c r="D52" s="349" t="n"/>
      <c r="E52" s="349" t="n"/>
    </row>
    <row r="53" customFormat="1" s="151">
      <c r="A53" s="255" t="inlineStr">
        <is>
          <t># Used for HISTORICAL_RISK_PROFILE.</t>
        </is>
      </c>
      <c r="B53" s="255" t="n"/>
      <c r="C53" s="255" t="n"/>
      <c r="D53" s="255" t="n"/>
      <c r="E53" s="255" t="n"/>
      <c r="F53" s="255" t="n"/>
      <c r="G53" s="255" t="n"/>
      <c r="H53" s="255" t="n"/>
    </row>
    <row r="54" customFormat="1" s="151">
      <c r="A54" s="285" t="inlineStr">
        <is>
          <t># XLS - Income Statement - Total operating expenses</t>
        </is>
      </c>
      <c r="B54" s="288" t="n">
        <v>134562</v>
      </c>
      <c r="C54" s="343" t="inlineStr">
        <is>
          <t>&lt;= Expenses</t>
        </is>
      </c>
    </row>
    <row r="55" customFormat="1" s="151">
      <c r="A55" s="285" t="inlineStr">
        <is>
          <t># XLS - Income Statement - Net increase (decrease) in partners' capital from operations</t>
        </is>
      </c>
      <c r="B55" s="288" t="n">
        <v>4585616</v>
      </c>
      <c r="C55" s="344" t="inlineStr">
        <is>
          <t>&lt;= Real Net</t>
        </is>
      </c>
    </row>
    <row r="56" customFormat="1" s="151">
      <c r="A56" s="338" t="inlineStr">
        <is>
          <t># XLS - Cash Flow - Capital contributions</t>
        </is>
      </c>
      <c r="B56" s="339" t="n">
        <v>0</v>
      </c>
    </row>
    <row r="57" customFormat="1" s="151">
      <c r="A57" s="338" t="inlineStr">
        <is>
          <t># XLS - Cash Flow - Capital distributions</t>
        </is>
      </c>
      <c r="B57" s="339" t="n">
        <v>0</v>
      </c>
      <c r="C57" s="338" t="inlineStr">
        <is>
          <t>Negative!</t>
        </is>
      </c>
      <c r="E57" s="349" t="n"/>
      <c r="F57" s="349" t="n"/>
      <c r="G57" s="349" t="n"/>
      <c r="H57" s="349" t="n"/>
    </row>
    <row r="58" customFormat="1" s="151">
      <c r="A58" s="338" t="n"/>
      <c r="B58" s="342" t="n"/>
      <c r="C58" s="349" t="n"/>
      <c r="D58" s="349" t="n"/>
      <c r="E58" s="349" t="n"/>
      <c r="F58" s="349" t="n"/>
      <c r="G58" s="349" t="n"/>
      <c r="H58" s="349" t="n"/>
    </row>
    <row r="59" customFormat="1" s="151">
      <c r="A59" s="151" t="inlineStr">
        <is>
          <t># Calculated: Start NAV</t>
        </is>
      </c>
      <c r="B59" s="341">
        <f>B60-B55-B56-B57</f>
        <v/>
      </c>
      <c r="C59" s="349" t="n"/>
      <c r="D59" s="349" t="n"/>
      <c r="E59" s="349" t="n"/>
      <c r="F59" s="349" t="n"/>
      <c r="G59" s="349" t="n"/>
      <c r="H59" s="349" t="n"/>
      <c r="I59" s="349" t="n"/>
      <c r="J59" s="349" t="n"/>
    </row>
    <row r="60" customFormat="1" s="151">
      <c r="A60" s="151" t="inlineStr">
        <is>
          <t># Calculated: End NAV</t>
        </is>
      </c>
      <c r="B60" s="341">
        <f>SUM(G5:G43)</f>
        <v/>
      </c>
      <c r="C60" s="349" t="n"/>
      <c r="D60" s="349" t="n"/>
      <c r="E60" s="349" t="n"/>
      <c r="F60" s="349" t="n"/>
      <c r="G60" s="349" t="n"/>
      <c r="H60" s="349" t="n"/>
      <c r="I60" s="349" t="n"/>
      <c r="J60" s="349" t="n"/>
    </row>
    <row r="61" customFormat="1" s="28">
      <c r="A61" s="151" t="n"/>
      <c r="B61" s="264" t="n"/>
      <c r="C61" s="349" t="n"/>
      <c r="D61" s="349" t="n"/>
      <c r="E61" s="349" t="n"/>
      <c r="F61" s="349" t="n"/>
      <c r="G61" s="308" t="n"/>
      <c r="H61" s="308" t="n"/>
      <c r="I61" s="25" t="n"/>
      <c r="J61" s="25" t="n"/>
      <c r="K61" s="25" t="n"/>
      <c r="L61" s="25" t="n"/>
      <c r="M61" s="25" t="n"/>
    </row>
    <row r="62">
      <c r="A62" s="31" t="inlineStr">
        <is>
          <t>#HISTORICAL_RISK_PROFILE</t>
        </is>
      </c>
      <c r="B62" s="23" t="inlineStr">
        <is>
          <t>Custom AIF Identification</t>
        </is>
      </c>
      <c r="C62" s="32" t="inlineStr">
        <is>
          <t>Month</t>
        </is>
      </c>
      <c r="D62" s="32" t="inlineStr">
        <is>
          <t>Percentage of gross investment returns</t>
        </is>
      </c>
      <c r="E62" s="32" t="inlineStr">
        <is>
          <t>Percentage of net investment returns</t>
        </is>
      </c>
      <c r="F62" s="32" t="inlineStr">
        <is>
          <t>Percentage of NAV change</t>
        </is>
      </c>
      <c r="G62" s="32" t="inlineStr">
        <is>
          <t>Subscriptions in base currency</t>
        </is>
      </c>
      <c r="H62" s="32" t="inlineStr">
        <is>
          <t>Redemptions  in base currency</t>
        </is>
      </c>
    </row>
    <row r="63" customFormat="1" s="151">
      <c r="A63" s="33" t="inlineStr">
        <is>
          <t>#AIF fieldnummers</t>
        </is>
      </c>
      <c r="B63" s="38" t="inlineStr">
        <is>
          <t>AIF_ID</t>
        </is>
      </c>
      <c r="C63" s="235" t="inlineStr">
        <is>
          <t>219-278</t>
        </is>
      </c>
      <c r="D63" s="235" t="inlineStr">
        <is>
          <t>219-230</t>
        </is>
      </c>
      <c r="E63" s="235" t="inlineStr">
        <is>
          <t>231-242</t>
        </is>
      </c>
      <c r="F63" s="235" t="inlineStr">
        <is>
          <t>243-254</t>
        </is>
      </c>
      <c r="G63" s="235" t="inlineStr">
        <is>
          <t>255-266</t>
        </is>
      </c>
      <c r="H63" s="235" t="inlineStr">
        <is>
          <t>267-278</t>
        </is>
      </c>
    </row>
    <row r="64" customFormat="1" s="151">
      <c r="A64" s="151" t="inlineStr">
        <is>
          <t>HISTORICAL_RISK_PROFILE</t>
        </is>
      </c>
      <c r="B64" s="151" t="inlineStr">
        <is>
          <t>Ridgeline VI Parallel Fund, L.P</t>
        </is>
      </c>
      <c r="C64" s="310" t="n"/>
      <c r="D64" s="311">
        <f>(B55+B54)/B59*100</f>
        <v/>
      </c>
      <c r="E64" s="311">
        <f>B55/B59*100</f>
        <v/>
      </c>
      <c r="F64" s="311">
        <f>(B60-B59)/B59*100</f>
        <v/>
      </c>
      <c r="G64" s="345">
        <f>ABS(B56)</f>
        <v/>
      </c>
      <c r="H64" s="345">
        <f>ABS(B57)</f>
        <v/>
      </c>
    </row>
    <row r="65" customFormat="1" s="151">
      <c r="D65" s="192" t="n"/>
      <c r="E65" s="192" t="n"/>
      <c r="F65" s="192" t="n"/>
      <c r="G65" s="338" t="n"/>
      <c r="H65" s="338" t="n"/>
    </row>
    <row r="66" customFormat="1" s="41">
      <c r="A66" s="40" t="inlineStr">
        <is>
          <t>#END OF  TEMPLATE</t>
        </is>
      </c>
      <c r="B66" s="40" t="n"/>
      <c r="C66" s="40" t="n"/>
      <c r="D66" s="40" t="n"/>
      <c r="E66" s="40" t="inlineStr">
        <is>
          <t>#END OF  TEMPLATE</t>
        </is>
      </c>
      <c r="F66" s="40" t="n"/>
      <c r="G66" s="40" t="n"/>
      <c r="H66" s="40" t="n"/>
      <c r="I66" s="40" t="n"/>
      <c r="J66" s="40" t="inlineStr">
        <is>
          <t>#END OF  TEMPLATE</t>
        </is>
      </c>
      <c r="K66" s="40" t="n"/>
      <c r="L66" s="40" t="n"/>
      <c r="M66" s="40" t="n"/>
      <c r="N66" s="40" t="n"/>
      <c r="P66" s="40" t="inlineStr">
        <is>
          <t>#END OF  TEMPLATE</t>
        </is>
      </c>
    </row>
  </sheetData>
  <autoFilter ref="C3:C36"/>
  <dataValidations count="27">
    <dataValidation sqref="E50:E52" showDropDown="0" showInputMessage="1" showErrorMessage="1" allowBlank="1" promptTitle="Conditional" prompt="Only for sub-asset-types starting with DER_xxx.  Notional value of turnover in each relevant sub-asset-type during the reporting period in base-currency"/>
    <dataValidation sqref="D50:D52" showDropDown="0" showInputMessage="1" showErrorMessage="1" allowBlank="1" prompt="Market value of turnover in each relevant sub-asset-type during the reporting period in base-currency"/>
    <dataValidation sqref="A50:A52" showDropDown="0" showInputMessage="1" showErrorMessage="1" allowBlank="1" promptTitle="Conditional" prompt="The TURNOVER record is optional for AIFs with content type 2 and 4, and forbidden otherwise." type="list">
      <formula1>"TURNOVER,#ignore this line"</formula1>
    </dataValidation>
    <dataValidation sqref="H6:H3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3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36" showDropDown="0" showInputMessage="1" showErrorMessage="1" allowBlank="1" promptTitle="Mandatory" prompt="“L” for long_x000a_“S” for short" type="list">
      <formula1>Fund75</formula1>
    </dataValidation>
    <dataValidation sqref="E37:E43 E45:E46"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45:C46"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52" showDropDown="0" showInputMessage="1" showErrorMessage="1" allowBlank="1" promptTitle="Mandatory" prompt="Unique AIF id to which this record applies.  _x000a__x000a_Add new AIFs in the AIF section." type="list">
      <formula1>AIF_ID</formula1>
    </dataValidation>
    <dataValidation sqref="B6:B43 B50:B51 B64:B65" showDropDown="0" showInputMessage="1" showErrorMessage="1" allowBlank="1" promptTitle="Mandatory" prompt="Unique AIF id to which this record applies.  _x000a__x000a_Add new AIFs in the AIF section._x000a_" type="list">
      <formula1>AIF_ID</formula1>
    </dataValidation>
    <dataValidation sqref="D6:D43" showDropDown="0" showInputMessage="1" showErrorMessage="1" allowBlank="1" promptTitle="Mandatory" prompt="No standard. It is strongly recommended to provide the instrument short name as provided by Swift under ISO18774 when available."/>
    <dataValidation sqref="C64:C6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57:B59 H64:H65" showDropDown="0" showInputMessage="1" showErrorMessage="1" allowBlank="1" promptTitle="Mandatory" prompt="Redemptions in base currency during month."/>
    <dataValidation sqref="B56 D56 G64:G65" showDropDown="0" showInputMessage="1" showErrorMessage="1" allowBlank="1" promptTitle="Mandatory" prompt="Subscriptions in base currency during month."/>
    <dataValidation sqref="F65" showDropDown="0" showInputMessage="1" showErrorMessage="1" allowBlank="1" promptTitle="Mandatory" prompt="Monthly changes in NAV including the impact of subscriptions and redemptions._x000a__x000a_Expressed as a percentage (entered here as a number, e.g. enter 1.23% as 1.23)."/>
    <dataValidation sqref="E6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64:D65 E64:F64"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64:A6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56:A58 A60 D57:H61 I59:J60"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54 C57:C6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6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45:F46"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1" showDropDown="0" showInputMessage="1" showErrorMessage="1" allowBlank="1" promptTitle="Mandatory" prompt="Unique AIF id to which this record applies.  _x000a__x000a_Add new AIFs in the AIF section."/>
    <dataValidation sqref="A6:A43"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6:F43 G6:G36 G38" showDropDown="0" showInputMessage="1" showErrorMessage="1" allowBlank="1" promptTitle="Mandatory" prompt="Position value expressed in base currency (as calculated under Article 2 AIFMD)._x000a__x000a_Value cannot be negative."/>
    <dataValidation sqref="C5:C43"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2.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D45" sqref="D45"/>
    </sheetView>
  </sheetViews>
  <sheetFormatPr baseColWidth="10" defaultColWidth="0" defaultRowHeight="10.5" zeroHeight="1"/>
  <cols>
    <col width="28.81640625" customWidth="1" style="25" min="1" max="1"/>
    <col width="30.453125"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Ridgeline VI Parallel Feeder C.V.</t>
        </is>
      </c>
      <c r="C6" s="151" t="inlineStr">
        <is>
          <t>CIU_OAM_OTHR</t>
        </is>
      </c>
      <c r="D6" s="151" t="inlineStr">
        <is>
          <t>Ridgeline VI Parallel Fund, L.P.</t>
        </is>
      </c>
      <c r="E6" s="151" t="inlineStr">
        <is>
          <t>L</t>
        </is>
      </c>
      <c r="F6" s="286" t="n">
        <v>92945389.5</v>
      </c>
      <c r="G6" s="242" t="n"/>
      <c r="H6" s="151" t="inlineStr">
        <is>
          <t>USD</t>
        </is>
      </c>
      <c r="I6" s="151" t="inlineStr">
        <is>
          <t>NORTHAMERICA</t>
        </is>
      </c>
      <c r="K6" s="243" t="n"/>
      <c r="L6" s="243" t="n"/>
    </row>
    <row r="7"/>
    <row r="8"/>
    <row r="9" customFormat="1" s="151">
      <c r="A9" s="307" t="inlineStr">
        <is>
          <t># Turnover is deposits - withdrawals, all money concerted into shares of the master fund.</t>
        </is>
      </c>
      <c r="F9" s="348" t="n"/>
      <c r="G9" s="348" t="n"/>
      <c r="H9" s="348" t="n"/>
    </row>
    <row r="10" customForma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303" t="n"/>
      <c r="G10" s="301" t="n"/>
    </row>
    <row r="11">
      <c r="A11" s="29" t="inlineStr">
        <is>
          <t>#AIF fieldnummers</t>
        </is>
      </c>
      <c r="B11" s="38" t="inlineStr">
        <is>
          <t>AIF_ID</t>
        </is>
      </c>
      <c r="C11" s="29" t="n">
        <v>125</v>
      </c>
      <c r="D11" s="29" t="n">
        <v>126</v>
      </c>
      <c r="E11" s="29" t="n">
        <v>127</v>
      </c>
      <c r="F11" s="302" t="n"/>
      <c r="G11" s="302" t="n"/>
    </row>
    <row r="12">
      <c r="A12" s="151" t="inlineStr">
        <is>
          <t>TURNOVER</t>
        </is>
      </c>
      <c r="B12" s="151" t="inlineStr">
        <is>
          <t>Ridgeline VI Parallel Feeder C.V.</t>
        </is>
      </c>
      <c r="C12" s="153" t="inlineStr">
        <is>
          <t>CIU_CIU_CIU</t>
        </is>
      </c>
      <c r="D12" s="345">
        <f>ABS(B18)+ABS(B19)</f>
        <v/>
      </c>
      <c r="E12" s="349" t="n"/>
      <c r="F12" s="28" t="n"/>
      <c r="G12" s="28" t="n"/>
      <c r="H12" s="28" t="n"/>
      <c r="I12" s="28" t="n"/>
      <c r="J12" s="28" t="n"/>
      <c r="K12" s="28" t="n"/>
      <c r="L12" s="28" t="n"/>
      <c r="M12" s="28" t="n"/>
    </row>
    <row r="13">
      <c r="A13" s="151" t="n"/>
      <c r="B13" s="151" t="n"/>
      <c r="C13" s="153" t="n"/>
      <c r="D13" s="345" t="n"/>
      <c r="E13" s="349" t="n"/>
      <c r="F13" s="28" t="n"/>
      <c r="G13" s="28" t="n"/>
      <c r="H13" s="28" t="n"/>
      <c r="I13" s="28" t="n"/>
      <c r="J13" s="28" t="n"/>
      <c r="K13" s="28" t="n"/>
      <c r="L13" s="28" t="n"/>
      <c r="M13" s="28"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-70042.19</v>
      </c>
      <c r="C16" s="343" t="inlineStr">
        <is>
          <t>&lt;= Expenses, Negative!</t>
        </is>
      </c>
    </row>
    <row r="17" customFormat="1" s="151">
      <c r="A17" s="285" t="inlineStr">
        <is>
          <t># XLS - QTD - Net Profit</t>
        </is>
      </c>
      <c r="B17" s="288" t="n">
        <v>2619068.19</v>
      </c>
      <c r="C17" s="344" t="inlineStr">
        <is>
          <t>&lt;= Real Net</t>
        </is>
      </c>
    </row>
    <row r="18" customFormat="1" s="151">
      <c r="A18" s="285" t="inlineStr">
        <is>
          <t># XLS - QTD - Deposits</t>
        </is>
      </c>
      <c r="B18" s="339" t="n">
        <v>0</v>
      </c>
      <c r="C18" s="338" t="inlineStr">
        <is>
          <t>Positive!</t>
        </is>
      </c>
      <c r="D18" s="340"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Ridgeline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151">
      <c r="A29" s="40" t="inlineStr">
        <is>
          <t>#END OF  TEMPLATE</t>
        </is>
      </c>
      <c r="B29" s="40" t="n"/>
      <c r="C29" s="40" t="n"/>
      <c r="D29" s="40" t="n"/>
      <c r="E29" s="40" t="inlineStr">
        <is>
          <t>#END OF  TEMPLATE</t>
        </is>
      </c>
      <c r="F29" s="40" t="n"/>
      <c r="G29" s="40" t="n"/>
      <c r="H29" s="40" t="n"/>
    </row>
    <row r="30" customFormat="1" s="151">
      <c r="A30" s="25" t="n"/>
      <c r="B30" s="25" t="n"/>
      <c r="C30" s="25" t="n"/>
      <c r="D30" s="25" t="n"/>
      <c r="E30" s="25" t="n"/>
      <c r="F30" s="25" t="n"/>
      <c r="G30" s="25" t="n"/>
      <c r="H30" s="25" t="n"/>
    </row>
    <row r="31" customFormat="1" s="151">
      <c r="A31" s="25" t="n"/>
      <c r="B31" s="25" t="n"/>
      <c r="C31" s="25" t="n"/>
      <c r="D31" s="25" t="n"/>
      <c r="E31" s="25" t="n"/>
      <c r="F31" s="25" t="n"/>
      <c r="G31" s="25" t="n"/>
      <c r="H31" s="25" t="n"/>
    </row>
    <row r="32" customFormat="1" s="151">
      <c r="A32" s="25" t="n"/>
      <c r="B32" s="25" t="n"/>
      <c r="C32" s="25" t="n"/>
      <c r="D32" s="25" t="n"/>
      <c r="E32" s="25" t="n"/>
      <c r="F32" s="25" t="n"/>
      <c r="G32" s="25" t="n"/>
      <c r="H32" s="25" t="n"/>
      <c r="I32" s="349" t="n"/>
      <c r="J32" s="349" t="n"/>
    </row>
    <row r="33" customFormat="1" s="28">
      <c r="A33" s="25" t="n"/>
      <c r="B33" s="25" t="n"/>
      <c r="C33" s="25" t="n"/>
      <c r="D33" s="25" t="n"/>
      <c r="E33" s="25" t="n"/>
      <c r="F33" s="25" t="n"/>
      <c r="G33" s="25" t="n"/>
      <c r="H33" s="25" t="n"/>
      <c r="I33" s="25" t="n"/>
      <c r="J33" s="25" t="n"/>
      <c r="K33" s="25" t="n"/>
      <c r="L33" s="25" t="n"/>
      <c r="M33" s="25" t="n"/>
    </row>
    <row r="34"/>
    <row r="35" customFormat="1" s="151">
      <c r="A35" s="25" t="n"/>
      <c r="B35" s="25" t="n"/>
      <c r="C35" s="25" t="n"/>
      <c r="D35" s="25" t="n"/>
      <c r="E35" s="25" t="n"/>
      <c r="F35" s="25" t="n"/>
      <c r="G35" s="25" t="n"/>
      <c r="H35" s="25" t="n"/>
    </row>
    <row r="36" ht="18.5" customFormat="1" customHeight="1" s="151">
      <c r="A36" s="346" t="n"/>
      <c r="B36" s="25" t="n"/>
      <c r="C36" s="25" t="n"/>
      <c r="D36" s="25" t="n"/>
      <c r="E36" s="25" t="n"/>
      <c r="F36" s="25" t="n"/>
      <c r="G36" s="25" t="n"/>
      <c r="H36" s="25" t="n"/>
    </row>
  </sheetData>
  <dataValidations count="26">
    <dataValidation sqref="B13 B27" showDropDown="0" showInputMessage="1" showErrorMessage="1" allowBlank="1" promptTitle="Mandatory" prompt="Unique AIF id to which this record applies.  _x000a__x000a_Add new AIFs in the AIF section._x000a_" type="list">
      <formula1>AIF_ID</formula1>
    </dataValidation>
    <dataValidation sqref="B6 B12 B14 B26" showDropDown="0" showInputMessage="1" showErrorMessage="1" allowBlank="1" promptTitle="Mandatory" prompt="Unique AIF id to which this record applies.  _x000a__x000a_Add new AIFs in the AIF section." type="list">
      <formula1>AIF_ID</formula1>
    </dataValida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I32:J32"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 showDropDown="0" showInputMessage="1" showErrorMessage="1" allowBlank="1" promptTitle="Mandatory" prompt="Position value expressed in base currency (as calculated under Article 2 AIFMD)._x000a__x000a_Value cannot be negative."/>
    <dataValidation sqref="D6" showDropDown="0" showInputMessage="1" showErrorMessage="1" allowBlank="1" promptTitle="Mandatory" prompt="No standard. It is strongly recommended to provide the instrument short name as provided by Swift under ISO18774 when available."/>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1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D12:D14" showDropDown="0" showInputMessage="1" showErrorMessage="1" allowBlank="1" prompt="Market value of turnover in each relevant sub-asset-type during the reporting period in base-currency"/>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3.xml><?xml version="1.0" encoding="utf-8"?>
<worksheet xmlns="http://schemas.openxmlformats.org/spreadsheetml/2006/main">
  <sheetPr>
    <tabColor theme="4" tint="-0.499984740745262"/>
    <outlinePr summaryBelow="1" summaryRight="1"/>
    <pageSetUpPr/>
  </sheetPr>
  <dimension ref="A1:U65"/>
  <sheetViews>
    <sheetView topLeftCell="A19" zoomScale="80" zoomScaleNormal="80" workbookViewId="0">
      <selection activeCell="D49" sqref="D49"/>
    </sheetView>
  </sheetViews>
  <sheetFormatPr baseColWidth="10" defaultColWidth="0" defaultRowHeight="10.5" zeroHeight="1"/>
  <cols>
    <col width="49.54296875" customWidth="1" style="25" min="1" max="1"/>
    <col width="22" bestFit="1"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inlineStr">
        <is>
          <t># XLS - SOI - Fair Value</t>
        </is>
      </c>
      <c r="C5" s="306" t="n"/>
      <c r="D5" s="306" t="n"/>
      <c r="F5" s="306" t="n"/>
      <c r="G5" s="306" t="n"/>
    </row>
    <row r="6" customFormat="1" s="39">
      <c r="A6" s="151" t="inlineStr">
        <is>
          <t>POSITION_COMPACT</t>
        </is>
      </c>
      <c r="B6" s="151" t="inlineStr">
        <is>
          <t>Ridgeline VII Parallel Fund, L.P.</t>
        </is>
      </c>
      <c r="C6" s="151" t="inlineStr">
        <is>
          <t>SEC_UEQ_UEQY</t>
        </is>
      </c>
      <c r="D6" s="151" t="inlineStr">
        <is>
          <t>Apex Interiors Co-Investors A, L.P.</t>
        </is>
      </c>
      <c r="E6" s="151" t="inlineStr">
        <is>
          <t>L</t>
        </is>
      </c>
      <c r="F6" s="286" t="n">
        <v>633235</v>
      </c>
      <c r="G6" s="286" t="n">
        <v>545937</v>
      </c>
      <c r="H6" s="151" t="inlineStr">
        <is>
          <t>USD</t>
        </is>
      </c>
      <c r="I6" s="151" t="inlineStr">
        <is>
          <t>NORTHAMERICA</t>
        </is>
      </c>
    </row>
    <row r="7" customFormat="1" s="151">
      <c r="A7" s="151" t="inlineStr">
        <is>
          <t>POSITION_COMPACT</t>
        </is>
      </c>
      <c r="B7" s="151" t="inlineStr">
        <is>
          <t>Ridgeline VII Parallel Fund, L.P.</t>
        </is>
      </c>
      <c r="C7" s="151" t="inlineStr">
        <is>
          <t>SEC_UEQ_UEQY</t>
        </is>
      </c>
      <c r="D7" s="151" t="inlineStr">
        <is>
          <t>Stellar Capital Partners Fund I-A, L.P.</t>
        </is>
      </c>
      <c r="E7" s="151" t="inlineStr">
        <is>
          <t>L</t>
        </is>
      </c>
      <c r="F7" s="286" t="n">
        <v>2981694</v>
      </c>
      <c r="G7" s="286" t="n">
        <v>2787618</v>
      </c>
      <c r="H7" s="151" t="inlineStr">
        <is>
          <t>USD</t>
        </is>
      </c>
      <c r="I7" s="151" t="inlineStr">
        <is>
          <t>NORTHAMERICA</t>
        </is>
      </c>
      <c r="L7" s="243" t="n"/>
    </row>
    <row r="8" customFormat="1" s="151">
      <c r="A8" s="151" t="inlineStr">
        <is>
          <t>POSITION_COMPACT</t>
        </is>
      </c>
      <c r="B8" s="151" t="inlineStr">
        <is>
          <t>Ridgeline VII Parallel Fund, L.P.</t>
        </is>
      </c>
      <c r="C8" s="151" t="inlineStr">
        <is>
          <t>SEC_UEQ_UEQY</t>
        </is>
      </c>
      <c r="D8" s="151" t="inlineStr">
        <is>
          <t>Clearwater Fund I-A, L.P.</t>
        </is>
      </c>
      <c r="E8" s="151" t="inlineStr">
        <is>
          <t>L</t>
        </is>
      </c>
      <c r="F8" s="286" t="n">
        <v>6963559</v>
      </c>
      <c r="G8" s="286" t="n">
        <v>8434141</v>
      </c>
      <c r="H8" s="151" t="inlineStr">
        <is>
          <t>USD</t>
        </is>
      </c>
      <c r="I8" s="151" t="inlineStr">
        <is>
          <t>NORTHAMERICA</t>
        </is>
      </c>
      <c r="L8" s="243" t="n"/>
    </row>
    <row r="9" customFormat="1" s="151">
      <c r="A9" s="151" t="inlineStr">
        <is>
          <t>POSITION_COMPACT</t>
        </is>
      </c>
      <c r="B9" s="151" t="inlineStr">
        <is>
          <t>Ridgeline VII Parallel Fund, L.P.</t>
        </is>
      </c>
      <c r="C9" s="151" t="inlineStr">
        <is>
          <t>SEC_UEQ_UEQY</t>
        </is>
      </c>
      <c r="D9" s="151" t="inlineStr">
        <is>
          <t>Navigator Group Fund II Parallel LP</t>
        </is>
      </c>
      <c r="E9" s="151" t="inlineStr">
        <is>
          <t>L</t>
        </is>
      </c>
      <c r="F9" s="286" t="n">
        <v>5703914</v>
      </c>
      <c r="G9" s="286" t="n">
        <v>3679573</v>
      </c>
      <c r="H9" s="151" t="inlineStr">
        <is>
          <t>USD</t>
        </is>
      </c>
      <c r="I9" s="151" t="inlineStr">
        <is>
          <t>NORTHAMERICA</t>
        </is>
      </c>
      <c r="L9" s="243" t="n"/>
    </row>
    <row r="10" customFormat="1" s="151">
      <c r="A10" s="151" t="inlineStr">
        <is>
          <t>POSITION_COMPACT</t>
        </is>
      </c>
      <c r="B10" s="151" t="inlineStr">
        <is>
          <t>Ridgeline VII Parallel Fund, L.P.</t>
        </is>
      </c>
      <c r="C10" s="151" t="inlineStr">
        <is>
          <t>SEC_UEQ_UEQY</t>
        </is>
      </c>
      <c r="D10" s="151" t="inlineStr">
        <is>
          <t>Navigator KGM Co-Investors LP</t>
        </is>
      </c>
      <c r="E10" s="151" t="inlineStr">
        <is>
          <t>L</t>
        </is>
      </c>
      <c r="F10" s="286" t="n">
        <v>2549946</v>
      </c>
      <c r="G10" s="286" t="n">
        <v>1884460</v>
      </c>
      <c r="H10" s="151" t="inlineStr">
        <is>
          <t>USD</t>
        </is>
      </c>
      <c r="I10" s="151" t="inlineStr">
        <is>
          <t>NORTHAMERICA</t>
        </is>
      </c>
      <c r="L10" s="243" t="n"/>
    </row>
    <row r="11" customFormat="1" s="151">
      <c r="A11" s="151" t="inlineStr">
        <is>
          <t>POSITION_COMPACT</t>
        </is>
      </c>
      <c r="B11" s="151" t="inlineStr">
        <is>
          <t>Ridgeline VII Parallel Fund, L.P.</t>
        </is>
      </c>
      <c r="C11" s="151" t="inlineStr">
        <is>
          <t>SEC_UEQ_UEQY</t>
        </is>
      </c>
      <c r="D11" s="151" t="inlineStr">
        <is>
          <t>Navigator Ross Holdings SPV, LLC</t>
        </is>
      </c>
      <c r="E11" s="151" t="inlineStr">
        <is>
          <t>L</t>
        </is>
      </c>
      <c r="F11" s="286" t="n">
        <v>899164</v>
      </c>
      <c r="G11" s="286" t="n">
        <v>1034546</v>
      </c>
      <c r="H11" s="151" t="inlineStr">
        <is>
          <t>USD</t>
        </is>
      </c>
      <c r="I11" s="151" t="inlineStr">
        <is>
          <t>NORTHAMERICA</t>
        </is>
      </c>
      <c r="L11" s="243" t="n"/>
    </row>
    <row r="12" customFormat="1" s="151">
      <c r="A12" s="151" t="inlineStr">
        <is>
          <t>POSITION_COMPACT</t>
        </is>
      </c>
      <c r="B12" s="151" t="inlineStr">
        <is>
          <t>Ridgeline VII Parallel Fund, L.P.</t>
        </is>
      </c>
      <c r="C12" s="151" t="inlineStr">
        <is>
          <t>SEC_UEQ_UEQY</t>
        </is>
      </c>
      <c r="D12" s="151" t="inlineStr">
        <is>
          <t>Pacific Solutions Partners LLC</t>
        </is>
      </c>
      <c r="E12" s="151" t="inlineStr">
        <is>
          <t>L</t>
        </is>
      </c>
      <c r="F12" s="286" t="n">
        <v>687053</v>
      </c>
      <c r="G12" s="286" t="n">
        <v>677092</v>
      </c>
      <c r="H12" s="151" t="inlineStr">
        <is>
          <t>USD</t>
        </is>
      </c>
      <c r="I12" s="151" t="inlineStr">
        <is>
          <t>NORTHAMERICA</t>
        </is>
      </c>
      <c r="L12" s="243" t="n"/>
    </row>
    <row r="13" customFormat="1" s="151">
      <c r="A13" s="151" t="inlineStr">
        <is>
          <t>POSITION_COMPACT</t>
        </is>
      </c>
      <c r="B13" s="151" t="inlineStr">
        <is>
          <t>Ridgeline VII Parallel Fund, L.P.</t>
        </is>
      </c>
      <c r="C13" s="151" t="inlineStr">
        <is>
          <t>SEC_UEQ_UEQY</t>
        </is>
      </c>
      <c r="D13" s="151" t="inlineStr">
        <is>
          <t>Meridian Capital Fund II, L.P.</t>
        </is>
      </c>
      <c r="E13" s="151" t="inlineStr">
        <is>
          <t>L</t>
        </is>
      </c>
      <c r="F13" s="286" t="n">
        <v>874022</v>
      </c>
      <c r="G13" s="286" t="n">
        <v>1180198</v>
      </c>
      <c r="H13" s="151" t="inlineStr">
        <is>
          <t>USD</t>
        </is>
      </c>
      <c r="I13" s="151" t="inlineStr">
        <is>
          <t>NORTHAMERICA</t>
        </is>
      </c>
      <c r="L13" s="243" t="n"/>
    </row>
    <row r="14" customFormat="1" s="151">
      <c r="A14" s="151" t="inlineStr">
        <is>
          <t>POSITION_COMPACT</t>
        </is>
      </c>
      <c r="B14" s="151" t="inlineStr">
        <is>
          <t>Ridgeline VII Parallel Fund, L.P.</t>
        </is>
      </c>
      <c r="C14" s="151" t="inlineStr">
        <is>
          <t>SEC_UEQ_UEQY</t>
        </is>
      </c>
      <c r="D14" s="151" t="inlineStr">
        <is>
          <t>Summit Growth Partners Fund I, L.P.</t>
        </is>
      </c>
      <c r="E14" s="151" t="inlineStr">
        <is>
          <t>L</t>
        </is>
      </c>
      <c r="F14" s="286" t="n">
        <v>2584522</v>
      </c>
      <c r="G14" s="286" t="n">
        <v>3181671</v>
      </c>
      <c r="H14" s="151" t="inlineStr">
        <is>
          <t>USD</t>
        </is>
      </c>
      <c r="I14" s="151" t="inlineStr">
        <is>
          <t>NORTHAMERICA</t>
        </is>
      </c>
      <c r="L14" s="243" t="n"/>
    </row>
    <row r="15" customFormat="1" s="151">
      <c r="A15" s="151" t="inlineStr">
        <is>
          <t>POSITION_COMPACT</t>
        </is>
      </c>
      <c r="B15" s="151" t="inlineStr">
        <is>
          <t>Ridgeline VII Parallel Fund, L.P.</t>
        </is>
      </c>
      <c r="C15" s="151" t="inlineStr">
        <is>
          <t>SEC_UEQ_UEQY</t>
        </is>
      </c>
      <c r="D15" s="151" t="inlineStr">
        <is>
          <t>Summit Growth Partners SPV II, L.P.</t>
        </is>
      </c>
      <c r="E15" s="151" t="inlineStr">
        <is>
          <t>L</t>
        </is>
      </c>
      <c r="F15" s="286" t="n">
        <v>1070506</v>
      </c>
      <c r="G15" s="286" t="n">
        <v>778481</v>
      </c>
      <c r="H15" s="151" t="inlineStr">
        <is>
          <t>USD</t>
        </is>
      </c>
      <c r="I15" s="151" t="inlineStr">
        <is>
          <t>NORTHAMERICA</t>
        </is>
      </c>
      <c r="L15" s="243" t="n"/>
    </row>
    <row r="16" customFormat="1" s="151">
      <c r="A16" s="151" t="inlineStr">
        <is>
          <t>POSITION_COMPACT</t>
        </is>
      </c>
      <c r="B16" s="151" t="inlineStr">
        <is>
          <t>Ridgeline VII Parallel Fund, L.P.</t>
        </is>
      </c>
      <c r="C16" s="151" t="inlineStr">
        <is>
          <t>SEC_UEQ_UEQY</t>
        </is>
      </c>
      <c r="D16" s="151" t="inlineStr">
        <is>
          <t>Spectrum Group Parent LLC</t>
        </is>
      </c>
      <c r="E16" s="151" t="inlineStr">
        <is>
          <t>L</t>
        </is>
      </c>
      <c r="F16" s="286" t="n">
        <v>364909</v>
      </c>
      <c r="G16" s="286" t="n">
        <v>289886</v>
      </c>
      <c r="H16" s="151" t="inlineStr">
        <is>
          <t>USD</t>
        </is>
      </c>
      <c r="I16" s="151" t="inlineStr">
        <is>
          <t>NORTHAMERICA</t>
        </is>
      </c>
      <c r="L16" s="243" t="n"/>
    </row>
    <row r="17" customFormat="1" s="151">
      <c r="A17" s="151" t="inlineStr">
        <is>
          <t>POSITION_COMPACT</t>
        </is>
      </c>
      <c r="B17" s="151" t="inlineStr">
        <is>
          <t>Ridgeline VII Parallel Fund, L.P.</t>
        </is>
      </c>
      <c r="C17" s="151" t="inlineStr">
        <is>
          <t>SEC_UEQ_UEQY</t>
        </is>
      </c>
      <c r="D17" s="151" t="inlineStr">
        <is>
          <t>DX Healthcare Partners Small Cap, L.P.</t>
        </is>
      </c>
      <c r="E17" s="151" t="inlineStr">
        <is>
          <t>L</t>
        </is>
      </c>
      <c r="F17" s="286" t="n">
        <v>1308989</v>
      </c>
      <c r="G17" s="286" t="n">
        <v>1638612</v>
      </c>
      <c r="H17" s="151" t="inlineStr">
        <is>
          <t>USD</t>
        </is>
      </c>
      <c r="I17" s="151" t="inlineStr">
        <is>
          <t>NORTHAMERICA</t>
        </is>
      </c>
      <c r="L17" s="243" t="n"/>
    </row>
    <row r="18" customFormat="1" s="151">
      <c r="A18" s="151" t="inlineStr">
        <is>
          <t>POSITION_COMPACT</t>
        </is>
      </c>
      <c r="B18" s="151" t="inlineStr">
        <is>
          <t>Ridgeline VII Parallel Fund, L.P.</t>
        </is>
      </c>
      <c r="C18" s="151" t="inlineStr">
        <is>
          <t>SEC_UEQ_UEQY</t>
        </is>
      </c>
      <c r="D18" s="151" t="inlineStr">
        <is>
          <t>Growth Horizon Partners II-A, L.P.</t>
        </is>
      </c>
      <c r="E18" s="151" t="inlineStr">
        <is>
          <t>L</t>
        </is>
      </c>
      <c r="F18" s="286" t="n">
        <v>6866766</v>
      </c>
      <c r="G18" s="286" t="n">
        <v>4295085</v>
      </c>
      <c r="H18" s="151" t="inlineStr">
        <is>
          <t>USD</t>
        </is>
      </c>
      <c r="I18" s="151" t="inlineStr">
        <is>
          <t>NORTHAMERICA</t>
        </is>
      </c>
      <c r="L18" s="243" t="n"/>
    </row>
    <row r="19" customFormat="1" s="151">
      <c r="A19" s="151" t="inlineStr">
        <is>
          <t>POSITION_COMPACT</t>
        </is>
      </c>
      <c r="B19" s="151" t="inlineStr">
        <is>
          <t>Ridgeline VII Parallel Fund, L.P.</t>
        </is>
      </c>
      <c r="C19" s="151" t="inlineStr">
        <is>
          <t>SEC_UEQ_UEQY</t>
        </is>
      </c>
      <c r="D19" s="151" t="inlineStr">
        <is>
          <t>MedBridge-Anodyne Holdings, LLC</t>
        </is>
      </c>
      <c r="E19" s="151" t="inlineStr">
        <is>
          <t>L</t>
        </is>
      </c>
      <c r="F19" s="286" t="n">
        <v>1252501</v>
      </c>
      <c r="G19" s="286" t="n">
        <v>1136804</v>
      </c>
      <c r="H19" s="151" t="inlineStr">
        <is>
          <t>USD</t>
        </is>
      </c>
      <c r="I19" s="151" t="inlineStr">
        <is>
          <t>NORTHAMERICA</t>
        </is>
      </c>
      <c r="L19" s="243" t="n"/>
    </row>
    <row r="20" customFormat="1" s="151">
      <c r="A20" s="151" t="inlineStr">
        <is>
          <t>POSITION_COMPACT</t>
        </is>
      </c>
      <c r="B20" s="151" t="inlineStr">
        <is>
          <t>Ridgeline VII Parallel Fund, L.P.</t>
        </is>
      </c>
      <c r="C20" s="151" t="inlineStr">
        <is>
          <t>SEC_UEQ_UEQY</t>
        </is>
      </c>
      <c r="D20" s="151" t="inlineStr">
        <is>
          <t>MedBridge Investment Fund IV (Parallel Fund), L.P.</t>
        </is>
      </c>
      <c r="E20" s="151" t="inlineStr">
        <is>
          <t>L</t>
        </is>
      </c>
      <c r="F20" s="286" t="n">
        <v>2469873</v>
      </c>
      <c r="G20" s="286" t="n">
        <v>4089928</v>
      </c>
      <c r="H20" s="151" t="inlineStr">
        <is>
          <t>USD</t>
        </is>
      </c>
      <c r="I20" s="151" t="inlineStr">
        <is>
          <t>NORTHAMERICA</t>
        </is>
      </c>
      <c r="L20" s="243" t="n"/>
    </row>
    <row r="21" customFormat="1" s="151">
      <c r="A21" s="151" t="inlineStr">
        <is>
          <t>POSITION_COMPACT</t>
        </is>
      </c>
      <c r="B21" s="151" t="inlineStr">
        <is>
          <t>Ridgeline VII Parallel Fund, L.P.</t>
        </is>
      </c>
      <c r="C21" s="151" t="inlineStr">
        <is>
          <t>SEC_UEQ_UEQY</t>
        </is>
      </c>
      <c r="D21" s="151" t="inlineStr">
        <is>
          <t>MedBridge-P3 Holdings, LLC</t>
        </is>
      </c>
      <c r="E21" s="151" t="inlineStr">
        <is>
          <t>L</t>
        </is>
      </c>
      <c r="F21" s="286" t="n">
        <v>817891</v>
      </c>
      <c r="G21" s="286" t="n">
        <v>647782</v>
      </c>
      <c r="H21" s="151" t="inlineStr">
        <is>
          <t>USD</t>
        </is>
      </c>
      <c r="I21" s="151" t="inlineStr">
        <is>
          <t>NORTHAMERICA</t>
        </is>
      </c>
      <c r="L21" s="243" t="n"/>
    </row>
    <row r="22" customFormat="1" s="151">
      <c r="A22" s="151" t="inlineStr">
        <is>
          <t>POSITION_COMPACT</t>
        </is>
      </c>
      <c r="B22" s="151" t="inlineStr">
        <is>
          <t>Ridgeline VII Parallel Fund, L.P.</t>
        </is>
      </c>
      <c r="C22" s="151" t="inlineStr">
        <is>
          <t>SEC_UEQ_UEQY</t>
        </is>
      </c>
      <c r="D22" s="151" t="inlineStr">
        <is>
          <t>MedBridge-Veridian Holdings, LLC</t>
        </is>
      </c>
      <c r="E22" s="151" t="inlineStr">
        <is>
          <t>L</t>
        </is>
      </c>
      <c r="F22" s="286" t="n">
        <v>865101</v>
      </c>
      <c r="G22" s="286" t="n">
        <v>779153</v>
      </c>
      <c r="H22" s="151" t="inlineStr">
        <is>
          <t>USD</t>
        </is>
      </c>
      <c r="I22" s="151" t="inlineStr">
        <is>
          <t>NORTHAMERICA</t>
        </is>
      </c>
      <c r="L22" s="243" t="n"/>
    </row>
    <row r="23" customFormat="1" s="151">
      <c r="A23" s="151" t="inlineStr">
        <is>
          <t>POSITION_COMPACT</t>
        </is>
      </c>
      <c r="B23" s="151" t="inlineStr">
        <is>
          <t>Ridgeline VII Parallel Fund, L.P.</t>
        </is>
      </c>
      <c r="C23" s="151" t="inlineStr">
        <is>
          <t>SEC_UEQ_UEQY</t>
        </is>
      </c>
      <c r="D23" s="151" t="inlineStr">
        <is>
          <t>Steelarch Equity Partners (International) IV, LP</t>
        </is>
      </c>
      <c r="E23" s="151" t="inlineStr">
        <is>
          <t>L</t>
        </is>
      </c>
      <c r="F23" s="286" t="n">
        <v>3777036</v>
      </c>
      <c r="G23" s="286" t="n">
        <v>2786750</v>
      </c>
      <c r="H23" s="151" t="inlineStr">
        <is>
          <t>USD</t>
        </is>
      </c>
      <c r="I23" s="151" t="inlineStr">
        <is>
          <t>NORTHAMERICA</t>
        </is>
      </c>
      <c r="L23" s="243" t="n"/>
    </row>
    <row r="24" customFormat="1" s="151">
      <c r="A24" s="151" t="inlineStr">
        <is>
          <t>POSITION_COMPACT</t>
        </is>
      </c>
      <c r="B24" s="151" t="inlineStr">
        <is>
          <t>Ridgeline VII Parallel Fund, L.P.</t>
        </is>
      </c>
      <c r="C24" s="151" t="inlineStr">
        <is>
          <t>SEC_UEQ_UEQY</t>
        </is>
      </c>
      <c r="D24" s="151" t="inlineStr">
        <is>
          <t>New Haven Capital Fund III-A, LP</t>
        </is>
      </c>
      <c r="E24" s="151" t="inlineStr">
        <is>
          <t>L</t>
        </is>
      </c>
      <c r="F24" s="286" t="n">
        <v>778181</v>
      </c>
      <c r="G24" s="286" t="n">
        <v>1284387</v>
      </c>
      <c r="H24" s="151" t="inlineStr">
        <is>
          <t>USD</t>
        </is>
      </c>
      <c r="I24" s="151" t="inlineStr">
        <is>
          <t>NORTHAMERICA</t>
        </is>
      </c>
      <c r="L24" s="243" t="n"/>
    </row>
    <row r="25" customFormat="1" s="151">
      <c r="A25" s="151" t="inlineStr">
        <is>
          <t>POSITION_COMPACT</t>
        </is>
      </c>
      <c r="B25" s="151" t="inlineStr">
        <is>
          <t>Ridgeline VII Parallel Fund, L.P.</t>
        </is>
      </c>
      <c r="C25" s="151" t="inlineStr">
        <is>
          <t>SEC_UEQ_UEQY</t>
        </is>
      </c>
      <c r="D25" s="151" t="inlineStr">
        <is>
          <t>OEG Co-Investment, L.P.</t>
        </is>
      </c>
      <c r="E25" s="151" t="inlineStr">
        <is>
          <t>L</t>
        </is>
      </c>
      <c r="F25" s="286" t="n">
        <v>1003275</v>
      </c>
      <c r="G25" s="286" t="n">
        <v>829648</v>
      </c>
      <c r="H25" s="151" t="inlineStr">
        <is>
          <t>USD</t>
        </is>
      </c>
      <c r="I25" s="151" t="inlineStr">
        <is>
          <t>NORTHAMERICA</t>
        </is>
      </c>
      <c r="L25" s="243" t="n"/>
    </row>
    <row r="26" customFormat="1" s="151">
      <c r="A26" s="151" t="inlineStr">
        <is>
          <t>POSITION_COMPACT</t>
        </is>
      </c>
      <c r="B26" s="151" t="inlineStr">
        <is>
          <t>Ridgeline VII Parallel Fund, L.P.</t>
        </is>
      </c>
      <c r="C26" s="151" t="inlineStr">
        <is>
          <t>SEC_UEQ_UEQY</t>
        </is>
      </c>
      <c r="D26" s="151" t="inlineStr">
        <is>
          <t>ORH Opportunity Fund IV, L.P.</t>
        </is>
      </c>
      <c r="E26" s="151" t="inlineStr">
        <is>
          <t>L</t>
        </is>
      </c>
      <c r="F26" s="286" t="n">
        <v>758676</v>
      </c>
      <c r="G26" s="286" t="n">
        <v>663110</v>
      </c>
      <c r="H26" s="151" t="inlineStr">
        <is>
          <t>USD</t>
        </is>
      </c>
      <c r="I26" s="151" t="inlineStr">
        <is>
          <t>NORTHAMERICA</t>
        </is>
      </c>
      <c r="L26" s="243" t="n"/>
    </row>
    <row r="27" customFormat="1" s="151">
      <c r="A27" s="151" t="inlineStr">
        <is>
          <t>POSITION_COMPACT</t>
        </is>
      </c>
      <c r="B27" s="151" t="inlineStr">
        <is>
          <t>Ridgeline VII Parallel Fund, L.P.</t>
        </is>
      </c>
      <c r="C27" s="151" t="inlineStr">
        <is>
          <t>SEC_UEQ_UEQY</t>
        </is>
      </c>
      <c r="D27" s="151" t="inlineStr">
        <is>
          <t>Telescope Equity II-A, L.P.</t>
        </is>
      </c>
      <c r="E27" s="151" t="inlineStr">
        <is>
          <t>L</t>
        </is>
      </c>
      <c r="F27" s="286" t="n">
        <v>1697678</v>
      </c>
      <c r="G27" s="286" t="n">
        <v>1671016</v>
      </c>
      <c r="H27" s="151" t="inlineStr">
        <is>
          <t>USD</t>
        </is>
      </c>
      <c r="I27" s="151" t="inlineStr">
        <is>
          <t>NORTHAMERICA</t>
        </is>
      </c>
      <c r="L27" s="243" t="n"/>
    </row>
    <row r="28" customFormat="1" s="151">
      <c r="A28" s="151" t="inlineStr">
        <is>
          <t>POSITION_COMPACT</t>
        </is>
      </c>
      <c r="B28" s="151" t="inlineStr">
        <is>
          <t>Ridgeline VII Parallel Fund, L.P.</t>
        </is>
      </c>
      <c r="C28" s="151" t="inlineStr">
        <is>
          <t>SEC_UEQ_UEQY</t>
        </is>
      </c>
      <c r="D28" s="151" t="inlineStr">
        <is>
          <t>PixelVault Holdco LLC</t>
        </is>
      </c>
      <c r="E28" s="151" t="inlineStr">
        <is>
          <t>L</t>
        </is>
      </c>
      <c r="F28" s="286" t="n">
        <v>1121280</v>
      </c>
      <c r="G28" s="286" t="n">
        <v>1570364</v>
      </c>
      <c r="H28" s="151" t="inlineStr">
        <is>
          <t>USD</t>
        </is>
      </c>
      <c r="I28" s="151" t="inlineStr">
        <is>
          <t>NORTHAMERICA</t>
        </is>
      </c>
      <c r="L28" s="243" t="n"/>
    </row>
    <row r="29" customFormat="1" s="151">
      <c r="A29" s="151" t="inlineStr">
        <is>
          <t>POSITION_COMPACT</t>
        </is>
      </c>
      <c r="B29" s="151" t="inlineStr">
        <is>
          <t>Ridgeline VII Parallel Fund, L.P.</t>
        </is>
      </c>
      <c r="C29" s="151" t="inlineStr">
        <is>
          <t>SEC_UEQ_UEQY</t>
        </is>
      </c>
      <c r="D29" s="151" t="inlineStr">
        <is>
          <t>RiskAlpha9 Parent LLC</t>
        </is>
      </c>
      <c r="E29" s="151" t="inlineStr">
        <is>
          <t>L</t>
        </is>
      </c>
      <c r="F29" s="286" t="n">
        <v>746434</v>
      </c>
      <c r="G29" s="286" t="n">
        <v>770994</v>
      </c>
      <c r="H29" s="151" t="inlineStr">
        <is>
          <t>USD</t>
        </is>
      </c>
      <c r="I29" s="151" t="inlineStr">
        <is>
          <t>NORTHAMERICA</t>
        </is>
      </c>
      <c r="L29" s="243" t="n"/>
    </row>
    <row r="30" customFormat="1" s="151">
      <c r="A30" s="151" t="inlineStr">
        <is>
          <t>POSITION_COMPACT</t>
        </is>
      </c>
      <c r="B30" s="151" t="inlineStr">
        <is>
          <t>Ridgeline VII Parallel Fund, L.P.</t>
        </is>
      </c>
      <c r="C30" s="151" t="inlineStr">
        <is>
          <t>SEC_UEQ_UEQY</t>
        </is>
      </c>
      <c r="D30" s="151" t="inlineStr">
        <is>
          <t>Platinum Parent LLC</t>
        </is>
      </c>
      <c r="E30" s="151" t="inlineStr">
        <is>
          <t>L</t>
        </is>
      </c>
      <c r="F30" s="286" t="n">
        <v>987203</v>
      </c>
      <c r="G30" s="286" t="n">
        <v>657984</v>
      </c>
      <c r="H30" s="151" t="inlineStr">
        <is>
          <t>USD</t>
        </is>
      </c>
      <c r="I30" s="151" t="inlineStr">
        <is>
          <t>NORTHAMERICA</t>
        </is>
      </c>
      <c r="L30" s="243" t="n"/>
    </row>
    <row r="31" customFormat="1" s="151">
      <c r="A31" s="151" t="inlineStr">
        <is>
          <t>POSITION_COMPACT</t>
        </is>
      </c>
      <c r="B31" s="151" t="inlineStr">
        <is>
          <t>Ridgeline VII Parallel Fund, L.P.</t>
        </is>
      </c>
      <c r="C31" s="151" t="inlineStr">
        <is>
          <t>SEC_UEQ_UEQY</t>
        </is>
      </c>
      <c r="D31" s="151" t="inlineStr">
        <is>
          <t>Three Fox Brands Holdings, LLC</t>
        </is>
      </c>
      <c r="E31" s="151" t="inlineStr">
        <is>
          <t>L</t>
        </is>
      </c>
      <c r="F31" s="286" t="n">
        <v>763155</v>
      </c>
      <c r="G31" s="286" t="n">
        <v>684083</v>
      </c>
      <c r="H31" s="151" t="inlineStr">
        <is>
          <t>USD</t>
        </is>
      </c>
      <c r="I31" s="151" t="inlineStr">
        <is>
          <t>NORTHAMERICA</t>
        </is>
      </c>
      <c r="L31" s="243" t="n"/>
    </row>
    <row r="32" customFormat="1" s="151">
      <c r="A32" s="151" t="inlineStr">
        <is>
          <t>POSITION_COMPACT</t>
        </is>
      </c>
      <c r="B32" s="151" t="inlineStr">
        <is>
          <t>Ridgeline VII Parallel Fund, L.P.</t>
        </is>
      </c>
      <c r="C32" s="151" t="inlineStr">
        <is>
          <t>SEC_UEQ_UEQY</t>
        </is>
      </c>
      <c r="D32" s="151" t="inlineStr">
        <is>
          <t>Acacia Fund II, L.P.</t>
        </is>
      </c>
      <c r="E32" s="151" t="inlineStr">
        <is>
          <t>L</t>
        </is>
      </c>
      <c r="F32" s="286" t="n">
        <v>2561006</v>
      </c>
      <c r="G32" s="286" t="n">
        <v>2697843</v>
      </c>
      <c r="H32" s="151" t="inlineStr">
        <is>
          <t>USD</t>
        </is>
      </c>
      <c r="I32" s="151" t="inlineStr">
        <is>
          <t>NORTHAMERICA</t>
        </is>
      </c>
      <c r="L32" s="243" t="n"/>
    </row>
    <row r="33" customFormat="1" s="151">
      <c r="A33" s="151" t="inlineStr">
        <is>
          <t>POSITION_COMPACT</t>
        </is>
      </c>
      <c r="B33" s="151" t="inlineStr">
        <is>
          <t>Ridgeline VII Parallel Fund, L.P.</t>
        </is>
      </c>
      <c r="C33" s="151" t="inlineStr">
        <is>
          <t>SEC_UEQ_UEQY</t>
        </is>
      </c>
      <c r="D33" s="151" t="inlineStr">
        <is>
          <t>Backspin Partners III Offshore, LP</t>
        </is>
      </c>
      <c r="E33" s="151" t="inlineStr">
        <is>
          <t>L</t>
        </is>
      </c>
      <c r="F33" s="286" t="n">
        <v>6583566</v>
      </c>
      <c r="G33" s="286" t="n">
        <v>7480396</v>
      </c>
      <c r="H33" s="151" t="inlineStr">
        <is>
          <t>USD</t>
        </is>
      </c>
      <c r="I33" s="151" t="inlineStr">
        <is>
          <t>NORTHAMERICA</t>
        </is>
      </c>
      <c r="L33" s="243" t="n"/>
    </row>
    <row r="34" ht="12.5" customFormat="1" customHeight="1" s="151">
      <c r="A34" s="151" t="inlineStr">
        <is>
          <t>POSITION_COMPACT</t>
        </is>
      </c>
      <c r="B34" s="151" t="inlineStr">
        <is>
          <t>Ridgeline VII Parallel Fund, L.P.</t>
        </is>
      </c>
      <c r="C34" s="151" t="inlineStr">
        <is>
          <t>SEC_UEQ_UEQY</t>
        </is>
      </c>
      <c r="D34" s="151" t="inlineStr">
        <is>
          <t>TS CHK Holding LLC</t>
        </is>
      </c>
      <c r="E34" s="151" t="inlineStr">
        <is>
          <t>L</t>
        </is>
      </c>
      <c r="F34" s="286" t="n">
        <v>1431366</v>
      </c>
      <c r="G34" s="286" t="n">
        <v>2271330</v>
      </c>
      <c r="H34" s="151" t="inlineStr">
        <is>
          <t>USD</t>
        </is>
      </c>
      <c r="I34" s="151" t="inlineStr">
        <is>
          <t>NORTHAMERICA</t>
        </is>
      </c>
      <c r="K34" s="364" t="n"/>
      <c r="L34" s="243" t="n"/>
    </row>
    <row r="35" ht="12.5" customFormat="1" customHeight="1" s="151">
      <c r="A35" s="151" t="inlineStr">
        <is>
          <t>POSITION_COMPACT</t>
        </is>
      </c>
      <c r="B35" s="151" t="inlineStr">
        <is>
          <t>Ridgeline VII Parallel Fund, L.P.</t>
        </is>
      </c>
      <c r="C35" s="151" t="inlineStr">
        <is>
          <t>SEC_UEQ_UEQY</t>
        </is>
      </c>
      <c r="D35" s="151" t="inlineStr">
        <is>
          <t>TS-NP, LLC</t>
        </is>
      </c>
      <c r="E35" s="151" t="inlineStr">
        <is>
          <t>L</t>
        </is>
      </c>
      <c r="F35" s="286" t="n">
        <v>921043</v>
      </c>
      <c r="G35" s="286" t="n">
        <v>971646</v>
      </c>
      <c r="H35" s="151" t="inlineStr">
        <is>
          <t>USD</t>
        </is>
      </c>
      <c r="I35" s="151" t="inlineStr">
        <is>
          <t>NORTHAMERICA</t>
        </is>
      </c>
      <c r="K35" s="364" t="n"/>
      <c r="L35" s="243" t="n"/>
    </row>
    <row r="36" customFormat="1" s="151">
      <c r="A36" s="151" t="inlineStr">
        <is>
          <t>POSITION_COMPACT</t>
        </is>
      </c>
      <c r="B36" s="151" t="inlineStr">
        <is>
          <t>Ridgeline VII Parallel Fund, L.P.</t>
        </is>
      </c>
      <c r="C36" s="151" t="inlineStr">
        <is>
          <t>SEC_CSH_OTHC</t>
        </is>
      </c>
      <c r="D36" s="151" t="inlineStr">
        <is>
          <t>Cash and cash equivalents</t>
        </is>
      </c>
      <c r="E36" s="151" t="inlineStr">
        <is>
          <t>L</t>
        </is>
      </c>
      <c r="F36" s="286" t="n">
        <v>6798056</v>
      </c>
      <c r="G36" s="286" t="n">
        <v>7040918</v>
      </c>
      <c r="H36" s="151" t="inlineStr">
        <is>
          <t>USD</t>
        </is>
      </c>
      <c r="I36" s="151" t="inlineStr">
        <is>
          <t>NORTHAMERICA</t>
        </is>
      </c>
    </row>
    <row r="37" customFormat="1" s="151">
      <c r="A37" s="151" t="inlineStr">
        <is>
          <t>POSITION_COMPACT</t>
        </is>
      </c>
      <c r="B37" s="151" t="inlineStr">
        <is>
          <t>Ridgeline VII Parallel Fund, L.P.</t>
        </is>
      </c>
      <c r="C37" s="151" t="inlineStr">
        <is>
          <t>OTH_OTH_OTHR</t>
        </is>
      </c>
      <c r="D37" s="151" t="inlineStr">
        <is>
          <t>Other assets</t>
        </is>
      </c>
      <c r="E37" s="151" t="inlineStr">
        <is>
          <t>L</t>
        </is>
      </c>
      <c r="F37" s="286" t="n">
        <v>102942</v>
      </c>
      <c r="G37" s="286" t="n">
        <v>164439</v>
      </c>
      <c r="H37" s="151" t="inlineStr">
        <is>
          <t>USD</t>
        </is>
      </c>
      <c r="I37" s="151" t="inlineStr">
        <is>
          <t>NORTHAMERICA</t>
        </is>
      </c>
    </row>
    <row r="38" customFormat="1" s="151">
      <c r="A38" s="151" t="inlineStr">
        <is>
          <t>POSITION_COMPACT</t>
        </is>
      </c>
      <c r="B38" s="151" t="inlineStr">
        <is>
          <t>Ridgeline VII Parallel Fund, L.P.</t>
        </is>
      </c>
      <c r="C38" s="151" t="inlineStr">
        <is>
          <t>OTH_OTH_OTHR</t>
        </is>
      </c>
      <c r="D38" s="151" t="inlineStr">
        <is>
          <t>Total liabilities</t>
        </is>
      </c>
      <c r="E38" s="151" t="inlineStr">
        <is>
          <t>S</t>
        </is>
      </c>
      <c r="F38" s="286" t="n">
        <v>0</v>
      </c>
      <c r="G38" s="286" t="n">
        <v>-78086</v>
      </c>
      <c r="H38" s="151" t="inlineStr">
        <is>
          <t>USD</t>
        </is>
      </c>
      <c r="I38" s="151" t="inlineStr">
        <is>
          <t>NORTHAMERICA</t>
        </is>
      </c>
    </row>
    <row r="39">
      <c r="G39" s="250" t="n"/>
    </row>
    <row r="40">
      <c r="G40" s="250" t="n"/>
    </row>
    <row r="41">
      <c r="G41" s="250" t="n"/>
    </row>
    <row r="42">
      <c r="G42" s="250" t="n"/>
    </row>
    <row r="43" customFormat="1" s="151">
      <c r="A43" s="255" t="inlineStr">
        <is>
          <t># TURNOVER for Stuyvesant comes from a separate sheet because there are two sub-asset types, ask Brandon.</t>
        </is>
      </c>
      <c r="B43" s="255" t="n"/>
      <c r="C43" s="255" t="n"/>
      <c r="D43" s="255" t="n"/>
      <c r="E43" s="255" t="n"/>
      <c r="F43" s="255" t="n"/>
      <c r="G43" s="255" t="n"/>
      <c r="H43" s="255" t="n"/>
    </row>
    <row r="44" customFormat="1" s="151">
      <c r="A44" s="151" t="inlineStr">
        <is>
          <t># XLS - Cash Flow - Investments in portfolio companies</t>
        </is>
      </c>
      <c r="B44" s="365" t="n">
        <v>-3515586</v>
      </c>
      <c r="D44" s="25" t="inlineStr">
        <is>
          <t># Turn-Over (Funds) -&gt; CIU_CIU_CIU</t>
        </is>
      </c>
      <c r="E44" s="256" t="n"/>
      <c r="F44" s="303" t="n"/>
      <c r="G44" s="301" t="n"/>
    </row>
    <row r="45" customFormat="1" s="151">
      <c r="A45" s="151" t="inlineStr">
        <is>
          <t># XLS - Cash Flow - Distributions from portfolio companies</t>
        </is>
      </c>
      <c r="B45" s="365" t="n">
        <v>1315075</v>
      </c>
      <c r="D45" s="25" t="inlineStr">
        <is>
          <t># Turn-Over (Co-Investments) -&gt; SEQ_UEQ_UEQ</t>
        </is>
      </c>
      <c r="E45" s="256" t="n"/>
      <c r="F45" s="303" t="n"/>
      <c r="G45" s="301" t="n"/>
    </row>
    <row r="46">
      <c r="F46" s="302" t="n"/>
      <c r="G46" s="302" t="n"/>
    </row>
    <row r="47">
      <c r="A47" s="23" t="inlineStr">
        <is>
          <t>#TURNOVER</t>
        </is>
      </c>
      <c r="B47" s="23" t="inlineStr">
        <is>
          <t>Custom AIF Identification</t>
        </is>
      </c>
      <c r="C47" s="35" t="inlineStr">
        <is>
          <t>Sub-asset type code of turnover</t>
        </is>
      </c>
      <c r="D47" s="23" t="inlineStr">
        <is>
          <t>Market value of turnover</t>
        </is>
      </c>
      <c r="E47" s="23" t="inlineStr">
        <is>
          <t>Notional value of turnover</t>
        </is>
      </c>
      <c r="F47" s="28" t="n"/>
      <c r="G47" s="28" t="n"/>
      <c r="H47" s="28" t="n"/>
      <c r="I47" s="28" t="n"/>
      <c r="J47" s="28" t="n"/>
      <c r="K47" s="28" t="n"/>
      <c r="L47" s="28" t="n"/>
      <c r="M47" s="28" t="n"/>
    </row>
    <row r="48">
      <c r="A48" s="29" t="inlineStr">
        <is>
          <t>#AIF fieldnummers</t>
        </is>
      </c>
      <c r="B48" s="38" t="inlineStr">
        <is>
          <t>AIF_ID</t>
        </is>
      </c>
      <c r="C48" s="29" t="n">
        <v>125</v>
      </c>
      <c r="D48" s="29" t="n">
        <v>126</v>
      </c>
      <c r="E48" s="29" t="n">
        <v>127</v>
      </c>
    </row>
    <row r="49" customFormat="1" s="151">
      <c r="A49" s="151" t="inlineStr">
        <is>
          <t>TURNOVER</t>
        </is>
      </c>
      <c r="B49" s="151" t="inlineStr">
        <is>
          <t>Ridgeline VII Parallel Fund, L.P.</t>
        </is>
      </c>
      <c r="C49" s="153" t="inlineStr">
        <is>
          <t>CIU_CIU_CIU</t>
        </is>
      </c>
      <c r="D49" s="345">
        <f>ABS(B44)+ABS(B45)</f>
        <v/>
      </c>
      <c r="E49" s="349" t="n"/>
    </row>
    <row r="50" customFormat="1" s="151">
      <c r="A50" s="151" t="inlineStr">
        <is>
          <t>#ignore this line</t>
        </is>
      </c>
      <c r="B50" s="151" t="inlineStr">
        <is>
          <t>Ridgeline VII Parallel Fund, L.P.</t>
        </is>
      </c>
      <c r="C50" s="153" t="inlineStr">
        <is>
          <t>SEC_UEQ_UEQ</t>
        </is>
      </c>
      <c r="D50" s="345">
        <f>B45</f>
        <v/>
      </c>
      <c r="E50" s="349" t="n"/>
    </row>
    <row r="51" customFormat="1" s="151">
      <c r="C51" s="153" t="n"/>
      <c r="D51" s="349" t="n"/>
      <c r="E51" s="349" t="n"/>
    </row>
    <row r="52" customFormat="1" s="151">
      <c r="A52" s="255" t="inlineStr">
        <is>
          <t># Used for HISTORICAL_RISK_PROFILE.</t>
        </is>
      </c>
      <c r="B52" s="255" t="n"/>
      <c r="C52" s="255" t="n"/>
      <c r="D52" s="255" t="n"/>
      <c r="E52" s="255" t="n"/>
      <c r="F52" s="255" t="n"/>
      <c r="G52" s="255" t="n"/>
      <c r="H52" s="255" t="n"/>
    </row>
    <row r="53" customFormat="1" s="151">
      <c r="A53" s="285" t="inlineStr">
        <is>
          <t># XLS - Income Statement - Total operating expenses</t>
        </is>
      </c>
      <c r="B53" s="288" t="n">
        <v>253401</v>
      </c>
      <c r="C53" s="343" t="inlineStr">
        <is>
          <t>&lt;= Expenses</t>
        </is>
      </c>
    </row>
    <row r="54" customFormat="1" s="151">
      <c r="A54" s="285" t="inlineStr">
        <is>
          <t># XLS - Income Statement - Net increase (decrease) in partners' capital from operations</t>
        </is>
      </c>
      <c r="B54" s="288" t="n">
        <v>-12184</v>
      </c>
      <c r="C54" s="344" t="inlineStr">
        <is>
          <t>&lt;= Real Net</t>
        </is>
      </c>
      <c r="D54" s="349" t="n"/>
    </row>
    <row r="55" customFormat="1" s="151">
      <c r="A55" s="338" t="inlineStr">
        <is>
          <t># XLS - Cash Flow - Capital contributions</t>
        </is>
      </c>
      <c r="B55" s="339" t="n">
        <v>8540000</v>
      </c>
      <c r="D55" s="349" t="n"/>
    </row>
    <row r="56" customFormat="1" s="151">
      <c r="A56" s="338" t="inlineStr">
        <is>
          <t># XLS - Cash Flow - Capital distributions</t>
        </is>
      </c>
      <c r="B56" s="339" t="n">
        <v>0</v>
      </c>
      <c r="C56" s="338" t="inlineStr">
        <is>
          <t>Negative!</t>
        </is>
      </c>
      <c r="D56" s="349" t="n"/>
      <c r="E56" s="349" t="n"/>
      <c r="F56" s="349" t="n"/>
      <c r="G56" s="349" t="n"/>
      <c r="H56" s="349" t="n"/>
    </row>
    <row r="57" customFormat="1" s="151">
      <c r="A57" s="338" t="n"/>
      <c r="B57" s="342" t="n"/>
      <c r="C57" s="349" t="n"/>
      <c r="D57" s="349" t="n"/>
      <c r="E57" s="349" t="n"/>
      <c r="F57" s="349" t="n"/>
      <c r="G57" s="349" t="n"/>
      <c r="H57" s="349" t="n"/>
    </row>
    <row r="58" customFormat="1" s="151">
      <c r="A58" s="151" t="inlineStr">
        <is>
          <t># Calculated: Start NAV</t>
        </is>
      </c>
      <c r="B58" s="341">
        <f>B59-B54-B55-B56</f>
        <v/>
      </c>
      <c r="C58" s="349" t="n"/>
      <c r="D58" s="349" t="n"/>
      <c r="E58" s="349" t="n"/>
      <c r="F58" s="349" t="n"/>
      <c r="G58" s="349" t="n"/>
      <c r="H58" s="349" t="n"/>
      <c r="I58" s="349" t="n"/>
      <c r="J58" s="349" t="n"/>
    </row>
    <row r="59" customFormat="1" s="151">
      <c r="A59" s="151" t="inlineStr">
        <is>
          <t># Calculated: End NAV</t>
        </is>
      </c>
      <c r="B59" s="341">
        <f>SUM(G5:G42)</f>
        <v/>
      </c>
      <c r="C59" s="349" t="n"/>
      <c r="D59" s="349" t="n"/>
      <c r="E59" s="349" t="n"/>
      <c r="F59" s="349" t="n"/>
      <c r="G59" s="349" t="n"/>
      <c r="H59" s="349" t="n"/>
      <c r="I59" s="349" t="n"/>
      <c r="J59" s="349" t="n"/>
    </row>
    <row r="60" customFormat="1" s="28">
      <c r="A60" s="151" t="n"/>
      <c r="B60" s="264" t="n"/>
      <c r="C60" s="349" t="n"/>
      <c r="D60" s="349" t="n"/>
      <c r="E60" s="349" t="n"/>
      <c r="F60" s="349" t="n"/>
      <c r="G60" s="308" t="n"/>
      <c r="H60" s="308" t="n"/>
      <c r="I60" s="25" t="n"/>
      <c r="J60" s="25" t="n"/>
      <c r="K60" s="25" t="n"/>
      <c r="L60" s="25" t="n"/>
      <c r="M60" s="25" t="n"/>
    </row>
    <row r="61">
      <c r="A61" s="31" t="inlineStr">
        <is>
          <t>#HISTORICAL_RISK_PROFILE</t>
        </is>
      </c>
      <c r="B61" s="23" t="inlineStr">
        <is>
          <t>Custom AIF Identification</t>
        </is>
      </c>
      <c r="C61" s="32" t="inlineStr">
        <is>
          <t>Month</t>
        </is>
      </c>
      <c r="D61" s="32" t="inlineStr">
        <is>
          <t>Percentage of gross investment returns</t>
        </is>
      </c>
      <c r="E61" s="32" t="inlineStr">
        <is>
          <t>Percentage of net investment returns</t>
        </is>
      </c>
      <c r="F61" s="32" t="inlineStr">
        <is>
          <t>Percentage of NAV change</t>
        </is>
      </c>
      <c r="G61" s="32" t="inlineStr">
        <is>
          <t>Subscriptions in base currency</t>
        </is>
      </c>
      <c r="H61" s="32" t="inlineStr">
        <is>
          <t>Redemptions  in base currency</t>
        </is>
      </c>
    </row>
    <row r="62" customFormat="1" s="151">
      <c r="A62" s="33" t="inlineStr">
        <is>
          <t>#AIF fieldnummers</t>
        </is>
      </c>
      <c r="B62" s="38" t="inlineStr">
        <is>
          <t>AIF_ID</t>
        </is>
      </c>
      <c r="C62" s="235" t="inlineStr">
        <is>
          <t>219-278</t>
        </is>
      </c>
      <c r="D62" s="235" t="inlineStr">
        <is>
          <t>219-230</t>
        </is>
      </c>
      <c r="E62" s="235" t="inlineStr">
        <is>
          <t>231-242</t>
        </is>
      </c>
      <c r="F62" s="235" t="inlineStr">
        <is>
          <t>243-254</t>
        </is>
      </c>
      <c r="G62" s="235" t="inlineStr">
        <is>
          <t>255-266</t>
        </is>
      </c>
      <c r="H62" s="235" t="inlineStr">
        <is>
          <t>267-278</t>
        </is>
      </c>
    </row>
    <row r="63" customFormat="1" s="151">
      <c r="A63" s="151" t="inlineStr">
        <is>
          <t>HISTORICAL_RISK_PROFILE</t>
        </is>
      </c>
      <c r="B63" s="151" t="inlineStr">
        <is>
          <t>Ridgeline VII Parallel Fund, L.P.</t>
        </is>
      </c>
      <c r="C63" s="310" t="n"/>
      <c r="D63" s="311">
        <f>(B54+B53)/B58*100</f>
        <v/>
      </c>
      <c r="E63" s="311">
        <f>B54/B58*100</f>
        <v/>
      </c>
      <c r="F63" s="311">
        <f>(B59-B58)/B58*100</f>
        <v/>
      </c>
      <c r="G63" s="345">
        <f>ABS(B55)</f>
        <v/>
      </c>
      <c r="H63" s="345">
        <f>ABS(B56)</f>
        <v/>
      </c>
    </row>
    <row r="64" customFormat="1" s="151">
      <c r="D64" s="192" t="n"/>
      <c r="E64" s="192" t="n"/>
      <c r="F64" s="192" t="n"/>
      <c r="G64" s="338" t="n"/>
      <c r="H64" s="338" t="n"/>
    </row>
    <row r="65" customFormat="1" s="41">
      <c r="A65" s="40" t="inlineStr">
        <is>
          <t>#END OF  TEMPLATE</t>
        </is>
      </c>
      <c r="B65" s="40" t="n"/>
      <c r="C65" s="40" t="n"/>
      <c r="D65" s="40" t="n"/>
      <c r="E65" s="40" t="inlineStr">
        <is>
          <t>#END OF  TEMPLATE</t>
        </is>
      </c>
      <c r="F65" s="40" t="n"/>
      <c r="G65" s="40" t="n"/>
      <c r="H65" s="40" t="n"/>
      <c r="I65" s="40" t="n"/>
      <c r="J65" s="40" t="inlineStr">
        <is>
          <t>#END OF  TEMPLATE</t>
        </is>
      </c>
      <c r="K65" s="40" t="n"/>
      <c r="L65" s="40" t="n"/>
      <c r="M65" s="40" t="n"/>
      <c r="N65" s="40" t="n"/>
      <c r="P65" s="40" t="inlineStr">
        <is>
          <t>#END OF  TEMPLATE</t>
        </is>
      </c>
    </row>
  </sheetData>
  <autoFilter ref="C3:C33"/>
  <dataValidations xWindow="792" yWindow="947" count="27">
    <dataValidation sqref="B6:B38 B49:B50 B63:B64" showDropDown="0" showInputMessage="1" showErrorMessage="1" allowBlank="1" promptTitle="Mandatory" prompt="Unique AIF id to which this record applies.  _x000a__x000a_Add new AIFs in the AIF section._x000a_" type="list">
      <formula1>AIF_ID</formula1>
    </dataValidation>
    <dataValidation sqref="B51" showDropDown="0" showInputMessage="1" showErrorMessage="1" allowBlank="1" promptTitle="Mandatory" prompt="Unique AIF id to which this record applies.  _x000a__x000a_Add new AIFs in the AIF section." type="list">
      <formula1>AIF_ID</formula1>
    </dataValidation>
    <dataValidation sqref="C44:C4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6:E38 E44:E4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E35" showDropDown="0" showInputMessage="1" showErrorMessage="1" allowBlank="1" promptTitle="Mandatory" prompt="“L” for long_x000a_“S” for short" type="list">
      <formula1>Fund75</formula1>
    </dataValidation>
    <dataValidation sqref="I6:I35"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5"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53 C56:C6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5:A57 A59 D56:H60 I58:J59" showDropDown="0" showInputMessage="1" showErrorMessage="1" allowBlank="1" promptTitle="Mandatory" prompt="Expressed as a percentage (entered here as a number, e.g. enter 1.23% as 1.23)._x000a__x000a_The total should equal 100%."/>
    <dataValidation sqref="D6:D38" showDropDown="0" showInputMessage="1" showErrorMessage="1" allowBlank="1" promptTitle="Mandatory" prompt="No standard. It is strongly recommended to provide the instrument short name as provided by Swift under ISO18774 when available."/>
    <dataValidation sqref="A63:A64"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3:D64 E63:F6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64"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64" showDropDown="0" showInputMessage="1" showErrorMessage="1" allowBlank="1" promptTitle="Mandatory" prompt="Monthly changes in NAV including the impact of subscriptions and redemptions._x000a__x000a_Expressed as a percentage (entered here as a number, e.g. enter 1.23% as 1.23)."/>
    <dataValidation sqref="B55 D55 G63:G64" showDropDown="0" showInputMessage="1" showErrorMessage="1" allowBlank="1" promptTitle="Mandatory" prompt="Subscriptions in base currency during month."/>
    <dataValidation sqref="B56:B58 H63:H64" showDropDown="0" showInputMessage="1" showErrorMessage="1" allowBlank="1" promptTitle="Mandatory" prompt="Redemptions in base currency during month."/>
    <dataValidation sqref="C63:C64"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49:A51" showDropDown="0" showInputMessage="1" showErrorMessage="1" allowBlank="1" promptTitle="Conditional" prompt="The TURNOVER record is optional for AIFs with content type 2 and 4, and forbidden otherwise." type="list">
      <formula1>"TURNOVER,#ignore this line"</formula1>
    </dataValidation>
    <dataValidation sqref="D49:D51" showDropDown="0" showInputMessage="1" showErrorMessage="1" allowBlank="1" prompt="Market value of turnover in each relevant sub-asset-type during the reporting period in base-currency"/>
    <dataValidation sqref="E49:E51" showDropDown="0" showInputMessage="1" showErrorMessage="1" allowBlank="1" promptTitle="Conditional" prompt="Only for sub-asset-types starting with DER_xxx.  Notional value of turnover in each relevant sub-asset-type during the reporting period in base-currency"/>
    <dataValidation sqref="F44:F4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0" showDropDown="0" showInputMessage="1" showErrorMessage="1" allowBlank="1" promptTitle="Mandatory" prompt="Unique AIF id to which this record applies.  _x000a__x000a_Add new AIFs in the AIF section."/>
    <dataValidation sqref="F6:F38 G6:G36" showDropDown="0" showInputMessage="1" showErrorMessage="1" allowBlank="1" promptTitle="Mandatory" prompt="Position value expressed in base currency (as calculated under Article 2 AIFMD)._x000a__x000a_Value cannot be negative."/>
    <dataValidation sqref="A6:A3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42"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4.xml><?xml version="1.0" encoding="utf-8"?>
<worksheet xmlns="http://schemas.openxmlformats.org/spreadsheetml/2006/main">
  <sheetPr>
    <tabColor theme="4" tint="-0.499984740745262"/>
    <outlinePr summaryBelow="1" summaryRight="1"/>
    <pageSetUpPr/>
  </sheetPr>
  <dimension ref="A1:U48"/>
  <sheetViews>
    <sheetView zoomScale="80" zoomScaleNormal="80" workbookViewId="0">
      <selection activeCell="D30" sqref="D30"/>
    </sheetView>
  </sheetViews>
  <sheetFormatPr baseColWidth="10" defaultColWidth="0" defaultRowHeight="10.5" zeroHeight="1"/>
  <cols>
    <col width="53.1796875" customWidth="1" style="25" min="1" max="1"/>
    <col width="28"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width="29.1796875" customWidth="1" style="25" min="11" max="11"/>
    <col width="28.81640625" customWidth="1" style="25" min="12" max="12"/>
    <col width="30.81640625" customWidth="1" style="25" min="13" max="13"/>
    <col width="31.1796875" customWidth="1" style="25" min="14" max="14"/>
    <col width="30.1796875" bestFit="1" customWidth="1" style="25" min="15" max="15"/>
    <col width="31.1796875" customWidth="1" style="25" min="16" max="16"/>
    <col width="18.81640625" customWidth="1" style="25" min="17" max="17"/>
    <col width="27.453125" customWidth="1" style="25" min="18" max="18"/>
    <col width="23.81640625" bestFit="1" customWidth="1" style="25" min="19" max="19"/>
    <col width="27.81640625" bestFit="1" customWidth="1" style="25" min="20" max="20"/>
    <col width="20" customWidth="1" style="25" min="21" max="21"/>
    <col width="17.81640625" bestFit="1" customWidth="1" style="25" min="22" max="22"/>
    <col width="14.453125" bestFit="1" customWidth="1" style="25" min="23" max="23"/>
    <col width="34.1796875" customWidth="1" style="25" min="24" max="24"/>
    <col width="9.453125" bestFit="1" customWidth="1" style="25" min="25" max="25"/>
    <col width="14.81640625" bestFit="1" customWidth="1" style="25" min="26" max="26"/>
    <col width="16.81640625" bestFit="1" customWidth="1" style="25" min="27" max="27"/>
    <col width="31.54296875" bestFit="1" customWidth="1" style="25" min="28" max="28"/>
    <col width="26.1796875" bestFit="1" customWidth="1" style="25" min="29" max="29"/>
    <col width="19.54296875" bestFit="1" customWidth="1" style="25" min="30" max="30"/>
    <col width="21.81640625" bestFit="1" customWidth="1" style="25" min="31" max="31"/>
    <col width="20.1796875" bestFit="1" customWidth="1" style="25" min="32" max="32"/>
    <col width="23.81640625" bestFit="1" customWidth="1" style="25" min="33" max="33"/>
    <col width="39.453125" bestFit="1" customWidth="1" style="25" min="34" max="34"/>
    <col width="20.453125" customWidth="1" style="25" min="35" max="35"/>
    <col width="40" bestFit="1" customWidth="1" style="25" min="36" max="36"/>
    <col width="24.81640625" bestFit="1" customWidth="1" style="25" min="37" max="37"/>
    <col width="29.54296875" bestFit="1" customWidth="1" style="25" min="38" max="39"/>
    <col width="12.453125" bestFit="1" customWidth="1" style="25" min="40" max="40"/>
    <col width="8.81640625" customWidth="1" style="25" min="41" max="41"/>
    <col hidden="1" width="8.8164062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39">
      <c r="A6" s="151" t="inlineStr">
        <is>
          <t>POSITION_COMPACT</t>
        </is>
      </c>
      <c r="B6" s="151" t="inlineStr">
        <is>
          <t>Ridgeline VIII Parallel Fund, L.P.</t>
        </is>
      </c>
      <c r="C6" s="151" t="inlineStr">
        <is>
          <t>SEC_UEQ_UEQY</t>
        </is>
      </c>
      <c r="D6" s="151" t="inlineStr">
        <is>
          <t>Atlas Processing, Inc.</t>
        </is>
      </c>
      <c r="E6" s="151" t="inlineStr">
        <is>
          <t>L</t>
        </is>
      </c>
      <c r="F6" s="286" t="n">
        <v>1227460</v>
      </c>
      <c r="G6" s="286" t="n">
        <v>1152214</v>
      </c>
      <c r="H6" s="151" t="inlineStr">
        <is>
          <t>USD</t>
        </is>
      </c>
      <c r="I6" s="151" t="inlineStr">
        <is>
          <t>NORTHAMERICA</t>
        </is>
      </c>
    </row>
    <row r="7" customFormat="1" s="151">
      <c r="A7" s="151" t="inlineStr">
        <is>
          <t>POSITION_COMPACT</t>
        </is>
      </c>
      <c r="B7" s="151" t="inlineStr">
        <is>
          <t>Ridgeline VIII Parallel Fund, L.P.</t>
        </is>
      </c>
      <c r="C7" s="151" t="inlineStr">
        <is>
          <t>CIU_NAM_OTHR</t>
        </is>
      </c>
      <c r="D7" s="151" t="inlineStr">
        <is>
          <t>Hawk Merchant Partners I-A, LP</t>
        </is>
      </c>
      <c r="E7" s="151" t="inlineStr">
        <is>
          <t>L</t>
        </is>
      </c>
      <c r="F7" s="286" t="n">
        <v>7961062</v>
      </c>
      <c r="G7" s="286" t="n">
        <v>7752053</v>
      </c>
      <c r="H7" s="151" t="inlineStr">
        <is>
          <t>USD</t>
        </is>
      </c>
      <c r="I7" s="151" t="inlineStr">
        <is>
          <t>NORTHAMERICA</t>
        </is>
      </c>
      <c r="K7" s="243" t="n"/>
      <c r="L7" s="243" t="n"/>
    </row>
    <row r="8" customFormat="1" s="151">
      <c r="A8" s="151" t="inlineStr">
        <is>
          <t>POSITION_COMPACT</t>
        </is>
      </c>
      <c r="B8" s="151" t="inlineStr">
        <is>
          <t>Ridgeline VIII Parallel Fund, L.P.</t>
        </is>
      </c>
      <c r="C8" s="151" t="inlineStr">
        <is>
          <t>CIU_NAM_OTHR</t>
        </is>
      </c>
      <c r="D8" s="151" t="inlineStr">
        <is>
          <t>Forte Consumer Capital Fund (PV) IV, LP</t>
        </is>
      </c>
      <c r="E8" s="151" t="inlineStr">
        <is>
          <t>L</t>
        </is>
      </c>
      <c r="F8" s="286" t="n">
        <v>2971519</v>
      </c>
      <c r="G8" s="286" t="n">
        <v>4050632</v>
      </c>
      <c r="H8" s="151" t="inlineStr">
        <is>
          <t>USD</t>
        </is>
      </c>
      <c r="I8" s="151" t="inlineStr">
        <is>
          <t>NORTHAMERICA</t>
        </is>
      </c>
      <c r="K8" s="243" t="n"/>
      <c r="L8" s="243" t="n"/>
    </row>
    <row r="9" customFormat="1" s="151">
      <c r="A9" s="151" t="inlineStr">
        <is>
          <t>POSITION_COMPACT</t>
        </is>
      </c>
      <c r="B9" s="151" t="inlineStr">
        <is>
          <t>Ridgeline VIII Parallel Fund, L.P.</t>
        </is>
      </c>
      <c r="C9" s="151" t="inlineStr">
        <is>
          <t>CIU_NAM_OTHR</t>
        </is>
      </c>
      <c r="D9" s="151" t="inlineStr">
        <is>
          <t>MCN Capital Partners IV, L.P.</t>
        </is>
      </c>
      <c r="E9" s="151" t="inlineStr">
        <is>
          <t>L</t>
        </is>
      </c>
      <c r="F9" s="286" t="n">
        <v>750805</v>
      </c>
      <c r="G9" s="286" t="n">
        <v>1200824</v>
      </c>
      <c r="H9" s="151" t="inlineStr">
        <is>
          <t>USD</t>
        </is>
      </c>
      <c r="I9" s="151" t="inlineStr">
        <is>
          <t>NORTHAMERICA</t>
        </is>
      </c>
      <c r="K9" s="243" t="n"/>
      <c r="L9" s="243" t="n"/>
    </row>
    <row r="10" customFormat="1" s="151">
      <c r="A10" s="151" t="inlineStr">
        <is>
          <t>POSITION_COMPACT</t>
        </is>
      </c>
      <c r="B10" s="151" t="inlineStr">
        <is>
          <t>Ridgeline VIII Parallel Fund, L.P.</t>
        </is>
      </c>
      <c r="C10" s="151" t="inlineStr">
        <is>
          <t>CIU_NAM_OTHR</t>
        </is>
      </c>
      <c r="D10" s="151" t="inlineStr">
        <is>
          <t>NewDawn American Aerogel SPV, LLC</t>
        </is>
      </c>
      <c r="E10" s="151" t="inlineStr">
        <is>
          <t>L</t>
        </is>
      </c>
      <c r="F10" s="286" t="n">
        <v>853782</v>
      </c>
      <c r="G10" s="286" t="n">
        <v>585598</v>
      </c>
      <c r="H10" s="151" t="inlineStr">
        <is>
          <t>USD</t>
        </is>
      </c>
      <c r="I10" s="151" t="inlineStr">
        <is>
          <t>NORTHAMERICA</t>
        </is>
      </c>
      <c r="K10" s="243" t="n"/>
      <c r="L10" s="243" t="n"/>
    </row>
    <row r="11" customFormat="1" s="151">
      <c r="A11" s="151" t="inlineStr">
        <is>
          <t>POSITION_COMPACT</t>
        </is>
      </c>
      <c r="B11" s="151" t="inlineStr">
        <is>
          <t>Ridgeline VIII Parallel Fund, L.P.</t>
        </is>
      </c>
      <c r="C11" s="151" t="inlineStr">
        <is>
          <t>CIU_NAM_OTHR</t>
        </is>
      </c>
      <c r="D11" s="151" t="inlineStr">
        <is>
          <t>New Dawn Health Capital IV, L.P.</t>
        </is>
      </c>
      <c r="E11" s="151" t="inlineStr">
        <is>
          <t>L</t>
        </is>
      </c>
      <c r="F11" s="286" t="n">
        <v>4509845</v>
      </c>
      <c r="G11" s="286" t="n">
        <v>3699670</v>
      </c>
      <c r="H11" s="151" t="inlineStr">
        <is>
          <t>USD</t>
        </is>
      </c>
      <c r="I11" s="151" t="inlineStr">
        <is>
          <t>NORTHAMERICA</t>
        </is>
      </c>
      <c r="K11" s="243" t="n"/>
      <c r="L11" s="243" t="n"/>
    </row>
    <row r="12" customFormat="1" s="151">
      <c r="A12" s="151" t="inlineStr">
        <is>
          <t>POSITION_COMPACT</t>
        </is>
      </c>
      <c r="B12" s="151" t="inlineStr">
        <is>
          <t>Ridgeline VIII Parallel Fund, L.P.</t>
        </is>
      </c>
      <c r="C12" s="151" t="inlineStr">
        <is>
          <t>SEC_UEQ_UEQY</t>
        </is>
      </c>
      <c r="D12" s="151" t="inlineStr">
        <is>
          <t>North Fork Capital Fund II, L.P.</t>
        </is>
      </c>
      <c r="E12" s="151" t="inlineStr">
        <is>
          <t>L</t>
        </is>
      </c>
      <c r="F12" s="286" t="n">
        <v>740744</v>
      </c>
      <c r="G12" s="286" t="n">
        <v>987425</v>
      </c>
      <c r="H12" s="151" t="inlineStr">
        <is>
          <t>USD</t>
        </is>
      </c>
      <c r="I12" s="151" t="inlineStr">
        <is>
          <t>NORTHAMERICA</t>
        </is>
      </c>
      <c r="K12" s="243" t="n"/>
      <c r="L12" s="243" t="n"/>
    </row>
    <row r="13" customFormat="1" s="151">
      <c r="A13" s="151" t="inlineStr">
        <is>
          <t>POSITION_COMPACT</t>
        </is>
      </c>
      <c r="B13" s="151" t="inlineStr">
        <is>
          <t>Ridgeline VIII Parallel Fund, L.P.</t>
        </is>
      </c>
      <c r="C13" s="151" t="inlineStr">
        <is>
          <t>CIU_OAM_OTHR</t>
        </is>
      </c>
      <c r="D13" s="151" t="inlineStr">
        <is>
          <t>NSH IV GPC BetterNight Investor, LLC</t>
        </is>
      </c>
      <c r="E13" s="151" t="inlineStr">
        <is>
          <t>L</t>
        </is>
      </c>
      <c r="F13" s="286" t="n">
        <v>587774</v>
      </c>
      <c r="G13" s="286" t="n">
        <v>501804</v>
      </c>
      <c r="H13" s="151" t="inlineStr">
        <is>
          <t>USD</t>
        </is>
      </c>
      <c r="I13" s="151" t="inlineStr">
        <is>
          <t>NORTHAMERICA</t>
        </is>
      </c>
      <c r="K13" s="243" t="n"/>
      <c r="L13" s="243" t="n"/>
    </row>
    <row r="14" customFormat="1" s="151">
      <c r="A14" s="151" t="inlineStr">
        <is>
          <t>POSITION_COMPACT</t>
        </is>
      </c>
      <c r="B14" s="151" t="inlineStr">
        <is>
          <t>Ridgeline VIII Parallel Fund, L.P.</t>
        </is>
      </c>
      <c r="C14" s="151" t="inlineStr">
        <is>
          <t>CIU_NAM_OTHR</t>
        </is>
      </c>
      <c r="D14" s="151" t="inlineStr">
        <is>
          <t>Coral Bay Capital Fund VI Parallel, LP</t>
        </is>
      </c>
      <c r="E14" s="151" t="inlineStr">
        <is>
          <t>L</t>
        </is>
      </c>
      <c r="F14" s="286" t="n">
        <v>1073479</v>
      </c>
      <c r="G14" s="286" t="n">
        <v>1180158</v>
      </c>
      <c r="H14" s="151" t="inlineStr">
        <is>
          <t>USD</t>
        </is>
      </c>
      <c r="I14" s="151" t="inlineStr">
        <is>
          <t>NORTHAMERICA</t>
        </is>
      </c>
      <c r="K14" s="243" t="n"/>
      <c r="L14" s="243" t="n"/>
    </row>
    <row r="15" customFormat="1" s="151">
      <c r="A15" s="151" t="inlineStr">
        <is>
          <t>POSITION_COMPACT</t>
        </is>
      </c>
      <c r="B15" s="151" t="inlineStr">
        <is>
          <t>Ridgeline VIII Parallel Fund, L.P.</t>
        </is>
      </c>
      <c r="C15" s="151" t="inlineStr">
        <is>
          <t>SEC_UEQ_UEQY</t>
        </is>
      </c>
      <c r="D15" s="151" t="inlineStr">
        <is>
          <t>Pathway Health, Inc</t>
        </is>
      </c>
      <c r="E15" s="151" t="inlineStr">
        <is>
          <t>L</t>
        </is>
      </c>
      <c r="F15" s="286" t="n">
        <v>856210</v>
      </c>
      <c r="G15" s="286" t="n">
        <v>899436</v>
      </c>
      <c r="H15" s="151" t="inlineStr">
        <is>
          <t>USD</t>
        </is>
      </c>
      <c r="I15" s="151" t="inlineStr">
        <is>
          <t>NORTHAMERICA</t>
        </is>
      </c>
      <c r="K15" s="243" t="n"/>
      <c r="L15" s="243" t="n"/>
    </row>
    <row r="16" customFormat="1" s="151">
      <c r="A16" s="151" t="inlineStr">
        <is>
          <t>POSITION_COMPACT</t>
        </is>
      </c>
      <c r="B16" s="151" t="inlineStr">
        <is>
          <t>Ridgeline VIII Parallel Fund, L.P.</t>
        </is>
      </c>
      <c r="C16" s="151" t="inlineStr">
        <is>
          <t>SEC_UEQ_UEQY</t>
        </is>
      </c>
      <c r="D16" s="151" t="inlineStr">
        <is>
          <t>Page Dawson Co-Investors Feeder, L.P.</t>
        </is>
      </c>
      <c r="E16" s="151" t="inlineStr">
        <is>
          <t>L</t>
        </is>
      </c>
      <c r="F16" s="286" t="n">
        <v>866424</v>
      </c>
      <c r="G16" s="286" t="n">
        <v>1083575</v>
      </c>
      <c r="H16" s="151" t="inlineStr">
        <is>
          <t>USD</t>
        </is>
      </c>
      <c r="I16" s="151" t="inlineStr">
        <is>
          <t>NORTHAMERICA</t>
        </is>
      </c>
      <c r="K16" s="243" t="n"/>
      <c r="L16" s="243" t="n"/>
    </row>
    <row r="17" customFormat="1" s="151">
      <c r="A17" s="151" t="inlineStr">
        <is>
          <t>POSITION_COMPACT</t>
        </is>
      </c>
      <c r="B17" s="151" t="inlineStr">
        <is>
          <t>Ridgeline VIII Parallel Fund, L.P.</t>
        </is>
      </c>
      <c r="C17" s="151" t="inlineStr">
        <is>
          <t>SEC_UEQ_UEQY</t>
        </is>
      </c>
      <c r="D17" s="151" t="inlineStr">
        <is>
          <t>Paramount Fund I, L.P.</t>
        </is>
      </c>
      <c r="E17" s="151" t="inlineStr">
        <is>
          <t>L</t>
        </is>
      </c>
      <c r="F17" s="286" t="n">
        <v>2180408</v>
      </c>
      <c r="G17" s="286" t="n">
        <v>2989836</v>
      </c>
      <c r="H17" s="151" t="inlineStr">
        <is>
          <t>USD</t>
        </is>
      </c>
      <c r="I17" s="151" t="inlineStr">
        <is>
          <t>NORTHAMERICA</t>
        </is>
      </c>
      <c r="K17" s="243" t="n"/>
      <c r="L17" s="243" t="n"/>
    </row>
    <row r="18" customFormat="1" s="151">
      <c r="A18" s="151" t="inlineStr">
        <is>
          <t>POSITION_COMPACT</t>
        </is>
      </c>
      <c r="B18" s="151" t="inlineStr">
        <is>
          <t>Ridgeline VIII Parallel Fund, L.P.</t>
        </is>
      </c>
      <c r="C18" s="151" t="inlineStr">
        <is>
          <t>SEC_UEQ_UEQY</t>
        </is>
      </c>
      <c r="D18" s="151" t="inlineStr">
        <is>
          <t>Tech NJ Acquisition Corp.</t>
        </is>
      </c>
      <c r="E18" s="151" t="inlineStr">
        <is>
          <t>L</t>
        </is>
      </c>
      <c r="F18" s="286" t="n">
        <v>643748</v>
      </c>
      <c r="G18" s="286" t="n">
        <v>796104</v>
      </c>
      <c r="H18" s="151" t="inlineStr">
        <is>
          <t>USD</t>
        </is>
      </c>
      <c r="I18" s="151" t="inlineStr">
        <is>
          <t>NORTHAMERICA</t>
        </is>
      </c>
      <c r="K18" s="243" t="n"/>
      <c r="L18" s="243" t="n"/>
    </row>
    <row r="19" customFormat="1" s="151">
      <c r="A19" s="151" t="inlineStr">
        <is>
          <t>POSITION_COMPACT</t>
        </is>
      </c>
      <c r="B19" s="151" t="inlineStr">
        <is>
          <t>Ridgeline VIII Parallel Fund, L.P.</t>
        </is>
      </c>
      <c r="C19" s="151" t="inlineStr">
        <is>
          <t>SEC_CSH_OTHC</t>
        </is>
      </c>
      <c r="D19" s="151" t="inlineStr">
        <is>
          <t>Cash and cash equivalents</t>
        </is>
      </c>
      <c r="E19" s="151" t="inlineStr">
        <is>
          <t>L</t>
        </is>
      </c>
      <c r="F19" s="286" t="n">
        <v>1201001</v>
      </c>
      <c r="G19" s="286" t="n">
        <v>2002030</v>
      </c>
      <c r="H19" s="151" t="inlineStr">
        <is>
          <t>USD</t>
        </is>
      </c>
      <c r="I19" s="151" t="inlineStr">
        <is>
          <t>NORTHAMERICA</t>
        </is>
      </c>
    </row>
    <row r="20" customFormat="1" s="151">
      <c r="A20" s="151" t="inlineStr">
        <is>
          <t>POSITION_COMPACT</t>
        </is>
      </c>
      <c r="B20" s="151" t="inlineStr">
        <is>
          <t>Ridgeline VIII Parallel Fund, L.P.</t>
        </is>
      </c>
      <c r="C20" s="151" t="inlineStr">
        <is>
          <t>OTH_OTH_OTHR</t>
        </is>
      </c>
      <c r="D20" s="151" t="inlineStr">
        <is>
          <t>Other assets</t>
        </is>
      </c>
      <c r="E20" s="151" t="inlineStr">
        <is>
          <t>L</t>
        </is>
      </c>
      <c r="F20" s="286" t="n">
        <v>4622</v>
      </c>
      <c r="G20" s="286" t="n">
        <v>7315</v>
      </c>
      <c r="H20" s="151" t="inlineStr">
        <is>
          <t>USD</t>
        </is>
      </c>
      <c r="I20" s="151" t="inlineStr">
        <is>
          <t>NORTHAMERICA</t>
        </is>
      </c>
    </row>
    <row r="21" customFormat="1" s="151">
      <c r="A21" s="151" t="inlineStr">
        <is>
          <t>POSITION_COMPACT</t>
        </is>
      </c>
      <c r="B21" s="151" t="inlineStr">
        <is>
          <t>Ridgeline VIII Parallel Fund, L.P.</t>
        </is>
      </c>
      <c r="C21" s="151" t="inlineStr">
        <is>
          <t>OTH_OTH_OTHR</t>
        </is>
      </c>
      <c r="D21" s="151" t="inlineStr">
        <is>
          <t>Total liabilities</t>
        </is>
      </c>
      <c r="E21" s="151" t="inlineStr">
        <is>
          <t>S</t>
        </is>
      </c>
      <c r="F21" s="286" t="n">
        <v>0</v>
      </c>
      <c r="G21" s="286" t="n">
        <v>-2776657</v>
      </c>
      <c r="H21" s="151" t="inlineStr">
        <is>
          <t>USD</t>
        </is>
      </c>
      <c r="I21" s="151" t="inlineStr">
        <is>
          <t>NORTHAMERICA</t>
        </is>
      </c>
    </row>
    <row r="22" customFormat="1" s="151">
      <c r="D22" s="307" t="n"/>
      <c r="F22" s="286" t="n"/>
      <c r="G22" s="286" t="n"/>
      <c r="K22" s="243" t="n"/>
      <c r="L22" s="243" t="n"/>
    </row>
    <row r="23">
      <c r="G23" s="250" t="n"/>
    </row>
    <row r="24" customFormat="1" s="151">
      <c r="A24" s="255" t="inlineStr">
        <is>
          <t># TURNOVER for Stuyvesant comes from a separate sheet because there are two sub-asset types, ask Brandon.</t>
        </is>
      </c>
      <c r="B24" s="255" t="n"/>
      <c r="C24" s="255" t="n"/>
      <c r="D24" s="255" t="n"/>
      <c r="E24" s="255" t="n"/>
      <c r="F24" s="255" t="n"/>
      <c r="G24" s="255" t="n"/>
      <c r="H24" s="255" t="n"/>
    </row>
    <row r="25" customFormat="1" s="151">
      <c r="A25" s="151" t="inlineStr">
        <is>
          <t># XLS - Cash Flow - Investments in portfolio companies</t>
        </is>
      </c>
      <c r="B25" s="365" t="n">
        <v>-5660864</v>
      </c>
      <c r="D25" s="25" t="inlineStr">
        <is>
          <t># Turn-Over (Funds) -&gt; CIU_CIU_CIU</t>
        </is>
      </c>
      <c r="E25" s="256" t="n"/>
      <c r="F25" s="303" t="n"/>
      <c r="G25" s="301" t="n"/>
    </row>
    <row r="26" customFormat="1" s="151">
      <c r="A26" s="151" t="inlineStr">
        <is>
          <t># XLS - Cash Flow - Distributions from portfolio companies</t>
        </is>
      </c>
      <c r="B26" s="365" t="n">
        <v>1016241</v>
      </c>
      <c r="D26" s="25" t="inlineStr">
        <is>
          <t># Turn-Over (Co-Investments) -&gt; SEQ_UEQ_UEQ</t>
        </is>
      </c>
      <c r="E26" s="256" t="n"/>
      <c r="F26" s="303" t="n"/>
      <c r="G26" s="301" t="n"/>
    </row>
    <row r="27">
      <c r="F27" s="302" t="n"/>
      <c r="G27" s="302" t="n"/>
    </row>
    <row r="28">
      <c r="A28" s="23" t="inlineStr">
        <is>
          <t>#TURNOVER</t>
        </is>
      </c>
      <c r="B28" s="23" t="inlineStr">
        <is>
          <t>Custom AIF Identification</t>
        </is>
      </c>
      <c r="C28" s="35" t="inlineStr">
        <is>
          <t>Sub-asset type code of turnover</t>
        </is>
      </c>
      <c r="D28" s="23" t="inlineStr">
        <is>
          <t>Market value of turnover</t>
        </is>
      </c>
      <c r="E28" s="23" t="inlineStr">
        <is>
          <t>Notional value of turnover</t>
        </is>
      </c>
      <c r="F28" s="28" t="n"/>
      <c r="G28" s="28" t="n"/>
      <c r="H28" s="28" t="n"/>
      <c r="I28" s="28" t="n"/>
      <c r="J28" s="28" t="n"/>
      <c r="K28" s="28" t="n"/>
      <c r="L28" s="28" t="n"/>
      <c r="M28" s="28" t="n"/>
    </row>
    <row r="29">
      <c r="A29" s="29" t="inlineStr">
        <is>
          <t>#AIF fieldnummers</t>
        </is>
      </c>
      <c r="B29" s="38" t="inlineStr">
        <is>
          <t>AIF_ID</t>
        </is>
      </c>
      <c r="C29" s="29" t="n">
        <v>125</v>
      </c>
      <c r="D29" s="29" t="n">
        <v>126</v>
      </c>
      <c r="E29" s="29" t="n">
        <v>127</v>
      </c>
    </row>
    <row r="30" customFormat="1" s="151">
      <c r="A30" s="151" t="inlineStr">
        <is>
          <t>TURNOVER</t>
        </is>
      </c>
      <c r="B30" s="151" t="inlineStr">
        <is>
          <t>Ridgeline VIII Parallel Fund, L.P.</t>
        </is>
      </c>
      <c r="C30" s="153" t="inlineStr">
        <is>
          <t>CIU_CIU_CIU</t>
        </is>
      </c>
      <c r="D30" s="345">
        <f>ABS(B25)+ABS(B26)</f>
        <v/>
      </c>
      <c r="E30" s="349" t="n"/>
    </row>
    <row r="31">
      <c r="G31" s="250" t="n"/>
    </row>
    <row r="32" customFormat="1" s="151">
      <c r="C32" s="153" t="n"/>
      <c r="D32" s="349" t="n"/>
      <c r="E32" s="349" t="n"/>
    </row>
    <row r="33" customFormat="1" s="151">
      <c r="A33" s="255" t="inlineStr">
        <is>
          <t># Used for HISTORICAL_RISK_PROFILE.</t>
        </is>
      </c>
      <c r="B33" s="255" t="n"/>
      <c r="C33" s="255" t="n"/>
      <c r="D33" s="255" t="n"/>
      <c r="E33" s="255" t="n"/>
      <c r="F33" s="255" t="n"/>
      <c r="G33" s="255" t="n"/>
      <c r="H33" s="255" t="n"/>
    </row>
    <row r="34" customFormat="1" s="151">
      <c r="A34" s="285" t="inlineStr">
        <is>
          <t># XLS - Income Statement - Total operating expenses</t>
        </is>
      </c>
      <c r="B34" s="288" t="n">
        <v>616812</v>
      </c>
      <c r="C34" s="343" t="inlineStr">
        <is>
          <t>&lt;= Expenses</t>
        </is>
      </c>
    </row>
    <row r="35" customFormat="1" s="151">
      <c r="A35" s="285" t="inlineStr">
        <is>
          <t># XLS - Income Statement - Net increase (decrease) in partners' capital from operations</t>
        </is>
      </c>
      <c r="B35" s="288" t="n">
        <v>535710</v>
      </c>
      <c r="C35" s="344" t="inlineStr">
        <is>
          <t>&lt;= Real Net</t>
        </is>
      </c>
      <c r="D35" s="349" t="n"/>
    </row>
    <row r="36" customFormat="1" s="151">
      <c r="A36" s="338" t="inlineStr">
        <is>
          <t># XLS - Cash Flow - Capital contributions</t>
        </is>
      </c>
      <c r="B36" s="339" t="n">
        <v>0</v>
      </c>
      <c r="D36" s="349" t="n"/>
    </row>
    <row r="37" customFormat="1" s="151">
      <c r="A37" s="338" t="inlineStr">
        <is>
          <t># XLS - Cash Flow - Capital distributions</t>
        </is>
      </c>
      <c r="B37" s="339" t="n">
        <v>0</v>
      </c>
      <c r="C37" s="338" t="inlineStr">
        <is>
          <t>Negative!</t>
        </is>
      </c>
      <c r="D37" s="349" t="n"/>
      <c r="E37" s="349" t="n"/>
      <c r="F37" s="349" t="n"/>
      <c r="G37" s="349" t="n"/>
      <c r="H37" s="349" t="n"/>
    </row>
    <row r="38" customFormat="1" s="151">
      <c r="A38" s="338" t="n"/>
      <c r="B38" s="350" t="n"/>
      <c r="C38" s="349" t="n"/>
      <c r="D38" s="349" t="n"/>
      <c r="E38" s="349" t="n"/>
      <c r="F38" s="349" t="n"/>
      <c r="G38" s="349" t="n"/>
      <c r="H38" s="349" t="n"/>
    </row>
    <row r="39" customFormat="1" s="151">
      <c r="A39" s="151" t="inlineStr">
        <is>
          <t># Calculated: Start NAV</t>
        </is>
      </c>
      <c r="B39" s="351">
        <f>B40-B35-B36-B37</f>
        <v/>
      </c>
      <c r="C39" s="349" t="n"/>
      <c r="D39" s="349" t="n"/>
      <c r="E39" s="349" t="n"/>
      <c r="F39" s="349" t="n"/>
      <c r="G39" s="349" t="n"/>
      <c r="H39" s="349" t="n"/>
      <c r="I39" s="349" t="n"/>
      <c r="J39" s="349" t="n"/>
    </row>
    <row r="40" customFormat="1" s="151">
      <c r="A40" s="151" t="inlineStr">
        <is>
          <t># Calculated: End NAV</t>
        </is>
      </c>
      <c r="B40" s="351">
        <f>SUM(G5:G23)</f>
        <v/>
      </c>
      <c r="C40" s="349" t="n"/>
      <c r="D40" s="349" t="n"/>
      <c r="E40" s="349" t="n"/>
      <c r="F40" s="349" t="n"/>
      <c r="G40" s="349" t="n"/>
      <c r="H40" s="349" t="n"/>
      <c r="I40" s="349" t="n"/>
      <c r="J40" s="349" t="n"/>
    </row>
    <row r="41" customFormat="1" s="28">
      <c r="A41" s="151" t="n"/>
      <c r="B41" s="151" t="n"/>
      <c r="C41" s="349" t="n"/>
      <c r="D41" s="349" t="n"/>
      <c r="E41" s="349" t="n"/>
      <c r="F41" s="349" t="n"/>
      <c r="G41" s="308" t="n"/>
      <c r="H41" s="308" t="n"/>
      <c r="I41" s="25" t="n"/>
      <c r="J41" s="25" t="n"/>
      <c r="K41" s="25" t="n"/>
      <c r="L41" s="25" t="n"/>
      <c r="M41" s="25" t="n"/>
    </row>
    <row r="42">
      <c r="A42" s="31" t="inlineStr">
        <is>
          <t>#HISTORICAL_RISK_PROFILE</t>
        </is>
      </c>
      <c r="B42" s="23" t="inlineStr">
        <is>
          <t>Custom AIF Identification</t>
        </is>
      </c>
      <c r="C42" s="32" t="inlineStr">
        <is>
          <t>Month</t>
        </is>
      </c>
      <c r="D42" s="32" t="inlineStr">
        <is>
          <t>Percentage of gross investment returns</t>
        </is>
      </c>
      <c r="E42" s="32" t="inlineStr">
        <is>
          <t>Percentage of net investment returns</t>
        </is>
      </c>
      <c r="F42" s="32" t="inlineStr">
        <is>
          <t>Percentage of NAV change</t>
        </is>
      </c>
      <c r="G42" s="32" t="inlineStr">
        <is>
          <t>Subscriptions in base currency</t>
        </is>
      </c>
      <c r="H42" s="32" t="inlineStr">
        <is>
          <t>Redemptions  in base currency</t>
        </is>
      </c>
    </row>
    <row r="43" customFormat="1" s="151">
      <c r="A43" s="33" t="inlineStr">
        <is>
          <t>#AIF fieldnummers</t>
        </is>
      </c>
      <c r="B43" s="38" t="inlineStr">
        <is>
          <t>AIF_ID</t>
        </is>
      </c>
      <c r="C43" s="235" t="inlineStr">
        <is>
          <t>219-278</t>
        </is>
      </c>
      <c r="D43" s="235" t="inlineStr">
        <is>
          <t>219-230</t>
        </is>
      </c>
      <c r="E43" s="235" t="inlineStr">
        <is>
          <t>231-242</t>
        </is>
      </c>
      <c r="F43" s="235" t="inlineStr">
        <is>
          <t>243-254</t>
        </is>
      </c>
      <c r="G43" s="235" t="inlineStr">
        <is>
          <t>255-266</t>
        </is>
      </c>
      <c r="H43" s="235" t="inlineStr">
        <is>
          <t>267-278</t>
        </is>
      </c>
    </row>
    <row r="44" customFormat="1" s="151">
      <c r="A44" s="151" t="inlineStr">
        <is>
          <t>HISTORICAL_RISK_PROFILE</t>
        </is>
      </c>
      <c r="B44" s="151" t="inlineStr">
        <is>
          <t>Ridgeline VIII Parallel Fund, L.P.</t>
        </is>
      </c>
      <c r="C44" s="310" t="n"/>
      <c r="D44" s="311">
        <f>(B35+B34)/B39*100</f>
        <v/>
      </c>
      <c r="E44" s="311">
        <f>B35/B39*100</f>
        <v/>
      </c>
      <c r="F44" s="311">
        <f>(B40-B39)/B39*100</f>
        <v/>
      </c>
      <c r="G44" s="345">
        <f>ABS(B36)</f>
        <v/>
      </c>
      <c r="H44" s="345">
        <f>ABS(B37)</f>
        <v/>
      </c>
    </row>
    <row r="45" customFormat="1" s="151">
      <c r="D45" s="192" t="n"/>
      <c r="E45" s="192" t="n"/>
      <c r="F45" s="192" t="n"/>
      <c r="G45" s="338" t="n"/>
      <c r="H45" s="338" t="n"/>
    </row>
    <row r="46" customFormat="1" s="41">
      <c r="A46" s="40" t="inlineStr">
        <is>
          <t>#END OF  TEMPLATE</t>
        </is>
      </c>
      <c r="B46" s="40" t="n"/>
      <c r="C46" s="40" t="n"/>
      <c r="D46" s="40" t="n"/>
      <c r="E46" s="40" t="inlineStr">
        <is>
          <t>#END OF  TEMPLATE</t>
        </is>
      </c>
      <c r="F46" s="40" t="n"/>
      <c r="G46" s="40" t="n"/>
      <c r="H46" s="40" t="n"/>
      <c r="I46" s="40" t="n"/>
      <c r="J46" s="40" t="inlineStr">
        <is>
          <t>#END OF  TEMPLATE</t>
        </is>
      </c>
      <c r="K46" s="40" t="n"/>
      <c r="L46" s="40" t="n"/>
      <c r="M46" s="40" t="n"/>
      <c r="N46" s="40" t="n"/>
      <c r="P46" s="40" t="inlineStr">
        <is>
          <t>#END OF  TEMPLATE</t>
        </is>
      </c>
    </row>
    <row r="47"/>
    <row r="48" ht="18.5" customHeight="1">
      <c r="A48" s="346" t="n"/>
    </row>
  </sheetData>
  <autoFilter ref="C3:C7"/>
  <dataValidations count="28">
    <dataValidation sqref="E30 E32" showDropDown="0" showInputMessage="1" showErrorMessage="1" allowBlank="1" promptTitle="Conditional" prompt="Only for sub-asset-types starting with DER_xxx.  Notional value of turnover in each relevant sub-asset-type during the reporting period in base-currency"/>
    <dataValidation sqref="D30 D32" showDropDown="0" showInputMessage="1" showErrorMessage="1" allowBlank="1" prompt="Market value of turnover in each relevant sub-asset-type during the reporting period in base-currency"/>
    <dataValidation sqref="A30 A32" showDropDown="0" showInputMessage="1" showErrorMessage="1" allowBlank="1" promptTitle="Conditional" prompt="The TURNOVER record is optional for AIFs with content type 2 and 4, and forbidden otherwise." type="list">
      <formula1>"TURNOVER,#ignore this line"</formula1>
    </dataValidation>
    <dataValidation sqref="H6:H18 H22"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18 I22"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22"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18 E22" showDropDown="0" showInputMessage="1" showErrorMessage="1" allowBlank="1" promptTitle="Mandatory" prompt="“L” for long_x000a_“S” for short" type="list">
      <formula1>Fund75</formula1>
    </dataValidation>
    <dataValidation sqref="F25:F26"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19:E21 E25:E26"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25:C26"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2" showDropDown="0" showInputMessage="1" showErrorMessage="1" allowBlank="1" promptTitle="Mandatory" prompt="Unique AIF id to which this record applies.  _x000a__x000a_Add new AIFs in the AIF section." type="list">
      <formula1>AIF_ID</formula1>
    </dataValidation>
    <dataValidation sqref="B6:B22 B30 B44:B45" showDropDown="0" showInputMessage="1" showErrorMessage="1" allowBlank="1" promptTitle="Mandatory" prompt="Unique AIF id to which this record applies.  _x000a__x000a_Add new AIFs in the AIF section._x000a_" type="list">
      <formula1>AIF_ID</formula1>
    </dataValidation>
    <dataValidation sqref="D7:D22" showDropDown="0" showInputMessage="1" showErrorMessage="1" allowBlank="1" promptTitle="Mandatory" prompt="No standard. It is strongly recommended to provide the instrument short name as provided by Swift under ISO18774 when available."/>
    <dataValidation sqref="C44:C4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37:B39 H44:H45" showDropDown="0" showInputMessage="1" showErrorMessage="1" allowBlank="1" promptTitle="Mandatory" prompt="Redemptions in base currency during month."/>
    <dataValidation sqref="B36 D36 G44:G45" showDropDown="0" showInputMessage="1" showErrorMessage="1" allowBlank="1" promptTitle="Mandatory" prompt="Subscriptions in base currency during month."/>
    <dataValidation sqref="F45" showDropDown="0" showInputMessage="1" showErrorMessage="1" allowBlank="1" promptTitle="Mandatory" prompt="Monthly changes in NAV including the impact of subscriptions and redemptions._x000a__x000a_Expressed as a percentage (entered here as a number, e.g. enter 1.23% as 1.23)."/>
    <dataValidation sqref="E4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44:D45 E44:F44"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44:A4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36:A38 A40 C39 D37:H41 I39:J40"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4 C37:C38 C40:C4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41" showDropDown="0" showInputMessage="1" showErrorMessage="1" allowBlank="1" promptTitle="Mandatory" prompt="Unique AIF id to which this record applies.  _x000a__x000a_Add new AIFs in the AIF section."/>
    <dataValidation sqref="F7:F22 G7:G18 G20" showDropDown="0" showInputMessage="1" showErrorMessage="1" allowBlank="1" promptTitle="Mandatory" prompt="Position value expressed in base currency (as calculated under Article 2 AIFMD)._x000a__x000a_Value cannot be negative."/>
    <dataValidation sqref="A6:A2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23"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5.xml><?xml version="1.0" encoding="utf-8"?>
<worksheet xmlns="http://schemas.openxmlformats.org/spreadsheetml/2006/main">
  <sheetPr>
    <tabColor theme="4" tint="-0.499984740745262"/>
    <outlinePr summaryBelow="1" summaryRight="1"/>
    <pageSetUpPr/>
  </sheetPr>
  <dimension ref="A1:J31"/>
  <sheetViews>
    <sheetView zoomScale="80" zoomScaleNormal="80" workbookViewId="0">
      <selection activeCell="C43" sqref="C43"/>
    </sheetView>
  </sheetViews>
  <sheetFormatPr baseColWidth="10" defaultColWidth="0" defaultRowHeight="12" customHeight="1"/>
  <cols>
    <col width="49.26953125" customWidth="1" style="25" min="1" max="1"/>
    <col width="24.1796875" customWidth="1" style="25" min="2" max="2"/>
    <col width="37.453125" customWidth="1" style="25" min="3" max="3"/>
    <col width="27.1796875" customWidth="1" style="25" min="4" max="4"/>
    <col width="32.54296875" customWidth="1" style="25" min="5" max="5"/>
    <col width="25.81640625" customWidth="1" style="25" min="6" max="6"/>
    <col width="24" customWidth="1" style="25" min="7" max="7"/>
    <col width="23.1796875" customWidth="1" style="25" min="8" max="8"/>
    <col width="36.453125" customWidth="1" style="25" min="9" max="9"/>
    <col width="34.1796875" customWidth="1" style="25" min="10" max="10"/>
    <col hidden="1" style="25" min="11" max="41"/>
    <col hidden="1" width="8.81640625" customWidth="1" style="25" min="42" max="16384"/>
  </cols>
  <sheetData>
    <row r="1" ht="12" customFormat="1" customHeight="1" s="156">
      <c r="A1" s="156" t="inlineStr">
        <is>
          <t>#START QUESTIONS FOR FUND (AIF) REPORT(S)</t>
        </is>
      </c>
      <c r="E1" s="156" t="inlineStr">
        <is>
          <t>#START QUESTIONS FOR FUND (AIF) REPORT</t>
        </is>
      </c>
      <c r="J1" s="156" t="inlineStr">
        <is>
          <t>#START QUESTIONS FOR FUND (AIF) REPORT</t>
        </is>
      </c>
    </row>
    <row r="2"/>
    <row r="3" ht="12" customFormat="1" customHeigh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ht="12" customFormat="1" customHeigh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ht="12" customFormat="1" customHeight="1" s="151">
      <c r="A5" s="307" t="inlineStr">
        <is>
          <t># XLS - QTD - Ending Equity - Total</t>
        </is>
      </c>
    </row>
    <row r="6" ht="12" customFormat="1" customHeight="1" s="151">
      <c r="A6" s="151" t="inlineStr">
        <is>
          <t>POSITION_COMPACT</t>
        </is>
      </c>
      <c r="B6" s="151" t="inlineStr">
        <is>
          <t>Ridgeline VIII Lux Feeder, SCSp</t>
        </is>
      </c>
      <c r="C6" s="151" t="inlineStr">
        <is>
          <t>CIU_OAM_OTHR</t>
        </is>
      </c>
      <c r="D6" s="307" t="inlineStr">
        <is>
          <t>Ridgeline VIII Parallel Fund, L.P.</t>
        </is>
      </c>
      <c r="E6" s="151" t="inlineStr">
        <is>
          <t>L</t>
        </is>
      </c>
      <c r="F6" s="286" t="n">
        <v>8677394.92</v>
      </c>
      <c r="G6" s="286" t="n"/>
      <c r="H6" s="151" t="inlineStr">
        <is>
          <t>USD</t>
        </is>
      </c>
      <c r="I6" s="151" t="inlineStr">
        <is>
          <t>NORTHAMERICA</t>
        </is>
      </c>
    </row>
    <row r="7" ht="12" customFormat="1" customHeight="1" s="151">
      <c r="E7" s="256" t="n"/>
      <c r="F7" s="286" t="n"/>
      <c r="G7" s="286" t="n"/>
    </row>
    <row r="8" ht="12" customFormat="1" customHeight="1" s="151">
      <c r="E8" s="256" t="n"/>
      <c r="F8" s="286" t="n"/>
      <c r="G8" s="286" t="n"/>
    </row>
    <row r="9" ht="10.5" customFormat="1" customHeight="1" s="151">
      <c r="A9" s="307" t="inlineStr">
        <is>
          <t># Turnover is deposits - withdrawals, all money concerted into shares of the master fund.</t>
        </is>
      </c>
      <c r="F9" s="286" t="n"/>
      <c r="G9" s="242" t="n"/>
    </row>
    <row r="10" ht="12" customFormat="1" customHeigh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row>
    <row r="11" ht="12" customFormat="1" customHeight="1" s="151">
      <c r="A11" s="29" t="inlineStr">
        <is>
          <t>#AIF fieldnummers</t>
        </is>
      </c>
      <c r="B11" s="38" t="inlineStr">
        <is>
          <t>AIF_ID</t>
        </is>
      </c>
      <c r="C11" s="29" t="n">
        <v>125</v>
      </c>
      <c r="D11" s="29" t="n">
        <v>126</v>
      </c>
      <c r="E11" s="29" t="n">
        <v>127</v>
      </c>
      <c r="F11" s="25" t="n"/>
      <c r="G11" s="25" t="n"/>
      <c r="H11" s="25" t="n"/>
      <c r="I11" s="25" t="n"/>
    </row>
    <row r="12" ht="12" customFormat="1" customHeight="1" s="151">
      <c r="A12" s="151" t="inlineStr">
        <is>
          <t>TURNOVER</t>
        </is>
      </c>
      <c r="B12" s="151" t="inlineStr">
        <is>
          <t>Ridgeline VIII Lux Feeder, SCSp</t>
        </is>
      </c>
      <c r="C12" s="153" t="inlineStr">
        <is>
          <t>CIU_CIU_CIU</t>
        </is>
      </c>
      <c r="D12" s="345">
        <f>ABS(B18)+ABS(B19)</f>
        <v/>
      </c>
      <c r="E12" s="349" t="n"/>
    </row>
    <row r="13" ht="12" customFormat="1" customHeight="1" s="151">
      <c r="A13" s="25" t="n"/>
      <c r="B13" s="25" t="n"/>
      <c r="C13" s="25" t="n"/>
      <c r="D13" s="25" t="n"/>
      <c r="E13" s="25" t="n"/>
      <c r="F13" s="25" t="n"/>
      <c r="G13" s="250" t="n"/>
      <c r="H13" s="25" t="n"/>
      <c r="I13" s="25" t="n"/>
    </row>
    <row r="14" ht="12" customFormat="1" customHeight="1" s="151">
      <c r="C14" s="153" t="n"/>
      <c r="D14" s="349" t="n"/>
      <c r="E14" s="349" t="n"/>
      <c r="J14" s="349" t="n"/>
    </row>
    <row r="15" ht="12" customFormat="1" customHeight="1" s="28">
      <c r="A15" s="255" t="inlineStr">
        <is>
          <t># Used for HISTORICAL_RISK_PROFILE.</t>
        </is>
      </c>
      <c r="B15" s="255" t="n"/>
      <c r="C15" s="255" t="n"/>
      <c r="D15" s="255" t="n"/>
      <c r="E15" s="255" t="n"/>
      <c r="F15" s="255" t="n"/>
      <c r="G15" s="255" t="n"/>
      <c r="H15" s="255" t="n"/>
      <c r="I15" s="151" t="n"/>
      <c r="J15" s="25" t="n"/>
    </row>
    <row r="16" ht="12" customHeight="1">
      <c r="A16" s="285" t="inlineStr">
        <is>
          <t># XLS - QTD - Mgmt. Fee</t>
        </is>
      </c>
      <c r="B16" s="288" t="n">
        <v>-136735</v>
      </c>
      <c r="C16" s="343" t="inlineStr">
        <is>
          <t>&lt;= Expenses, Negative!</t>
        </is>
      </c>
      <c r="D16" s="151" t="n"/>
      <c r="E16" s="151" t="n"/>
      <c r="F16" s="151" t="n"/>
      <c r="G16" s="151" t="n"/>
      <c r="H16" s="151" t="n"/>
      <c r="I16" s="151" t="n"/>
    </row>
    <row r="17" ht="12" customFormat="1" customHeight="1" s="151">
      <c r="A17" s="285" t="inlineStr">
        <is>
          <t># XLS - QTD - Net Profit</t>
        </is>
      </c>
      <c r="B17" s="288" t="n">
        <v>235598.24</v>
      </c>
      <c r="C17" s="344" t="inlineStr">
        <is>
          <t>&lt;= Real Net</t>
        </is>
      </c>
    </row>
    <row r="18" ht="12" customFormat="1" customHeight="1" s="151">
      <c r="A18" s="285" t="inlineStr">
        <is>
          <t># XLS - QTD - Deposits</t>
        </is>
      </c>
      <c r="B18" s="339" t="n">
        <v>0</v>
      </c>
      <c r="C18" s="338" t="inlineStr">
        <is>
          <t>Positive!</t>
        </is>
      </c>
      <c r="D18" s="349" t="n"/>
    </row>
    <row r="19" ht="12" customFormat="1" customHeight="1" s="41">
      <c r="A19" s="285" t="inlineStr">
        <is>
          <t># XLS - QTD - Withdrawals</t>
        </is>
      </c>
      <c r="B19" s="339" t="n">
        <v>0</v>
      </c>
      <c r="C19" s="338" t="inlineStr">
        <is>
          <t>Positive!</t>
        </is>
      </c>
      <c r="D19" s="349" t="n"/>
      <c r="E19" s="349" t="n"/>
      <c r="F19" s="349" t="n"/>
      <c r="G19" s="349" t="n"/>
      <c r="H19" s="349" t="n"/>
      <c r="I19" s="151" t="n"/>
      <c r="J19" s="24" t="inlineStr">
        <is>
          <t>#END OF  TEMPLATE</t>
        </is>
      </c>
    </row>
    <row r="20" ht="12" customFormat="1" customHeight="1" s="41">
      <c r="A20" s="338" t="n"/>
      <c r="B20" s="350" t="n"/>
      <c r="C20" s="349" t="n"/>
      <c r="D20" s="349" t="n"/>
      <c r="E20" s="349" t="n"/>
      <c r="F20" s="349" t="n"/>
      <c r="G20" s="349" t="n"/>
      <c r="H20" s="349" t="n"/>
      <c r="I20" s="151" t="n"/>
      <c r="J20" s="24" t="n"/>
    </row>
    <row r="21" ht="12" customFormat="1" customHeight="1" s="41">
      <c r="A21" s="151" t="inlineStr">
        <is>
          <t># Calculated: Start NAV</t>
        </is>
      </c>
      <c r="B21" s="351">
        <f>B22-B17-B18+B19</f>
        <v/>
      </c>
      <c r="C21" s="338" t="inlineStr">
        <is>
          <t>&lt;= Should match XLS - QTD - Beginning Equity</t>
        </is>
      </c>
      <c r="D21" s="349" t="n"/>
      <c r="E21" s="349" t="n"/>
      <c r="F21" s="349" t="n"/>
      <c r="G21" s="349" t="n"/>
      <c r="H21" s="349" t="n"/>
      <c r="I21" s="151" t="n"/>
      <c r="J21" s="24" t="n"/>
    </row>
    <row r="22" ht="12" customFormat="1" customHeight="1" s="41">
      <c r="A22" s="151" t="inlineStr">
        <is>
          <t># Calculated: End NAV</t>
        </is>
      </c>
      <c r="B22" s="351">
        <f>F6</f>
        <v/>
      </c>
      <c r="C22" s="338" t="inlineStr">
        <is>
          <t>&lt;= Should match XLS - QTD - Ending Equity</t>
        </is>
      </c>
      <c r="D22" s="349" t="n"/>
      <c r="E22" s="349" t="n"/>
      <c r="F22" s="349" t="n"/>
      <c r="G22" s="349" t="n"/>
      <c r="H22" s="349" t="n"/>
      <c r="I22" s="151" t="n"/>
      <c r="J22" s="24" t="n"/>
    </row>
    <row r="23" ht="12" customHeight="1">
      <c r="A23" s="151" t="n"/>
      <c r="B23" s="151" t="n"/>
      <c r="C23" s="349" t="n"/>
      <c r="D23" s="349" t="n"/>
      <c r="E23" s="349" t="n"/>
      <c r="F23" s="349" t="n"/>
      <c r="G23" s="349" t="n"/>
      <c r="H23" s="349" t="n"/>
      <c r="I23" s="151" t="n"/>
    </row>
    <row r="24" ht="12" customHeight="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ht="12" customHeight="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c r="I25" s="151" t="n"/>
    </row>
    <row r="26" ht="10.5" customFormat="1" customHeight="1" s="151">
      <c r="A26" s="151" t="inlineStr">
        <is>
          <t>HISTORICAL_RISK_PROFILE</t>
        </is>
      </c>
      <c r="B26" s="151" t="inlineStr">
        <is>
          <t>Ridgeline VIII Lux Feeder, SCSp</t>
        </is>
      </c>
      <c r="C26" s="310" t="n"/>
      <c r="D26" s="311">
        <f>(B17-B16)/B21*100</f>
        <v/>
      </c>
      <c r="E26" s="311">
        <f>B17/B21*100</f>
        <v/>
      </c>
      <c r="F26" s="311">
        <f>(B22-B21)/B21*100</f>
        <v/>
      </c>
      <c r="G26" s="345">
        <f>ABS(B18)</f>
        <v/>
      </c>
      <c r="H26" s="345">
        <f>ABS(B19)</f>
        <v/>
      </c>
    </row>
    <row r="27" ht="12" customHeight="1">
      <c r="A27" s="151" t="n"/>
      <c r="B27" s="151" t="n"/>
      <c r="C27" s="151" t="n"/>
      <c r="D27" s="192" t="n"/>
      <c r="E27" s="192" t="n"/>
      <c r="F27" s="192" t="n"/>
      <c r="G27" s="338" t="n"/>
      <c r="H27" s="338" t="n"/>
      <c r="I27" s="151" t="n"/>
    </row>
    <row r="28" ht="12" customHeight="1">
      <c r="A28" s="40" t="inlineStr">
        <is>
          <t>#END OF  TEMPLATE</t>
        </is>
      </c>
      <c r="B28" s="40" t="n"/>
      <c r="C28" s="40" t="n"/>
      <c r="D28" s="40" t="n"/>
      <c r="E28" s="40" t="inlineStr">
        <is>
          <t>#END OF  TEMPLATE</t>
        </is>
      </c>
      <c r="F28" s="40" t="n"/>
      <c r="G28" s="40" t="n"/>
      <c r="H28" s="40" t="n"/>
      <c r="I28" s="40" t="n"/>
    </row>
    <row r="29"/>
    <row r="30"/>
    <row r="31" ht="18.5" customHeight="1">
      <c r="A31" s="346" t="n"/>
    </row>
    <row r="48" ht="10.5" customHeight="1"/>
  </sheetData>
  <dataValidations count="26">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B14" showDropDown="0" showInputMessage="1" showErrorMessage="1" allowBlank="1" promptTitle="Mandatory" prompt="Unique AIF id to which this record applies.  _x000a__x000a_Add new AIFs in the AIF section." type="list">
      <formula1>AIF_ID</formula1>
    </dataValidation>
    <dataValidation sqref="E7:E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12 A14" showDropDown="0" showInputMessage="1" showErrorMessage="1" allowBlank="1" promptTitle="Conditional" prompt="The TURNOVER record is optional for AIFs with content type 2 and 4, and forbidden otherwise." type="list">
      <formula1>"TURNOVER,#ignore this line"</formula1>
    </dataValidation>
    <dataValidation sqref="D12 D14" showDropDown="0" showInputMessage="1" showErrorMessage="1" allowBlank="1" prompt="Market value of turnover in each relevant sub-asset-type during the reporting period in base-currency"/>
    <dataValidation sqref="E12 E14" showDropDown="0" showInputMessage="1" showErrorMessage="1" allowBlank="1" promptTitle="Conditional" prompt="Only for sub-asset-types starting with DER_xxx.  Notional value of turnover in each relevant sub-asset-type during the reporting period in base-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J14"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F8" showDropDown="0" showInputMessage="1" showErrorMessage="1" allowBlank="1" promptTitle="Mandatory" prompt="Position value expressed in base currency (as calculated under Article 2 AIFMD)._x000a__x000a_Value cannot be negative."/>
    <dataValidation sqref="D6:D8" showDropDown="0" showInputMessage="1" showErrorMessage="1" allowBlank="1" promptTitle="Mandatory" prompt="No standard. It is strongly recommended to provide the instrument short name as provided by Swift under ISO18774 when available."/>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6: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s>
  <pageMargins left="0.7086614173228347" right="0.7086614173228347" top="0.7480314960629921" bottom="0.7480314960629921" header="0.3149606299212598" footer="0.3149606299212598"/>
  <pageSetup orientation="landscape" paperSize="8" scale="70"/>
</worksheet>
</file>

<file path=xl/worksheets/sheet16.xml><?xml version="1.0" encoding="utf-8"?>
<worksheet xmlns="http://schemas.openxmlformats.org/spreadsheetml/2006/main">
  <sheetPr>
    <tabColor theme="4" tint="0.5999938962981048"/>
    <outlinePr summaryBelow="1" summaryRight="1"/>
    <pageSetUpPr fitToPage="1"/>
  </sheetPr>
  <dimension ref="A1:A1"/>
  <sheetViews>
    <sheetView workbookViewId="0">
      <selection activeCell="O61" sqref="O61"/>
    </sheetView>
  </sheetViews>
  <sheetFormatPr baseColWidth="10" defaultColWidth="9.1796875" defaultRowHeight="14.5"/>
  <cols>
    <col width="9.1796875" customWidth="1" style="42" min="1" max="16384"/>
  </cols>
  <sheetData>
    <row r="1">
      <c r="A1" s="42" t="inlineStr">
        <is>
          <t>#</t>
        </is>
      </c>
    </row>
  </sheetData>
  <pageMargins left="0.7" right="0.7" top="0.75" bottom="0.75" header="0.3" footer="0.3"/>
  <pageSetup orientation="landscape" paperSize="9" scale="51" fitToHeight="0" horizontalDpi="0" verticalDpi="0"/>
  <drawing xmlns:r="http://schemas.openxmlformats.org/officeDocument/2006/relationships" r:id="rId1"/>
</worksheet>
</file>

<file path=xl/worksheets/sheet17.xml><?xml version="1.0" encoding="utf-8"?>
<worksheet xmlns="http://schemas.openxmlformats.org/spreadsheetml/2006/main">
  <sheetPr filterMode="1">
    <tabColor theme="4" tint="0.5999938962981048"/>
    <outlinePr summaryBelow="1" summaryRight="1"/>
    <pageSetUpPr fitToPage="1"/>
  </sheetPr>
  <dimension ref="A1:P51"/>
  <sheetViews>
    <sheetView workbookViewId="0">
      <pane xSplit="4" ySplit="2" topLeftCell="E45" activePane="bottomRight" state="frozen"/>
      <selection pane="topRight" activeCell="E1" sqref="E1"/>
      <selection pane="bottomLeft" activeCell="A3" sqref="A3"/>
      <selection pane="bottomRight" activeCell="H50" sqref="H50"/>
    </sheetView>
  </sheetViews>
  <sheetFormatPr baseColWidth="10" defaultColWidth="8.81640625" defaultRowHeight="10.5"/>
  <cols>
    <col width="2" customWidth="1" style="88" min="1" max="1"/>
    <col width="9.54296875" customWidth="1" style="164" min="2" max="3"/>
    <col width="2.1796875" customWidth="1" style="88" min="4" max="4"/>
    <col width="14.54296875" bestFit="1" customWidth="1" style="84" min="5" max="5"/>
    <col width="46.81640625" customWidth="1" style="85" min="6" max="6"/>
    <col width="3" customWidth="1" style="85" min="7" max="7"/>
    <col width="13.1796875" bestFit="1" customWidth="1" style="86" min="8" max="8"/>
    <col width="51.453125" customWidth="1" style="85" min="9" max="9"/>
    <col width="16" bestFit="1" customWidth="1" style="87" min="10" max="10"/>
    <col width="8" bestFit="1" customWidth="1" style="87" min="11" max="11"/>
    <col width="5.81640625" bestFit="1" customWidth="1" style="87" min="12" max="12"/>
    <col width="9.81640625" bestFit="1" customWidth="1" style="87" min="13" max="13"/>
    <col width="14.81640625" bestFit="1" customWidth="1" style="87" min="14" max="14"/>
    <col width="10.453125" customWidth="1" style="87" min="15" max="15"/>
    <col width="9.1796875" bestFit="1" customWidth="1" style="87" min="16" max="16"/>
    <col width="8.81640625" customWidth="1" style="44" min="17" max="16384"/>
  </cols>
  <sheetData>
    <row r="1" ht="16" customHeight="1" thickBot="1">
      <c r="A1" s="88" t="inlineStr">
        <is>
          <t>#</t>
        </is>
      </c>
      <c r="B1" s="421" t="inlineStr">
        <is>
          <t>CONTENT TYPE</t>
        </is>
      </c>
      <c r="C1" s="422" t="n"/>
      <c r="E1" s="423" t="inlineStr">
        <is>
          <t>AIFM (MANAGER)</t>
        </is>
      </c>
      <c r="F1" s="424" t="n"/>
      <c r="G1" s="43" t="n"/>
      <c r="H1" s="392" t="inlineStr">
        <is>
          <t>AIF (FUND)</t>
        </is>
      </c>
      <c r="I1" s="425" t="n"/>
      <c r="J1" s="425" t="n"/>
      <c r="K1" s="425" t="n"/>
      <c r="L1" s="425" t="n"/>
      <c r="M1" s="425" t="n"/>
      <c r="N1" s="425" t="n"/>
      <c r="O1" s="425" t="n"/>
      <c r="P1" s="425" t="n"/>
    </row>
    <row r="2" ht="42.5" customFormat="1" customHeight="1" s="52" thickBot="1">
      <c r="A2" s="89" t="n"/>
      <c r="B2" s="157" t="inlineStr">
        <is>
          <t>AIFM Content Type
AIFM (Field 5)</t>
        </is>
      </c>
      <c r="C2" s="158" t="inlineStr">
        <is>
          <t>AIF Content Type
AIF (Field 5)</t>
        </is>
      </c>
      <c r="D2" s="89" t="n"/>
      <c r="E2" s="45" t="inlineStr">
        <is>
          <t>AIFM reporting code
AIFM (Field 16)</t>
        </is>
      </c>
      <c r="F2" s="46" t="inlineStr">
        <is>
          <t>AIFM reporting label</t>
        </is>
      </c>
      <c r="G2" s="426" t="n"/>
      <c r="H2" s="47" t="inlineStr">
        <is>
          <t>AIF reporting code
AIF (Field 20)</t>
        </is>
      </c>
      <c r="I2" s="48" t="inlineStr">
        <is>
          <t>AIF reporting label</t>
        </is>
      </c>
      <c r="J2" s="47" t="inlineStr">
        <is>
          <t>Unleveraged AIF investing in non-listed companies in order to acquire control</t>
        </is>
      </c>
      <c r="K2" s="49" t="inlineStr">
        <is>
          <t>Leveraged AIF</t>
        </is>
      </c>
      <c r="L2" s="49" t="inlineStr">
        <is>
          <t>EU AIF</t>
        </is>
      </c>
      <c r="M2" s="49" t="inlineStr">
        <is>
          <t>AIF marketed in the Union</t>
        </is>
      </c>
      <c r="N2" s="50" t="inlineStr">
        <is>
          <t>Above 500 M EUR AIF Threshold</t>
        </is>
      </c>
      <c r="O2" s="51" t="inlineStr">
        <is>
          <t>Reporting frequency
AIF (field 8)</t>
        </is>
      </c>
      <c r="P2" s="50" t="inlineStr">
        <is>
          <t>Reporting Contents</t>
        </is>
      </c>
    </row>
    <row r="3" hidden="1">
      <c r="B3" s="159" t="n">
        <v>2</v>
      </c>
      <c r="C3" s="160" t="n">
        <v>3</v>
      </c>
      <c r="E3" s="53" t="n">
        <v>1</v>
      </c>
      <c r="F3" s="54" t="inlineStr">
        <is>
          <t>Registered AIFM (Light)</t>
        </is>
      </c>
      <c r="G3" s="427" t="n"/>
      <c r="H3" s="55" t="n">
        <v>1</v>
      </c>
      <c r="I3" s="56" t="inlineStr">
        <is>
          <t>AIF (of an Registered AIFM)  (light)</t>
        </is>
      </c>
      <c r="J3" s="57" t="inlineStr">
        <is>
          <t>Yes/No</t>
        </is>
      </c>
      <c r="K3" s="58" t="inlineStr">
        <is>
          <t>Yes/No</t>
        </is>
      </c>
      <c r="L3" s="58" t="inlineStr">
        <is>
          <t>Yes/No</t>
        </is>
      </c>
      <c r="M3" s="58" t="inlineStr">
        <is>
          <t>Yes/No</t>
        </is>
      </c>
      <c r="N3" s="59" t="inlineStr">
        <is>
          <t>No</t>
        </is>
      </c>
      <c r="O3" s="60" t="inlineStr">
        <is>
          <t>Yearly</t>
        </is>
      </c>
      <c r="P3" s="61" t="inlineStr">
        <is>
          <t>3(3d)</t>
        </is>
      </c>
    </row>
    <row r="4" hidden="1">
      <c r="B4" s="161" t="n">
        <v>1</v>
      </c>
      <c r="C4" s="162" t="n">
        <v>4</v>
      </c>
      <c r="E4" s="62" t="n">
        <v>2</v>
      </c>
      <c r="F4" s="63" t="inlineStr">
        <is>
          <t>Authorised AIFM (opt-in)</t>
        </is>
      </c>
      <c r="G4" s="427" t="n"/>
      <c r="H4" s="64" t="n">
        <v>2</v>
      </c>
      <c r="I4" s="65" t="inlineStr">
        <is>
          <t>Leveraged EU AIF (of an opt-in AIFM)</t>
        </is>
      </c>
      <c r="J4" s="66" t="inlineStr">
        <is>
          <t>No</t>
        </is>
      </c>
      <c r="K4" s="67" t="inlineStr">
        <is>
          <t>Yes</t>
        </is>
      </c>
      <c r="L4" s="67" t="inlineStr">
        <is>
          <t>Yes</t>
        </is>
      </c>
      <c r="M4" s="67" t="inlineStr">
        <is>
          <t>Yes/No</t>
        </is>
      </c>
      <c r="N4" s="68" t="inlineStr">
        <is>
          <t>No</t>
        </is>
      </c>
      <c r="O4" s="69" t="inlineStr">
        <is>
          <t>Yearly</t>
        </is>
      </c>
      <c r="P4" s="70" t="inlineStr">
        <is>
          <t>24(1)+(2)+(4)</t>
        </is>
      </c>
    </row>
    <row r="5" hidden="1">
      <c r="B5" s="161" t="n">
        <v>1</v>
      </c>
      <c r="C5" s="162" t="n">
        <v>4</v>
      </c>
      <c r="E5" s="62" t="n">
        <v>2</v>
      </c>
      <c r="F5" s="63" t="inlineStr">
        <is>
          <t>Authorised AIFM (opt-in)</t>
        </is>
      </c>
      <c r="G5" s="427" t="n"/>
      <c r="H5" s="64" t="n">
        <v>3</v>
      </c>
      <c r="I5" s="65" t="inlineStr">
        <is>
          <t>Leveraged non EU AIF (of an opt-in AIFM) marketed in the Union</t>
        </is>
      </c>
      <c r="J5" s="66" t="inlineStr">
        <is>
          <t>No</t>
        </is>
      </c>
      <c r="K5" s="67" t="inlineStr">
        <is>
          <t>Yes</t>
        </is>
      </c>
      <c r="L5" s="67" t="inlineStr">
        <is>
          <t>No</t>
        </is>
      </c>
      <c r="M5" s="67" t="inlineStr">
        <is>
          <t>Yes</t>
        </is>
      </c>
      <c r="N5" s="68" t="inlineStr">
        <is>
          <t>No</t>
        </is>
      </c>
      <c r="O5" s="69" t="inlineStr">
        <is>
          <t>Yearly</t>
        </is>
      </c>
      <c r="P5" s="70" t="inlineStr">
        <is>
          <t>24(1)+(2)+(4)</t>
        </is>
      </c>
    </row>
    <row r="6" hidden="1">
      <c r="B6" s="161" t="n">
        <v>1</v>
      </c>
      <c r="C6" s="162" t="n">
        <v>5</v>
      </c>
      <c r="E6" s="62" t="n">
        <v>2</v>
      </c>
      <c r="F6" s="63" t="inlineStr">
        <is>
          <t>Authorised AIFM (opt-in)</t>
        </is>
      </c>
      <c r="G6" s="427" t="n"/>
      <c r="H6" s="64" t="n">
        <v>4</v>
      </c>
      <c r="I6" s="65" t="inlineStr">
        <is>
          <t>Leveraged non EU AIF (of an opt-in AIFM), not marketed in the Union</t>
        </is>
      </c>
      <c r="J6" s="66" t="inlineStr">
        <is>
          <t>No</t>
        </is>
      </c>
      <c r="K6" s="67" t="inlineStr">
        <is>
          <t>Yes</t>
        </is>
      </c>
      <c r="L6" s="67" t="inlineStr">
        <is>
          <t>No</t>
        </is>
      </c>
      <c r="M6" s="67" t="inlineStr">
        <is>
          <t>No</t>
        </is>
      </c>
      <c r="N6" s="68" t="inlineStr">
        <is>
          <t>No</t>
        </is>
      </c>
      <c r="O6" s="69" t="inlineStr">
        <is>
          <t>Yearly</t>
        </is>
      </c>
      <c r="P6" s="70" t="inlineStr">
        <is>
          <t>24(1)+(4)</t>
        </is>
      </c>
    </row>
    <row r="7" hidden="1">
      <c r="B7" s="161" t="n">
        <v>1</v>
      </c>
      <c r="C7" s="162" t="n">
        <v>2</v>
      </c>
      <c r="E7" s="62" t="n">
        <v>2</v>
      </c>
      <c r="F7" s="63" t="inlineStr">
        <is>
          <t>Authorised AIFM (opt-in)</t>
        </is>
      </c>
      <c r="G7" s="427" t="n"/>
      <c r="H7" s="64" t="n">
        <v>5</v>
      </c>
      <c r="I7" s="65" t="inlineStr">
        <is>
          <t>Unleveraged EU AIF (of an opt-in AIFM)</t>
        </is>
      </c>
      <c r="J7" s="71" t="inlineStr">
        <is>
          <t>Yes/No</t>
        </is>
      </c>
      <c r="K7" s="72" t="inlineStr">
        <is>
          <t>No</t>
        </is>
      </c>
      <c r="L7" s="67" t="inlineStr">
        <is>
          <t>Yes</t>
        </is>
      </c>
      <c r="M7" s="67" t="inlineStr">
        <is>
          <t>Yes/No</t>
        </is>
      </c>
      <c r="N7" s="68" t="inlineStr">
        <is>
          <t>No</t>
        </is>
      </c>
      <c r="O7" s="69" t="inlineStr">
        <is>
          <t>Yearly</t>
        </is>
      </c>
      <c r="P7" s="70" t="inlineStr">
        <is>
          <t>24(1)+(2)</t>
        </is>
      </c>
    </row>
    <row r="8" hidden="1">
      <c r="B8" s="161" t="n">
        <v>1</v>
      </c>
      <c r="C8" s="162" t="n">
        <v>2</v>
      </c>
      <c r="E8" s="62" t="n">
        <v>2</v>
      </c>
      <c r="F8" s="63" t="inlineStr">
        <is>
          <t>Authorised AIFM (opt-in)</t>
        </is>
      </c>
      <c r="G8" s="427" t="n"/>
      <c r="H8" s="64" t="n">
        <v>6</v>
      </c>
      <c r="I8" s="65" t="inlineStr">
        <is>
          <t>Unleveraged non EU AIF (of an opt-in AIFM) marketed in the Union</t>
        </is>
      </c>
      <c r="J8" s="71" t="inlineStr">
        <is>
          <t>Yes/No</t>
        </is>
      </c>
      <c r="K8" s="72" t="inlineStr">
        <is>
          <t>No</t>
        </is>
      </c>
      <c r="L8" s="67" t="inlineStr">
        <is>
          <t>No</t>
        </is>
      </c>
      <c r="M8" s="67" t="inlineStr">
        <is>
          <t>Yes</t>
        </is>
      </c>
      <c r="N8" s="68" t="inlineStr">
        <is>
          <t>No</t>
        </is>
      </c>
      <c r="O8" s="69" t="inlineStr">
        <is>
          <t>Yearly</t>
        </is>
      </c>
      <c r="P8" s="70" t="inlineStr">
        <is>
          <t>24(1)+(2)</t>
        </is>
      </c>
    </row>
    <row r="9" hidden="1">
      <c r="B9" s="161" t="n">
        <v>1</v>
      </c>
      <c r="C9" s="162" t="n">
        <v>1</v>
      </c>
      <c r="E9" s="62" t="n">
        <v>2</v>
      </c>
      <c r="F9" s="63" t="inlineStr">
        <is>
          <t>Authorised AIFM (opt-in)</t>
        </is>
      </c>
      <c r="G9" s="427" t="n"/>
      <c r="H9" s="64" t="n">
        <v>7</v>
      </c>
      <c r="I9" s="65" t="inlineStr">
        <is>
          <t>Unleveraged non EU AIF (of an opt-in AIFM), not marketed in the Union</t>
        </is>
      </c>
      <c r="J9" s="71" t="inlineStr">
        <is>
          <t>Yes/No</t>
        </is>
      </c>
      <c r="K9" s="72" t="inlineStr">
        <is>
          <t>No</t>
        </is>
      </c>
      <c r="L9" s="67" t="inlineStr">
        <is>
          <t>No</t>
        </is>
      </c>
      <c r="M9" s="67" t="inlineStr">
        <is>
          <t>No</t>
        </is>
      </c>
      <c r="N9" s="68" t="inlineStr">
        <is>
          <t>No</t>
        </is>
      </c>
      <c r="O9" s="69" t="inlineStr">
        <is>
          <t>Yearly</t>
        </is>
      </c>
      <c r="P9" s="70" t="inlineStr">
        <is>
          <t>24(1)</t>
        </is>
      </c>
    </row>
    <row r="10" hidden="1" ht="21" customHeight="1">
      <c r="B10" s="161" t="n">
        <v>1</v>
      </c>
      <c r="C10" s="162" t="n">
        <v>2</v>
      </c>
      <c r="E10" s="62" t="n">
        <v>3</v>
      </c>
      <c r="F10" s="63" t="inlineStr">
        <is>
          <t>Authorised AIFM with only unleveraged AIFs investing in non-listed companies and issuers in order to acquire control</t>
        </is>
      </c>
      <c r="G10" s="427" t="n"/>
      <c r="H10" s="64" t="n">
        <v>8</v>
      </c>
      <c r="I10" s="65" t="inlineStr">
        <is>
          <t>Unleveraged EU AIF (of an AIFM with only unleveraged AIFs investing in non-listed companies and issuers in order to acquire control)</t>
        </is>
      </c>
      <c r="J10" s="66" t="inlineStr">
        <is>
          <t>Yes</t>
        </is>
      </c>
      <c r="K10" s="72" t="inlineStr">
        <is>
          <t>No</t>
        </is>
      </c>
      <c r="L10" s="67" t="inlineStr">
        <is>
          <t>Yes</t>
        </is>
      </c>
      <c r="M10" s="67" t="inlineStr">
        <is>
          <t>Yes/No</t>
        </is>
      </c>
      <c r="N10" s="73" t="inlineStr">
        <is>
          <t>Yes/No</t>
        </is>
      </c>
      <c r="O10" s="69" t="inlineStr">
        <is>
          <t>Yearly</t>
        </is>
      </c>
      <c r="P10" s="70" t="inlineStr">
        <is>
          <t>24(1)+(2)</t>
        </is>
      </c>
    </row>
    <row r="11" hidden="1" ht="30.5" customHeight="1">
      <c r="B11" s="161" t="n">
        <v>1</v>
      </c>
      <c r="C11" s="162" t="n">
        <v>2</v>
      </c>
      <c r="E11" s="62" t="n">
        <v>3</v>
      </c>
      <c r="F11" s="63" t="inlineStr">
        <is>
          <t>Authorised AIFM with only unleveraged AIFs investing in non-listed companies and issuers in order to acquire control</t>
        </is>
      </c>
      <c r="G11" s="427" t="n"/>
      <c r="H11" s="64" t="n">
        <v>9</v>
      </c>
      <c r="I11" s="65" t="inlineStr">
        <is>
          <t>Unleveraged non EU AIF (of an AIFM with only unleveraged AIFs investing in non-listed companies and issuers in order to acquire control) marketed in the Union</t>
        </is>
      </c>
      <c r="J11" s="66" t="inlineStr">
        <is>
          <t>Yes</t>
        </is>
      </c>
      <c r="K11" s="72" t="inlineStr">
        <is>
          <t>No</t>
        </is>
      </c>
      <c r="L11" s="67" t="inlineStr">
        <is>
          <t>No</t>
        </is>
      </c>
      <c r="M11" s="67" t="inlineStr">
        <is>
          <t>Yes</t>
        </is>
      </c>
      <c r="N11" s="73" t="inlineStr">
        <is>
          <t>Yes/No</t>
        </is>
      </c>
      <c r="O11" s="69" t="inlineStr">
        <is>
          <t>Yearly</t>
        </is>
      </c>
      <c r="P11" s="70" t="inlineStr">
        <is>
          <t>24(1)+(2)</t>
        </is>
      </c>
    </row>
    <row r="12" hidden="1" ht="30.5" customHeight="1">
      <c r="B12" s="161" t="n">
        <v>1</v>
      </c>
      <c r="C12" s="162" t="n">
        <v>1</v>
      </c>
      <c r="E12" s="62" t="n">
        <v>3</v>
      </c>
      <c r="F12" s="63" t="inlineStr">
        <is>
          <t>Authorised AIFM with only unleveraged AIFs investing in non-listed companies and issuers in order to acquire control</t>
        </is>
      </c>
      <c r="G12" s="427" t="n"/>
      <c r="H12" s="64" t="n">
        <v>10</v>
      </c>
      <c r="I12" s="65" t="inlineStr">
        <is>
          <t>Unleveraged non EU AIF (of an AIFM with only unleveraged AIFs investing in non-listed companies and issuers in order to acquire control), not marketed in the Union</t>
        </is>
      </c>
      <c r="J12" s="66" t="inlineStr">
        <is>
          <t>Yes</t>
        </is>
      </c>
      <c r="K12" s="72" t="inlineStr">
        <is>
          <t>No</t>
        </is>
      </c>
      <c r="L12" s="67" t="inlineStr">
        <is>
          <t>No</t>
        </is>
      </c>
      <c r="M12" s="67" t="inlineStr">
        <is>
          <t>No</t>
        </is>
      </c>
      <c r="N12" s="73" t="inlineStr">
        <is>
          <t>Yes/No</t>
        </is>
      </c>
      <c r="O12" s="69" t="inlineStr">
        <is>
          <t>Yearly</t>
        </is>
      </c>
      <c r="P12" s="70" t="inlineStr">
        <is>
          <t>24(1)</t>
        </is>
      </c>
    </row>
    <row r="13" hidden="1">
      <c r="B13" s="161" t="n">
        <v>1</v>
      </c>
      <c r="C13" s="162" t="n">
        <v>4</v>
      </c>
      <c r="E13" s="62" t="n">
        <v>4</v>
      </c>
      <c r="F13" s="63" t="inlineStr">
        <is>
          <t>Authorised AIFM with half yearly obligation</t>
        </is>
      </c>
      <c r="G13" s="427" t="n"/>
      <c r="H13" s="64" t="n">
        <v>11</v>
      </c>
      <c r="I13" s="65" t="inlineStr">
        <is>
          <t>Under 500M Leveraged EU AIF (of an AIFM with half yearly obligation)</t>
        </is>
      </c>
      <c r="J13" s="66" t="inlineStr">
        <is>
          <t>No</t>
        </is>
      </c>
      <c r="K13" s="67" t="inlineStr">
        <is>
          <t>Yes</t>
        </is>
      </c>
      <c r="L13" s="67" t="inlineStr">
        <is>
          <t>Yes</t>
        </is>
      </c>
      <c r="M13" s="67" t="inlineStr">
        <is>
          <t>Yes/No</t>
        </is>
      </c>
      <c r="N13" s="73" t="inlineStr">
        <is>
          <t>No</t>
        </is>
      </c>
      <c r="O13" s="69" t="inlineStr">
        <is>
          <t>Half yearly</t>
        </is>
      </c>
      <c r="P13" s="70" t="inlineStr">
        <is>
          <t>24(1)+(2)+(4)</t>
        </is>
      </c>
    </row>
    <row r="14" hidden="1" ht="20.5" customHeight="1">
      <c r="B14" s="161" t="n">
        <v>1</v>
      </c>
      <c r="C14" s="162" t="n">
        <v>4</v>
      </c>
      <c r="E14" s="62" t="n">
        <v>4</v>
      </c>
      <c r="F14" s="63" t="inlineStr">
        <is>
          <t>Authorised AIFM with half yearly obligation</t>
        </is>
      </c>
      <c r="G14" s="427" t="n"/>
      <c r="H14" s="64" t="n">
        <v>12</v>
      </c>
      <c r="I14" s="65" t="inlineStr">
        <is>
          <t>Under 500M Leveraged non EU AIF (of an AIFM with half yearly obligation) marketed in the Union</t>
        </is>
      </c>
      <c r="J14" s="66" t="inlineStr">
        <is>
          <t>No</t>
        </is>
      </c>
      <c r="K14" s="67" t="inlineStr">
        <is>
          <t>Yes</t>
        </is>
      </c>
      <c r="L14" s="67" t="inlineStr">
        <is>
          <t>No</t>
        </is>
      </c>
      <c r="M14" s="67" t="inlineStr">
        <is>
          <t>Yes</t>
        </is>
      </c>
      <c r="N14" s="73" t="inlineStr">
        <is>
          <t>No</t>
        </is>
      </c>
      <c r="O14" s="69" t="inlineStr">
        <is>
          <t>Half yearly</t>
        </is>
      </c>
      <c r="P14" s="70" t="inlineStr">
        <is>
          <t>24(1)+(2)+(4)</t>
        </is>
      </c>
    </row>
    <row r="15" hidden="1" ht="20.5" customHeight="1">
      <c r="B15" s="161" t="n">
        <v>1</v>
      </c>
      <c r="C15" s="162" t="n">
        <v>5</v>
      </c>
      <c r="E15" s="62" t="n">
        <v>4</v>
      </c>
      <c r="F15" s="63" t="inlineStr">
        <is>
          <t>Authorised AIFM with half yearly obligation</t>
        </is>
      </c>
      <c r="G15" s="427" t="n"/>
      <c r="H15" s="64" t="n">
        <v>13</v>
      </c>
      <c r="I15" s="65" t="inlineStr">
        <is>
          <t>Under 500M Leveraged non EU AIF (of an AIFM with half yearly obligation), not marketed in the Union</t>
        </is>
      </c>
      <c r="J15" s="66" t="inlineStr">
        <is>
          <t>No</t>
        </is>
      </c>
      <c r="K15" s="67" t="inlineStr">
        <is>
          <t>Yes</t>
        </is>
      </c>
      <c r="L15" s="67" t="inlineStr">
        <is>
          <t>No</t>
        </is>
      </c>
      <c r="M15" s="67" t="inlineStr">
        <is>
          <t>No</t>
        </is>
      </c>
      <c r="N15" s="73" t="inlineStr">
        <is>
          <t>No</t>
        </is>
      </c>
      <c r="O15" s="69" t="inlineStr">
        <is>
          <t>Half yearly</t>
        </is>
      </c>
      <c r="P15" s="70" t="inlineStr">
        <is>
          <t>24(1)+(4)</t>
        </is>
      </c>
    </row>
    <row r="16" hidden="1">
      <c r="B16" s="161" t="n">
        <v>1</v>
      </c>
      <c r="C16" s="162" t="n">
        <v>2</v>
      </c>
      <c r="E16" s="62" t="n">
        <v>4</v>
      </c>
      <c r="F16" s="63" t="inlineStr">
        <is>
          <t>Authorised AIFM with half yearly obligation</t>
        </is>
      </c>
      <c r="G16" s="427" t="n"/>
      <c r="H16" s="64" t="n">
        <v>14</v>
      </c>
      <c r="I16" s="65" t="inlineStr">
        <is>
          <t>Under 500M Unleveraged EU AIF (of an AIFM with half yearly obligation)</t>
        </is>
      </c>
      <c r="J16" s="71" t="inlineStr">
        <is>
          <t>No</t>
        </is>
      </c>
      <c r="K16" s="67" t="inlineStr">
        <is>
          <t>No</t>
        </is>
      </c>
      <c r="L16" s="67" t="inlineStr">
        <is>
          <t>Yes</t>
        </is>
      </c>
      <c r="M16" s="67" t="inlineStr">
        <is>
          <t>Yes/No</t>
        </is>
      </c>
      <c r="N16" s="73" t="inlineStr">
        <is>
          <t>No</t>
        </is>
      </c>
      <c r="O16" s="69" t="inlineStr">
        <is>
          <t>Half yearly</t>
        </is>
      </c>
      <c r="P16" s="70" t="inlineStr">
        <is>
          <t>24(1)+(2)</t>
        </is>
      </c>
    </row>
    <row r="17" hidden="1" ht="20.5" customHeight="1">
      <c r="B17" s="161" t="n">
        <v>1</v>
      </c>
      <c r="C17" s="162" t="n">
        <v>2</v>
      </c>
      <c r="E17" s="62" t="n">
        <v>4</v>
      </c>
      <c r="F17" s="63" t="inlineStr">
        <is>
          <t>Authorised AIFM with half yearly obligation</t>
        </is>
      </c>
      <c r="G17" s="427" t="n"/>
      <c r="H17" s="64" t="n">
        <v>15</v>
      </c>
      <c r="I17" s="65" t="inlineStr">
        <is>
          <t>Under 500M Unleveraged non EU AIF (of an AIFM with half yearly obligation) marketed in the Union</t>
        </is>
      </c>
      <c r="J17" s="71" t="inlineStr">
        <is>
          <t>No</t>
        </is>
      </c>
      <c r="K17" s="67" t="inlineStr">
        <is>
          <t>No</t>
        </is>
      </c>
      <c r="L17" s="67" t="inlineStr">
        <is>
          <t>No</t>
        </is>
      </c>
      <c r="M17" s="67" t="inlineStr">
        <is>
          <t>Yes</t>
        </is>
      </c>
      <c r="N17" s="73" t="inlineStr">
        <is>
          <t>No</t>
        </is>
      </c>
      <c r="O17" s="69" t="inlineStr">
        <is>
          <t>Half yearly</t>
        </is>
      </c>
      <c r="P17" s="70" t="inlineStr">
        <is>
          <t>24(1)+(2)</t>
        </is>
      </c>
    </row>
    <row r="18" hidden="1" ht="20.5" customHeight="1">
      <c r="B18" s="161" t="n">
        <v>1</v>
      </c>
      <c r="C18" s="162" t="n">
        <v>1</v>
      </c>
      <c r="E18" s="62" t="n">
        <v>4</v>
      </c>
      <c r="F18" s="63" t="inlineStr">
        <is>
          <t>Authorised AIFM with half yearly obligation</t>
        </is>
      </c>
      <c r="G18" s="427" t="n"/>
      <c r="H18" s="64" t="n">
        <v>16</v>
      </c>
      <c r="I18" s="65" t="inlineStr">
        <is>
          <t>Under 500M Unleveraged non EU AIF (of an AIFM with half yearly obligation), not marketed in the Union</t>
        </is>
      </c>
      <c r="J18" s="71" t="inlineStr">
        <is>
          <t>No</t>
        </is>
      </c>
      <c r="K18" s="67" t="inlineStr">
        <is>
          <t>No</t>
        </is>
      </c>
      <c r="L18" s="67" t="inlineStr">
        <is>
          <t>No</t>
        </is>
      </c>
      <c r="M18" s="67" t="inlineStr">
        <is>
          <t>No</t>
        </is>
      </c>
      <c r="N18" s="73" t="inlineStr">
        <is>
          <t>No</t>
        </is>
      </c>
      <c r="O18" s="69" t="inlineStr">
        <is>
          <t>Half yearly</t>
        </is>
      </c>
      <c r="P18" s="70" t="inlineStr">
        <is>
          <t>24(1)</t>
        </is>
      </c>
    </row>
    <row r="19" hidden="1" ht="20.5" customHeight="1">
      <c r="B19" s="161" t="n">
        <v>1</v>
      </c>
      <c r="C19" s="162" t="n">
        <v>2</v>
      </c>
      <c r="E19" s="62" t="n">
        <v>4</v>
      </c>
      <c r="F19" s="63" t="inlineStr">
        <is>
          <t>Authorised AIFM with half yearly obligation</t>
        </is>
      </c>
      <c r="G19" s="427" t="n"/>
      <c r="H19" s="64" t="n">
        <v>17</v>
      </c>
      <c r="I19" s="65" t="inlineStr">
        <is>
          <t>Unleveraged EU AIF, investing in non-listed companies in order to acquire control (of an AIFM with half yearly obligation)</t>
        </is>
      </c>
      <c r="J19" s="71" t="inlineStr">
        <is>
          <t>Yes</t>
        </is>
      </c>
      <c r="K19" s="72" t="inlineStr">
        <is>
          <t>No</t>
        </is>
      </c>
      <c r="L19" s="67" t="inlineStr">
        <is>
          <t>Yes</t>
        </is>
      </c>
      <c r="M19" s="67" t="inlineStr">
        <is>
          <t>Yes/No</t>
        </is>
      </c>
      <c r="N19" s="73" t="inlineStr">
        <is>
          <t>Yes/No</t>
        </is>
      </c>
      <c r="O19" s="69" t="inlineStr">
        <is>
          <t>Yearly</t>
        </is>
      </c>
      <c r="P19" s="70" t="inlineStr">
        <is>
          <t>24(1)+(2)</t>
        </is>
      </c>
    </row>
    <row r="20" hidden="1" ht="20.5" customHeight="1">
      <c r="B20" s="161" t="n">
        <v>1</v>
      </c>
      <c r="C20" s="162" t="n">
        <v>2</v>
      </c>
      <c r="E20" s="62" t="n">
        <v>4</v>
      </c>
      <c r="F20" s="63" t="inlineStr">
        <is>
          <t>Authorised AIFM with half yearly obligation</t>
        </is>
      </c>
      <c r="G20" s="427" t="n"/>
      <c r="H20" s="64" t="n">
        <v>18</v>
      </c>
      <c r="I20" s="65" t="inlineStr">
        <is>
          <t>Unleveraged non EU AIF, investing in non-listed companies in order to acquire control (of an AIFM with half yearly obligation) marketed in the Union</t>
        </is>
      </c>
      <c r="J20" s="71" t="inlineStr">
        <is>
          <t>Yes</t>
        </is>
      </c>
      <c r="K20" s="72" t="inlineStr">
        <is>
          <t>No</t>
        </is>
      </c>
      <c r="L20" s="67" t="inlineStr">
        <is>
          <t>No</t>
        </is>
      </c>
      <c r="M20" s="67" t="inlineStr">
        <is>
          <t>Yes</t>
        </is>
      </c>
      <c r="N20" s="73" t="inlineStr">
        <is>
          <t>Yes/No</t>
        </is>
      </c>
      <c r="O20" s="69" t="inlineStr">
        <is>
          <t>Yearly</t>
        </is>
      </c>
      <c r="P20" s="70" t="inlineStr">
        <is>
          <t>24(1)+(2)</t>
        </is>
      </c>
    </row>
    <row r="21" hidden="1" ht="20.5" customHeight="1">
      <c r="B21" s="161" t="n">
        <v>1</v>
      </c>
      <c r="C21" s="162" t="n">
        <v>1</v>
      </c>
      <c r="E21" s="62" t="n">
        <v>4</v>
      </c>
      <c r="F21" s="63" t="inlineStr">
        <is>
          <t>Authorised AIFM with half yearly obligation</t>
        </is>
      </c>
      <c r="G21" s="427" t="n"/>
      <c r="H21" s="64" t="n">
        <v>19</v>
      </c>
      <c r="I21" s="65" t="inlineStr">
        <is>
          <t>Unleveraged non EU AIF, investing in non-listed companies in order to acquire control (of an AIFM with half yearly obligation) not marketed in the Union</t>
        </is>
      </c>
      <c r="J21" s="71" t="inlineStr">
        <is>
          <t>Yes</t>
        </is>
      </c>
      <c r="K21" s="72" t="inlineStr">
        <is>
          <t>No</t>
        </is>
      </c>
      <c r="L21" s="67" t="inlineStr">
        <is>
          <t>No</t>
        </is>
      </c>
      <c r="M21" s="67" t="inlineStr">
        <is>
          <t>No</t>
        </is>
      </c>
      <c r="N21" s="73" t="inlineStr">
        <is>
          <t>Yes/No</t>
        </is>
      </c>
      <c r="O21" s="69" t="inlineStr">
        <is>
          <t>Yearly</t>
        </is>
      </c>
      <c r="P21" s="70" t="inlineStr">
        <is>
          <t>24(1)</t>
        </is>
      </c>
    </row>
    <row r="22" hidden="1">
      <c r="B22" s="161" t="n">
        <v>1</v>
      </c>
      <c r="C22" s="162" t="n">
        <v>4</v>
      </c>
      <c r="E22" s="62" t="n">
        <v>4</v>
      </c>
      <c r="F22" s="63" t="inlineStr">
        <is>
          <t>Authorised AIFM with half yearly obligation</t>
        </is>
      </c>
      <c r="G22" s="427" t="n"/>
      <c r="H22" s="64" t="n">
        <v>20</v>
      </c>
      <c r="I22" s="65" t="inlineStr">
        <is>
          <t>Over 500M Leveraged EU AIF (of an AIFM with half yearly obligation)</t>
        </is>
      </c>
      <c r="J22" s="66" t="inlineStr">
        <is>
          <t>No</t>
        </is>
      </c>
      <c r="K22" s="67" t="inlineStr">
        <is>
          <t>Yes</t>
        </is>
      </c>
      <c r="L22" s="67" t="inlineStr">
        <is>
          <t>Yes</t>
        </is>
      </c>
      <c r="M22" s="67" t="inlineStr">
        <is>
          <t>Yes/No</t>
        </is>
      </c>
      <c r="N22" s="73" t="inlineStr">
        <is>
          <t>Yes</t>
        </is>
      </c>
      <c r="O22" s="69" t="inlineStr">
        <is>
          <t>Quarterly</t>
        </is>
      </c>
      <c r="P22" s="70" t="inlineStr">
        <is>
          <t>24(1)+(2)+(4)</t>
        </is>
      </c>
    </row>
    <row r="23" hidden="1" ht="20.5" customHeight="1">
      <c r="B23" s="161" t="n">
        <v>1</v>
      </c>
      <c r="C23" s="162" t="n">
        <v>4</v>
      </c>
      <c r="E23" s="62" t="n">
        <v>4</v>
      </c>
      <c r="F23" s="63" t="inlineStr">
        <is>
          <t>Authorised AIFM with half yearly obligation</t>
        </is>
      </c>
      <c r="G23" s="427" t="n"/>
      <c r="H23" s="64" t="n">
        <v>21</v>
      </c>
      <c r="I23" s="65" t="inlineStr">
        <is>
          <t>Over 500M Leveraged non EU AIF (of an AIFM with half yearly obligation) marketed in the Union</t>
        </is>
      </c>
      <c r="J23" s="66" t="inlineStr">
        <is>
          <t>No</t>
        </is>
      </c>
      <c r="K23" s="67" t="inlineStr">
        <is>
          <t>Yes</t>
        </is>
      </c>
      <c r="L23" s="67" t="inlineStr">
        <is>
          <t>No</t>
        </is>
      </c>
      <c r="M23" s="67" t="inlineStr">
        <is>
          <t>Yes</t>
        </is>
      </c>
      <c r="N23" s="73" t="inlineStr">
        <is>
          <t>Yes</t>
        </is>
      </c>
      <c r="O23" s="69" t="inlineStr">
        <is>
          <t>Quarterly</t>
        </is>
      </c>
      <c r="P23" s="70" t="inlineStr">
        <is>
          <t>24(1)+(2)+(4)</t>
        </is>
      </c>
    </row>
    <row r="24" hidden="1" ht="20.5" customHeight="1">
      <c r="B24" s="161" t="n">
        <v>1</v>
      </c>
      <c r="C24" s="162" t="n">
        <v>5</v>
      </c>
      <c r="E24" s="62" t="n">
        <v>4</v>
      </c>
      <c r="F24" s="63" t="inlineStr">
        <is>
          <t>Authorised AIFM with half yearly obligation</t>
        </is>
      </c>
      <c r="G24" s="427" t="n"/>
      <c r="H24" s="64" t="n">
        <v>22</v>
      </c>
      <c r="I24" s="65" t="inlineStr">
        <is>
          <t>Over 500M Leveraged non EU AIF (of an AIFM with half yearly obligation), not marketed in the Union</t>
        </is>
      </c>
      <c r="J24" s="66" t="inlineStr">
        <is>
          <t>No</t>
        </is>
      </c>
      <c r="K24" s="67" t="inlineStr">
        <is>
          <t>Yes</t>
        </is>
      </c>
      <c r="L24" s="67" t="inlineStr">
        <is>
          <t>No</t>
        </is>
      </c>
      <c r="M24" s="67" t="inlineStr">
        <is>
          <t>No</t>
        </is>
      </c>
      <c r="N24" s="73" t="inlineStr">
        <is>
          <t>Yes</t>
        </is>
      </c>
      <c r="O24" s="69" t="inlineStr">
        <is>
          <t>Quarterly</t>
        </is>
      </c>
      <c r="P24" s="70" t="inlineStr">
        <is>
          <t>24(1)+(4)</t>
        </is>
      </c>
    </row>
    <row r="25" hidden="1">
      <c r="B25" s="161" t="n">
        <v>1</v>
      </c>
      <c r="C25" s="162" t="n">
        <v>2</v>
      </c>
      <c r="E25" s="62" t="n">
        <v>4</v>
      </c>
      <c r="F25" s="63" t="inlineStr">
        <is>
          <t>Authorised AIFM with half yearly obligation</t>
        </is>
      </c>
      <c r="G25" s="427" t="n"/>
      <c r="H25" s="64" t="n">
        <v>23</v>
      </c>
      <c r="I25" s="65" t="inlineStr">
        <is>
          <t>Over 500M Unleveraged EU AIF (of an AIFM with half yearly obligation)</t>
        </is>
      </c>
      <c r="J25" s="71" t="inlineStr">
        <is>
          <t>No</t>
        </is>
      </c>
      <c r="K25" s="67" t="inlineStr">
        <is>
          <t>No</t>
        </is>
      </c>
      <c r="L25" s="67" t="inlineStr">
        <is>
          <t>Yes</t>
        </is>
      </c>
      <c r="M25" s="67" t="inlineStr">
        <is>
          <t>Yes/No</t>
        </is>
      </c>
      <c r="N25" s="73" t="inlineStr">
        <is>
          <t>Yes</t>
        </is>
      </c>
      <c r="O25" s="69" t="inlineStr">
        <is>
          <t>Quarterly</t>
        </is>
      </c>
      <c r="P25" s="70" t="inlineStr">
        <is>
          <t>24(1)+(2)</t>
        </is>
      </c>
    </row>
    <row r="26" hidden="1" ht="20.5" customHeight="1">
      <c r="B26" s="161" t="n">
        <v>1</v>
      </c>
      <c r="C26" s="162" t="n">
        <v>2</v>
      </c>
      <c r="E26" s="62" t="n">
        <v>4</v>
      </c>
      <c r="F26" s="63" t="inlineStr">
        <is>
          <t>Authorised AIFM with half yearly obligation</t>
        </is>
      </c>
      <c r="G26" s="427" t="n"/>
      <c r="H26" s="64" t="n">
        <v>24</v>
      </c>
      <c r="I26" s="65" t="inlineStr">
        <is>
          <t>Over 500M Unleveraged non EU AIF (of an AIFM with half yearly obligation) marketed in the Union</t>
        </is>
      </c>
      <c r="J26" s="71" t="inlineStr">
        <is>
          <t>No</t>
        </is>
      </c>
      <c r="K26" s="67" t="inlineStr">
        <is>
          <t>No</t>
        </is>
      </c>
      <c r="L26" s="67" t="inlineStr">
        <is>
          <t>No</t>
        </is>
      </c>
      <c r="M26" s="67" t="inlineStr">
        <is>
          <t>Yes</t>
        </is>
      </c>
      <c r="N26" s="73" t="inlineStr">
        <is>
          <t>Yes</t>
        </is>
      </c>
      <c r="O26" s="69" t="inlineStr">
        <is>
          <t>Quarterly</t>
        </is>
      </c>
      <c r="P26" s="70" t="inlineStr">
        <is>
          <t>24(1)+(2)</t>
        </is>
      </c>
    </row>
    <row r="27" hidden="1" ht="20.5" customHeight="1">
      <c r="B27" s="161" t="n">
        <v>1</v>
      </c>
      <c r="C27" s="162" t="n">
        <v>1</v>
      </c>
      <c r="E27" s="62" t="n">
        <v>4</v>
      </c>
      <c r="F27" s="63" t="inlineStr">
        <is>
          <t>Authorised AIFM with half yearly obligation</t>
        </is>
      </c>
      <c r="G27" s="427" t="n"/>
      <c r="H27" s="64" t="n">
        <v>25</v>
      </c>
      <c r="I27" s="65" t="inlineStr">
        <is>
          <t>Over 500M Unleveraged non EU AIF (of an AIFM with half yearly obligation), not marketed in the Union</t>
        </is>
      </c>
      <c r="J27" s="71" t="inlineStr">
        <is>
          <t>No</t>
        </is>
      </c>
      <c r="K27" s="67" t="inlineStr">
        <is>
          <t>No</t>
        </is>
      </c>
      <c r="L27" s="67" t="inlineStr">
        <is>
          <t>No</t>
        </is>
      </c>
      <c r="M27" s="67" t="inlineStr">
        <is>
          <t>No</t>
        </is>
      </c>
      <c r="N27" s="73" t="inlineStr">
        <is>
          <t>Yes</t>
        </is>
      </c>
      <c r="O27" s="69" t="inlineStr">
        <is>
          <t>Quarterly</t>
        </is>
      </c>
      <c r="P27" s="70" t="inlineStr">
        <is>
          <t>24(1)</t>
        </is>
      </c>
    </row>
    <row r="28" hidden="1" ht="20.5" customHeight="1">
      <c r="B28" s="161" t="n">
        <v>1</v>
      </c>
      <c r="C28" s="162" t="n">
        <v>2</v>
      </c>
      <c r="E28" s="62" t="n">
        <v>5</v>
      </c>
      <c r="F28" s="63" t="inlineStr">
        <is>
          <t>Authorised AIFM with quarterly obligation</t>
        </is>
      </c>
      <c r="G28" s="427" t="n"/>
      <c r="H28" s="64" t="n">
        <v>26</v>
      </c>
      <c r="I28" s="65" t="inlineStr">
        <is>
          <t>Unleveraged EU AIF, investing in non-listed companies in order to acquire control (of an AIFM with quarterly obligation)</t>
        </is>
      </c>
      <c r="J28" s="71" t="inlineStr">
        <is>
          <t>Yes</t>
        </is>
      </c>
      <c r="K28" s="72" t="inlineStr">
        <is>
          <t>No</t>
        </is>
      </c>
      <c r="L28" s="67" t="inlineStr">
        <is>
          <t>Yes</t>
        </is>
      </c>
      <c r="M28" s="67" t="inlineStr">
        <is>
          <t>Yes/No</t>
        </is>
      </c>
      <c r="N28" s="73" t="inlineStr">
        <is>
          <t>Yes/No</t>
        </is>
      </c>
      <c r="O28" s="69" t="inlineStr">
        <is>
          <t>Yearly</t>
        </is>
      </c>
      <c r="P28" s="70" t="inlineStr">
        <is>
          <t>24(1)+(2)</t>
        </is>
      </c>
    </row>
    <row r="29" hidden="1" ht="20.5" customHeight="1">
      <c r="B29" s="161" t="n">
        <v>1</v>
      </c>
      <c r="C29" s="162" t="n">
        <v>2</v>
      </c>
      <c r="E29" s="62" t="n">
        <v>5</v>
      </c>
      <c r="F29" s="63" t="inlineStr">
        <is>
          <t>Authorised AIFM with quarterly obligation</t>
        </is>
      </c>
      <c r="G29" s="427" t="n"/>
      <c r="H29" s="64" t="n">
        <v>27</v>
      </c>
      <c r="I29" s="65" t="inlineStr">
        <is>
          <t>Unleveraged non EU AIF, investing in non-listed companies in order to acquire control (of an AIFM with quarterly obligation) marketed in the Union</t>
        </is>
      </c>
      <c r="J29" s="71" t="inlineStr">
        <is>
          <t>Yes</t>
        </is>
      </c>
      <c r="K29" s="67" t="inlineStr">
        <is>
          <t>No</t>
        </is>
      </c>
      <c r="L29" s="67" t="inlineStr">
        <is>
          <t>No</t>
        </is>
      </c>
      <c r="M29" s="67" t="inlineStr">
        <is>
          <t>Yes</t>
        </is>
      </c>
      <c r="N29" s="73" t="inlineStr">
        <is>
          <t>Yes/No</t>
        </is>
      </c>
      <c r="O29" s="69" t="inlineStr">
        <is>
          <t>Yearly</t>
        </is>
      </c>
      <c r="P29" s="70" t="inlineStr">
        <is>
          <t>24(1)+(2)</t>
        </is>
      </c>
    </row>
    <row r="30" hidden="1" ht="20.5" customHeight="1">
      <c r="B30" s="161" t="n">
        <v>1</v>
      </c>
      <c r="C30" s="162" t="n">
        <v>1</v>
      </c>
      <c r="E30" s="62" t="n">
        <v>5</v>
      </c>
      <c r="F30" s="63" t="inlineStr">
        <is>
          <t>Authorised AIFM with quarterly obligation</t>
        </is>
      </c>
      <c r="G30" s="427" t="n"/>
      <c r="H30" s="64" t="n">
        <v>28</v>
      </c>
      <c r="I30" s="65" t="inlineStr">
        <is>
          <t>Unleveraged non EU AIF, investing in non-listed companies in order to acquire control (of an AIFM with quarterly obligation) not marketed in the Union</t>
        </is>
      </c>
      <c r="J30" s="71" t="inlineStr">
        <is>
          <t>Yes</t>
        </is>
      </c>
      <c r="K30" s="72" t="inlineStr">
        <is>
          <t>No</t>
        </is>
      </c>
      <c r="L30" s="67" t="inlineStr">
        <is>
          <t>No</t>
        </is>
      </c>
      <c r="M30" s="67" t="inlineStr">
        <is>
          <t>No</t>
        </is>
      </c>
      <c r="N30" s="73" t="inlineStr">
        <is>
          <t>Yes/No</t>
        </is>
      </c>
      <c r="O30" s="69" t="inlineStr">
        <is>
          <t>Yearly</t>
        </is>
      </c>
      <c r="P30" s="70" t="inlineStr">
        <is>
          <t>24(1)</t>
        </is>
      </c>
    </row>
    <row r="31" hidden="1">
      <c r="B31" s="161" t="n">
        <v>1</v>
      </c>
      <c r="C31" s="162" t="n">
        <v>4</v>
      </c>
      <c r="E31" s="62" t="n">
        <v>5</v>
      </c>
      <c r="F31" s="63" t="inlineStr">
        <is>
          <t>Authorised AIFM with quarterly obligation</t>
        </is>
      </c>
      <c r="G31" s="427" t="n"/>
      <c r="H31" s="64" t="n">
        <v>29</v>
      </c>
      <c r="I31" s="65" t="inlineStr">
        <is>
          <t>Leveraged EU AIF (of an AIFM with quarterly obligation)</t>
        </is>
      </c>
      <c r="J31" s="66" t="inlineStr">
        <is>
          <t>No</t>
        </is>
      </c>
      <c r="K31" s="67" t="inlineStr">
        <is>
          <t>Yes</t>
        </is>
      </c>
      <c r="L31" s="67" t="inlineStr">
        <is>
          <t>Yes</t>
        </is>
      </c>
      <c r="M31" s="67" t="inlineStr">
        <is>
          <t>Yes/No</t>
        </is>
      </c>
      <c r="N31" s="73" t="inlineStr">
        <is>
          <t>Yes/No</t>
        </is>
      </c>
      <c r="O31" s="69" t="inlineStr">
        <is>
          <t>Quarterly</t>
        </is>
      </c>
      <c r="P31" s="70" t="inlineStr">
        <is>
          <t>24(1)+(2)+(4)</t>
        </is>
      </c>
    </row>
    <row r="32" hidden="1" ht="20.5" customHeight="1">
      <c r="B32" s="161" t="n">
        <v>1</v>
      </c>
      <c r="C32" s="162" t="n">
        <v>4</v>
      </c>
      <c r="E32" s="62" t="n">
        <v>5</v>
      </c>
      <c r="F32" s="63" t="inlineStr">
        <is>
          <t>Authorised AIFM with quarterly obligation</t>
        </is>
      </c>
      <c r="G32" s="427" t="n"/>
      <c r="H32" s="64" t="n">
        <v>30</v>
      </c>
      <c r="I32" s="65" t="inlineStr">
        <is>
          <t>Leveraged non EU AIF (of an AIFM with quarterly obligation) marketed in the Union</t>
        </is>
      </c>
      <c r="J32" s="66" t="inlineStr">
        <is>
          <t>No</t>
        </is>
      </c>
      <c r="K32" s="67" t="inlineStr">
        <is>
          <t>Yes</t>
        </is>
      </c>
      <c r="L32" s="67" t="inlineStr">
        <is>
          <t>No</t>
        </is>
      </c>
      <c r="M32" s="67" t="inlineStr">
        <is>
          <t>Yes</t>
        </is>
      </c>
      <c r="N32" s="73" t="inlineStr">
        <is>
          <t>Yes/No</t>
        </is>
      </c>
      <c r="O32" s="69" t="inlineStr">
        <is>
          <t>Quarterly</t>
        </is>
      </c>
      <c r="P32" s="70" t="inlineStr">
        <is>
          <t>24(1)+(2)+(4)</t>
        </is>
      </c>
    </row>
    <row r="33" hidden="1" ht="20.5" customHeight="1">
      <c r="B33" s="161" t="n">
        <v>1</v>
      </c>
      <c r="C33" s="162" t="n">
        <v>5</v>
      </c>
      <c r="E33" s="62" t="n">
        <v>5</v>
      </c>
      <c r="F33" s="63" t="inlineStr">
        <is>
          <t>Authorised AIFM with quarterly obligation</t>
        </is>
      </c>
      <c r="G33" s="427" t="n"/>
      <c r="H33" s="64" t="n">
        <v>31</v>
      </c>
      <c r="I33" s="65" t="inlineStr">
        <is>
          <t>Leveraged non EU AIF (of an AIFM with quarterly obligation), not marketed in the Union</t>
        </is>
      </c>
      <c r="J33" s="66" t="inlineStr">
        <is>
          <t>No</t>
        </is>
      </c>
      <c r="K33" s="67" t="inlineStr">
        <is>
          <t>Yes</t>
        </is>
      </c>
      <c r="L33" s="67" t="inlineStr">
        <is>
          <t>No</t>
        </is>
      </c>
      <c r="M33" s="67" t="inlineStr">
        <is>
          <t>No</t>
        </is>
      </c>
      <c r="N33" s="73" t="inlineStr">
        <is>
          <t>Yes/No</t>
        </is>
      </c>
      <c r="O33" s="69" t="inlineStr">
        <is>
          <t>Quarterly</t>
        </is>
      </c>
      <c r="P33" s="70" t="inlineStr">
        <is>
          <t>24(1)+(4)</t>
        </is>
      </c>
    </row>
    <row r="34" hidden="1">
      <c r="B34" s="161" t="n">
        <v>1</v>
      </c>
      <c r="C34" s="162" t="n">
        <v>2</v>
      </c>
      <c r="E34" s="62" t="n">
        <v>5</v>
      </c>
      <c r="F34" s="63" t="inlineStr">
        <is>
          <t>Authorised AIFM with quarterly obligation</t>
        </is>
      </c>
      <c r="G34" s="427" t="n"/>
      <c r="H34" s="64" t="n">
        <v>32</v>
      </c>
      <c r="I34" s="65" t="inlineStr">
        <is>
          <t>Unleveraged EU AIF (of an AIFM with quarterly obligation)</t>
        </is>
      </c>
      <c r="J34" s="71" t="inlineStr">
        <is>
          <t>No</t>
        </is>
      </c>
      <c r="K34" s="67" t="inlineStr">
        <is>
          <t>No</t>
        </is>
      </c>
      <c r="L34" s="67" t="inlineStr">
        <is>
          <t>Yes</t>
        </is>
      </c>
      <c r="M34" s="67" t="inlineStr">
        <is>
          <t>Yes/No</t>
        </is>
      </c>
      <c r="N34" s="73" t="inlineStr">
        <is>
          <t>Yes/No</t>
        </is>
      </c>
      <c r="O34" s="69" t="inlineStr">
        <is>
          <t>Quarterly</t>
        </is>
      </c>
      <c r="P34" s="70" t="inlineStr">
        <is>
          <t>24(1)+(2)</t>
        </is>
      </c>
    </row>
    <row r="35" hidden="1" ht="20.5" customHeight="1">
      <c r="B35" s="161" t="n">
        <v>1</v>
      </c>
      <c r="C35" s="162" t="n">
        <v>2</v>
      </c>
      <c r="E35" s="62" t="n">
        <v>5</v>
      </c>
      <c r="F35" s="63" t="inlineStr">
        <is>
          <t>Authorised AIFM with quarterly obligation</t>
        </is>
      </c>
      <c r="G35" s="427" t="n"/>
      <c r="H35" s="64" t="n">
        <v>33</v>
      </c>
      <c r="I35" s="65" t="inlineStr">
        <is>
          <t>Unleveraged non EU AIF (of an AIFM with quarterly obligation) marketed in the Union</t>
        </is>
      </c>
      <c r="J35" s="71" t="inlineStr">
        <is>
          <t>No</t>
        </is>
      </c>
      <c r="K35" s="67" t="inlineStr">
        <is>
          <t>No</t>
        </is>
      </c>
      <c r="L35" s="67" t="inlineStr">
        <is>
          <t>No</t>
        </is>
      </c>
      <c r="M35" s="67" t="inlineStr">
        <is>
          <t>Yes</t>
        </is>
      </c>
      <c r="N35" s="73" t="inlineStr">
        <is>
          <t>Yes/No</t>
        </is>
      </c>
      <c r="O35" s="69" t="inlineStr">
        <is>
          <t>Quarterly</t>
        </is>
      </c>
      <c r="P35" s="70" t="inlineStr">
        <is>
          <t>24(1)+(2)</t>
        </is>
      </c>
    </row>
    <row r="36" hidden="1" ht="20.5" customHeight="1">
      <c r="B36" s="161" t="n">
        <v>1</v>
      </c>
      <c r="C36" s="162" t="n">
        <v>1</v>
      </c>
      <c r="E36" s="62" t="n">
        <v>5</v>
      </c>
      <c r="F36" s="63" t="inlineStr">
        <is>
          <t>Authorised AIFM with quarterly obligation</t>
        </is>
      </c>
      <c r="G36" s="427" t="n"/>
      <c r="H36" s="64" t="n">
        <v>34</v>
      </c>
      <c r="I36" s="65" t="inlineStr">
        <is>
          <t>Unleveraged non EU AIF (of an AIFM with quarterly obligation), not marketed in the Union</t>
        </is>
      </c>
      <c r="J36" s="71" t="inlineStr">
        <is>
          <t>No</t>
        </is>
      </c>
      <c r="K36" s="67" t="inlineStr">
        <is>
          <t>No</t>
        </is>
      </c>
      <c r="L36" s="67" t="inlineStr">
        <is>
          <t>No</t>
        </is>
      </c>
      <c r="M36" s="67" t="inlineStr">
        <is>
          <t>No</t>
        </is>
      </c>
      <c r="N36" s="73" t="inlineStr">
        <is>
          <t>Yes/No</t>
        </is>
      </c>
      <c r="O36" s="69" t="inlineStr">
        <is>
          <t>Quarterly</t>
        </is>
      </c>
      <c r="P36" s="70" t="inlineStr">
        <is>
          <t>24(1)</t>
        </is>
      </c>
    </row>
    <row r="37" hidden="1" ht="20.5" customHeight="1">
      <c r="B37" s="161" t="n">
        <v>3</v>
      </c>
      <c r="C37" s="162" t="n">
        <v>4</v>
      </c>
      <c r="E37" s="62" t="n">
        <v>6</v>
      </c>
      <c r="F37" s="63" t="inlineStr">
        <is>
          <t>Non-EU AIFM under Private Placement Regime with annual obligation</t>
        </is>
      </c>
      <c r="G37" s="427" t="n"/>
      <c r="H37" s="64" t="n">
        <v>35</v>
      </c>
      <c r="I37" s="65" t="inlineStr">
        <is>
          <t>Leveraged AIF (of an AIFM under Private Placement Regime with yearly obligation) marketed in the Union</t>
        </is>
      </c>
      <c r="J37" s="66" t="inlineStr">
        <is>
          <t>No</t>
        </is>
      </c>
      <c r="K37" s="67" t="inlineStr">
        <is>
          <t>Yes</t>
        </is>
      </c>
      <c r="L37" s="67" t="inlineStr">
        <is>
          <t>No</t>
        </is>
      </c>
      <c r="M37" s="67" t="inlineStr">
        <is>
          <t>Yes</t>
        </is>
      </c>
      <c r="N37" s="68" t="inlineStr">
        <is>
          <t>No</t>
        </is>
      </c>
      <c r="O37" s="69" t="inlineStr">
        <is>
          <t>Yearly</t>
        </is>
      </c>
      <c r="P37" s="70" t="inlineStr">
        <is>
          <t>24(1)+(2)+(4)</t>
        </is>
      </c>
    </row>
    <row r="38" hidden="1" ht="20.5" customHeight="1">
      <c r="B38" s="161" t="n">
        <v>3</v>
      </c>
      <c r="C38" s="162" t="n">
        <v>2</v>
      </c>
      <c r="E38" s="62" t="n">
        <v>6</v>
      </c>
      <c r="F38" s="63" t="inlineStr">
        <is>
          <t>Non-EU AIFM under Private Placement Regime with annual obligation</t>
        </is>
      </c>
      <c r="G38" s="427" t="n"/>
      <c r="H38" s="64" t="n">
        <v>36</v>
      </c>
      <c r="I38" s="65" t="inlineStr">
        <is>
          <t>Unleveraged AIF (of an AIFM under Private Placement Regime with yearly obligation) marketed in the Union</t>
        </is>
      </c>
      <c r="J38" s="71" t="inlineStr">
        <is>
          <t>Yes/No</t>
        </is>
      </c>
      <c r="K38" s="72" t="inlineStr">
        <is>
          <t>No</t>
        </is>
      </c>
      <c r="L38" s="67" t="inlineStr">
        <is>
          <t>No</t>
        </is>
      </c>
      <c r="M38" s="67" t="inlineStr">
        <is>
          <t>Yes</t>
        </is>
      </c>
      <c r="N38" s="68" t="inlineStr">
        <is>
          <t>No</t>
        </is>
      </c>
      <c r="O38" s="69" t="inlineStr">
        <is>
          <t>Yearly</t>
        </is>
      </c>
      <c r="P38" s="70" t="inlineStr">
        <is>
          <t>24(1)+(2)</t>
        </is>
      </c>
    </row>
    <row r="39" hidden="1">
      <c r="B39" s="161" t="n">
        <v>3</v>
      </c>
      <c r="C39" s="165" t="inlineStr">
        <is>
          <t>N/A</t>
        </is>
      </c>
      <c r="E39" s="62" t="n">
        <v>6</v>
      </c>
      <c r="F39" s="63" t="inlineStr">
        <is>
          <t>Non-EU AIFM under Private Placement Regime with annual obligation</t>
        </is>
      </c>
      <c r="G39" s="427" t="n"/>
      <c r="H39" s="64">
        <f>""</f>
        <v/>
      </c>
      <c r="I39" s="65" t="inlineStr">
        <is>
          <t>AIF not marketed in the Member State</t>
        </is>
      </c>
      <c r="J39" s="71" t="inlineStr">
        <is>
          <t>Yes/No</t>
        </is>
      </c>
      <c r="K39" s="67" t="inlineStr">
        <is>
          <t>Yes/No</t>
        </is>
      </c>
      <c r="L39" s="67" t="inlineStr">
        <is>
          <t>Yes/No</t>
        </is>
      </c>
      <c r="M39" s="67" t="inlineStr">
        <is>
          <t>No</t>
        </is>
      </c>
      <c r="N39" s="74" t="inlineStr">
        <is>
          <t>Yes/No</t>
        </is>
      </c>
      <c r="O39" s="69" t="inlineStr">
        <is>
          <t>N/A</t>
        </is>
      </c>
      <c r="P39" s="70" t="inlineStr">
        <is>
          <t>N/A</t>
        </is>
      </c>
    </row>
    <row r="40" hidden="1" ht="30.5" customHeight="1">
      <c r="B40" s="161" t="n">
        <v>3</v>
      </c>
      <c r="C40" s="165" t="n">
        <v>2</v>
      </c>
      <c r="E40" s="62" t="n">
        <v>7</v>
      </c>
      <c r="F40" s="63" t="inlineStr">
        <is>
          <t>Non-EU AIFM under Private Placement Regime with only unleveraged AIFs investing in non-listed companies and issuers in order to acquire control</t>
        </is>
      </c>
      <c r="G40" s="427" t="n"/>
      <c r="H40" s="64" t="n">
        <v>37</v>
      </c>
      <c r="I40" s="65" t="inlineStr">
        <is>
          <t>Unleveraged AIF (of an AIFM under Private Placement Regime with only unleveraged AIFs investing in non-listed companies and issuers in order to acquire control) marketed in the Union</t>
        </is>
      </c>
      <c r="J40" s="66" t="inlineStr">
        <is>
          <t>Yes</t>
        </is>
      </c>
      <c r="K40" s="72" t="inlineStr">
        <is>
          <t>No</t>
        </is>
      </c>
      <c r="L40" s="67" t="inlineStr">
        <is>
          <t>No</t>
        </is>
      </c>
      <c r="M40" s="67" t="inlineStr">
        <is>
          <t>Yes</t>
        </is>
      </c>
      <c r="N40" s="73" t="inlineStr">
        <is>
          <t>Yes/No</t>
        </is>
      </c>
      <c r="O40" s="69" t="inlineStr">
        <is>
          <t>Yearly</t>
        </is>
      </c>
      <c r="P40" s="70" t="inlineStr">
        <is>
          <t>24(1)+(2)</t>
        </is>
      </c>
    </row>
    <row r="41" hidden="1" ht="21" customHeight="1">
      <c r="B41" s="161" t="n">
        <v>3</v>
      </c>
      <c r="C41" s="165" t="inlineStr">
        <is>
          <t>N/A</t>
        </is>
      </c>
      <c r="E41" s="62" t="n">
        <v>7</v>
      </c>
      <c r="F41" s="63" t="inlineStr">
        <is>
          <t>Non-EU AIFM under Private Placement Regime with only unleveraged AIFs investing in non-listed companies and issuers in order to acquire control</t>
        </is>
      </c>
      <c r="G41" s="427" t="n"/>
      <c r="H41" s="64">
        <f>""</f>
        <v/>
      </c>
      <c r="I41" s="65" t="inlineStr">
        <is>
          <t>AIF not marketed in the Member State</t>
        </is>
      </c>
      <c r="J41" s="71" t="inlineStr">
        <is>
          <t>Yes/No</t>
        </is>
      </c>
      <c r="K41" s="67" t="inlineStr">
        <is>
          <t>Yes/No</t>
        </is>
      </c>
      <c r="L41" s="67" t="inlineStr">
        <is>
          <t>Yes/No</t>
        </is>
      </c>
      <c r="M41" s="67" t="inlineStr">
        <is>
          <t>No</t>
        </is>
      </c>
      <c r="N41" s="74" t="inlineStr">
        <is>
          <t>Yes/No</t>
        </is>
      </c>
      <c r="O41" s="69" t="inlineStr">
        <is>
          <t>N/A</t>
        </is>
      </c>
      <c r="P41" s="70" t="inlineStr">
        <is>
          <t>N/A</t>
        </is>
      </c>
    </row>
    <row r="42" hidden="1" ht="20.5" customHeight="1">
      <c r="B42" s="161" t="n">
        <v>3</v>
      </c>
      <c r="C42" s="165" t="n">
        <v>4</v>
      </c>
      <c r="E42" s="62" t="n">
        <v>8</v>
      </c>
      <c r="F42" s="63" t="inlineStr">
        <is>
          <t>Non-EU AIFM under Private Placement Regime with half yearly obligation</t>
        </is>
      </c>
      <c r="G42" s="427" t="n"/>
      <c r="H42" s="64" t="n">
        <v>38</v>
      </c>
      <c r="I42" s="65" t="inlineStr">
        <is>
          <t>Under 500M Leveraged AIF (of an AIFM under Private Placement Regime with half yearly obligation) marketed in the union</t>
        </is>
      </c>
      <c r="J42" s="66" t="inlineStr">
        <is>
          <t>No</t>
        </is>
      </c>
      <c r="K42" s="67" t="inlineStr">
        <is>
          <t>Yes</t>
        </is>
      </c>
      <c r="L42" s="67" t="inlineStr">
        <is>
          <t>No</t>
        </is>
      </c>
      <c r="M42" s="67" t="inlineStr">
        <is>
          <t>Yes</t>
        </is>
      </c>
      <c r="N42" s="73" t="inlineStr">
        <is>
          <t>No</t>
        </is>
      </c>
      <c r="O42" s="69" t="inlineStr">
        <is>
          <t>Half yearly</t>
        </is>
      </c>
      <c r="P42" s="70" t="inlineStr">
        <is>
          <t>24(1)+(2)+(4)</t>
        </is>
      </c>
    </row>
    <row r="43" hidden="1" ht="20.5" customHeight="1">
      <c r="B43" s="161" t="n">
        <v>3</v>
      </c>
      <c r="C43" s="165" t="n">
        <v>2</v>
      </c>
      <c r="E43" s="62" t="n">
        <v>8</v>
      </c>
      <c r="F43" s="63" t="inlineStr">
        <is>
          <t>Non-EU AIFM under Private Placement Regime with half yearly obligation</t>
        </is>
      </c>
      <c r="G43" s="427" t="n"/>
      <c r="H43" s="64" t="n">
        <v>39</v>
      </c>
      <c r="I43" s="65" t="inlineStr">
        <is>
          <t>Under 500M Unleveraged AIF (of an AIFM under Private Placement Regime with half yearly obligation) marketed in the union</t>
        </is>
      </c>
      <c r="J43" s="71" t="inlineStr">
        <is>
          <t>No</t>
        </is>
      </c>
      <c r="K43" s="67" t="inlineStr">
        <is>
          <t>No</t>
        </is>
      </c>
      <c r="L43" s="67" t="inlineStr">
        <is>
          <t>No</t>
        </is>
      </c>
      <c r="M43" s="67" t="inlineStr">
        <is>
          <t>Yes</t>
        </is>
      </c>
      <c r="N43" s="73" t="inlineStr">
        <is>
          <t>No</t>
        </is>
      </c>
      <c r="O43" s="69" t="inlineStr">
        <is>
          <t>Half yearly</t>
        </is>
      </c>
      <c r="P43" s="70" t="inlineStr">
        <is>
          <t>24(1)+(2)</t>
        </is>
      </c>
    </row>
    <row r="44" hidden="1" ht="30.5" customHeight="1">
      <c r="B44" s="161" t="n">
        <v>3</v>
      </c>
      <c r="C44" s="165" t="n">
        <v>2</v>
      </c>
      <c r="E44" s="62" t="n">
        <v>8</v>
      </c>
      <c r="F44" s="63" t="inlineStr">
        <is>
          <t>Non-EU AIFM under Private Placement Regime with half yearly obligation</t>
        </is>
      </c>
      <c r="G44" s="427" t="n"/>
      <c r="H44" s="64" t="n">
        <v>40</v>
      </c>
      <c r="I44" s="65" t="inlineStr">
        <is>
          <t>Unleveraged AIF, investing in non-listed companies in order to acquire control (of an AIFM under Private Placement Regime with half yearly obligation) marketed in the Union</t>
        </is>
      </c>
      <c r="J44" s="71" t="inlineStr">
        <is>
          <t>Yes</t>
        </is>
      </c>
      <c r="K44" s="72" t="inlineStr">
        <is>
          <t>No</t>
        </is>
      </c>
      <c r="L44" s="67" t="inlineStr">
        <is>
          <t>No</t>
        </is>
      </c>
      <c r="M44" s="67" t="inlineStr">
        <is>
          <t>Yes</t>
        </is>
      </c>
      <c r="N44" s="73" t="inlineStr">
        <is>
          <t>Yes/No</t>
        </is>
      </c>
      <c r="O44" s="69" t="inlineStr">
        <is>
          <t>Yearly</t>
        </is>
      </c>
      <c r="P44" s="70" t="inlineStr">
        <is>
          <t>24(1)+(2)</t>
        </is>
      </c>
    </row>
    <row r="45" ht="20.5" customHeight="1">
      <c r="B45" s="161" t="n">
        <v>3</v>
      </c>
      <c r="C45" s="165" t="n">
        <v>4</v>
      </c>
      <c r="E45" s="62" t="n">
        <v>8</v>
      </c>
      <c r="F45" s="63" t="inlineStr">
        <is>
          <t>Non-EU AIFM under Private Placement Regime with half yearly obligation</t>
        </is>
      </c>
      <c r="G45" s="427" t="n"/>
      <c r="H45" s="64" t="n">
        <v>41</v>
      </c>
      <c r="I45" s="65" t="inlineStr">
        <is>
          <t>Over 500M Leveraged AIF (of an AIFM under Private Placement Regime with half yearly obligation) marketed in the union</t>
        </is>
      </c>
      <c r="J45" s="66" t="inlineStr">
        <is>
          <t>No</t>
        </is>
      </c>
      <c r="K45" s="67" t="inlineStr">
        <is>
          <t>Yes</t>
        </is>
      </c>
      <c r="L45" s="67" t="inlineStr">
        <is>
          <t>No</t>
        </is>
      </c>
      <c r="M45" s="67" t="inlineStr">
        <is>
          <t>Yes</t>
        </is>
      </c>
      <c r="N45" s="73" t="inlineStr">
        <is>
          <t>Yes</t>
        </is>
      </c>
      <c r="O45" s="69" t="inlineStr">
        <is>
          <t>Quarterly</t>
        </is>
      </c>
      <c r="P45" s="70" t="inlineStr">
        <is>
          <t>24(1)+(2)+(4)</t>
        </is>
      </c>
    </row>
    <row r="46" ht="20.5" customHeight="1">
      <c r="B46" s="161" t="n">
        <v>3</v>
      </c>
      <c r="C46" s="165" t="n">
        <v>2</v>
      </c>
      <c r="E46" s="62" t="n">
        <v>8</v>
      </c>
      <c r="F46" s="63" t="inlineStr">
        <is>
          <t>Non-EU AIFM under Private Placement Regime with half yearly obligation</t>
        </is>
      </c>
      <c r="G46" s="427" t="n"/>
      <c r="H46" s="64" t="n">
        <v>42</v>
      </c>
      <c r="I46" s="65" t="inlineStr">
        <is>
          <t>Over 500M Unleveraged AIF (of an AIFM under Private Placement Regime with half yearly obligation) marketed in the union</t>
        </is>
      </c>
      <c r="J46" s="71" t="inlineStr">
        <is>
          <t>No</t>
        </is>
      </c>
      <c r="K46" s="67" t="inlineStr">
        <is>
          <t>No</t>
        </is>
      </c>
      <c r="L46" s="67" t="inlineStr">
        <is>
          <t>No</t>
        </is>
      </c>
      <c r="M46" s="67" t="inlineStr">
        <is>
          <t>Yes</t>
        </is>
      </c>
      <c r="N46" s="73" t="inlineStr">
        <is>
          <t>Yes</t>
        </is>
      </c>
      <c r="O46" s="69" t="inlineStr">
        <is>
          <t>Quarterly</t>
        </is>
      </c>
      <c r="P46" s="70" t="inlineStr">
        <is>
          <t>24(1)+(2)</t>
        </is>
      </c>
    </row>
    <row r="47" hidden="1">
      <c r="B47" s="161" t="n">
        <v>3</v>
      </c>
      <c r="C47" s="165" t="inlineStr">
        <is>
          <t>N/A</t>
        </is>
      </c>
      <c r="E47" s="62" t="n">
        <v>8</v>
      </c>
      <c r="F47" s="63" t="inlineStr">
        <is>
          <t>Non-EU AIFM under Private Placement Regime with half yearly obligation</t>
        </is>
      </c>
      <c r="G47" s="427" t="n"/>
      <c r="H47" s="64">
        <f>""</f>
        <v/>
      </c>
      <c r="I47" s="65" t="inlineStr">
        <is>
          <t>AIF not marketed in the Member State</t>
        </is>
      </c>
      <c r="J47" s="71" t="inlineStr">
        <is>
          <t>Yes/No</t>
        </is>
      </c>
      <c r="K47" s="67" t="inlineStr">
        <is>
          <t>Yes/No</t>
        </is>
      </c>
      <c r="L47" s="67" t="inlineStr">
        <is>
          <t>Yes/No</t>
        </is>
      </c>
      <c r="M47" s="67" t="inlineStr">
        <is>
          <t>No</t>
        </is>
      </c>
      <c r="N47" s="74" t="inlineStr">
        <is>
          <t>Yes/No</t>
        </is>
      </c>
      <c r="O47" s="69" t="inlineStr">
        <is>
          <t>N/A</t>
        </is>
      </c>
      <c r="P47" s="70" t="inlineStr">
        <is>
          <t>N/A</t>
        </is>
      </c>
    </row>
    <row r="48" hidden="1" ht="30.5" customHeight="1">
      <c r="B48" s="161" t="n">
        <v>3</v>
      </c>
      <c r="C48" s="165" t="n">
        <v>2</v>
      </c>
      <c r="E48" s="62" t="n">
        <v>9</v>
      </c>
      <c r="F48" s="63" t="inlineStr">
        <is>
          <t>Non-EU AIFM under Private Placement Regime with quarterly obligation</t>
        </is>
      </c>
      <c r="G48" s="427" t="n"/>
      <c r="H48" s="64" t="n">
        <v>43</v>
      </c>
      <c r="I48" s="65" t="inlineStr">
        <is>
          <t>Unleveraged AIF, investing in non-listed companies in order to acquire control (of an AIFM under Private Placement Regime with quarterly obligation) marketed in the Union</t>
        </is>
      </c>
      <c r="J48" s="71" t="inlineStr">
        <is>
          <t>Yes</t>
        </is>
      </c>
      <c r="K48" s="72" t="inlineStr">
        <is>
          <t>No</t>
        </is>
      </c>
      <c r="L48" s="67" t="inlineStr">
        <is>
          <t>No</t>
        </is>
      </c>
      <c r="M48" s="67" t="inlineStr">
        <is>
          <t>Yes</t>
        </is>
      </c>
      <c r="N48" s="73" t="inlineStr">
        <is>
          <t>Yes/No</t>
        </is>
      </c>
      <c r="O48" s="69" t="inlineStr">
        <is>
          <t>Yearly</t>
        </is>
      </c>
      <c r="P48" s="70" t="inlineStr">
        <is>
          <t>24(1)+(2)</t>
        </is>
      </c>
    </row>
    <row r="49" ht="20.5" customHeight="1">
      <c r="B49" s="161" t="n">
        <v>3</v>
      </c>
      <c r="C49" s="165" t="n">
        <v>4</v>
      </c>
      <c r="E49" s="62" t="n">
        <v>9</v>
      </c>
      <c r="F49" s="63" t="inlineStr">
        <is>
          <t>Non-EU AIFM under Private Placement Regime with quarterly obligation</t>
        </is>
      </c>
      <c r="G49" s="427" t="n"/>
      <c r="H49" s="64" t="n">
        <v>44</v>
      </c>
      <c r="I49" s="65" t="inlineStr">
        <is>
          <t>Leveraged AIF (of an AIFM under Private Placement Regime with quarterly obligation) marketed in the Union</t>
        </is>
      </c>
      <c r="J49" s="66" t="inlineStr">
        <is>
          <t>No</t>
        </is>
      </c>
      <c r="K49" s="67" t="inlineStr">
        <is>
          <t>Yes</t>
        </is>
      </c>
      <c r="L49" s="67" t="inlineStr">
        <is>
          <t>No</t>
        </is>
      </c>
      <c r="M49" s="67" t="inlineStr">
        <is>
          <t>Yes</t>
        </is>
      </c>
      <c r="N49" s="73" t="inlineStr">
        <is>
          <t>Yes/No</t>
        </is>
      </c>
      <c r="O49" s="69" t="inlineStr">
        <is>
          <t>Quarterly</t>
        </is>
      </c>
      <c r="P49" s="70" t="inlineStr">
        <is>
          <t>24(1)+(2)+(4)</t>
        </is>
      </c>
    </row>
    <row r="50" ht="20.5" customHeight="1">
      <c r="B50" s="161" t="n">
        <v>3</v>
      </c>
      <c r="C50" s="165" t="n">
        <v>2</v>
      </c>
      <c r="E50" s="62" t="n">
        <v>9</v>
      </c>
      <c r="F50" s="63" t="inlineStr">
        <is>
          <t>Non-EU AIFM under Private Placement Regime with quarterly obligation</t>
        </is>
      </c>
      <c r="G50" s="427" t="n"/>
      <c r="H50" s="64" t="n">
        <v>45</v>
      </c>
      <c r="I50" s="65" t="inlineStr">
        <is>
          <t>Unleveraged AIF (of an AIFM under Private Placement Regime with quarterly obligation) marketed in the Union</t>
        </is>
      </c>
      <c r="J50" s="71" t="inlineStr">
        <is>
          <t>No</t>
        </is>
      </c>
      <c r="K50" s="67" t="inlineStr">
        <is>
          <t>No</t>
        </is>
      </c>
      <c r="L50" s="67" t="inlineStr">
        <is>
          <t>No</t>
        </is>
      </c>
      <c r="M50" s="67" t="inlineStr">
        <is>
          <t>Yes</t>
        </is>
      </c>
      <c r="N50" s="73" t="inlineStr">
        <is>
          <t>Yes/No</t>
        </is>
      </c>
      <c r="O50" s="69" t="inlineStr">
        <is>
          <t>Quarterly</t>
        </is>
      </c>
      <c r="P50" s="70" t="inlineStr">
        <is>
          <t>24(1)+(2)</t>
        </is>
      </c>
    </row>
    <row r="51" hidden="1" ht="11" customHeight="1" thickBot="1">
      <c r="B51" s="163" t="n">
        <v>3</v>
      </c>
      <c r="C51" s="166" t="inlineStr">
        <is>
          <t>N/A</t>
        </is>
      </c>
      <c r="E51" s="75" t="n">
        <v>9</v>
      </c>
      <c r="F51" s="76" t="inlineStr">
        <is>
          <t>Non-EU AIFM under Private Placement Regime with quarterly obligation</t>
        </is>
      </c>
      <c r="G51" s="428" t="n"/>
      <c r="H51" s="77">
        <f>""</f>
        <v/>
      </c>
      <c r="I51" s="78" t="inlineStr">
        <is>
          <t>AIF not marketed in the Member State</t>
        </is>
      </c>
      <c r="J51" s="79" t="inlineStr">
        <is>
          <t>Yes/No</t>
        </is>
      </c>
      <c r="K51" s="80" t="inlineStr">
        <is>
          <t>Yes/No</t>
        </is>
      </c>
      <c r="L51" s="80" t="inlineStr">
        <is>
          <t>Yes/No</t>
        </is>
      </c>
      <c r="M51" s="80" t="inlineStr">
        <is>
          <t>No</t>
        </is>
      </c>
      <c r="N51" s="81" t="inlineStr">
        <is>
          <t>Yes/No</t>
        </is>
      </c>
      <c r="O51" s="82" t="inlineStr">
        <is>
          <t>N/A</t>
        </is>
      </c>
      <c r="P51" s="83" t="inlineStr">
        <is>
          <t>N/A</t>
        </is>
      </c>
    </row>
  </sheetData>
  <autoFilter ref="B2:P51">
    <filterColumn colId="0" hiddenButton="0" showButton="1">
      <filters>
        <filter val="3"/>
      </filters>
    </filterColumn>
    <filterColumn colId="13" hiddenButton="0" showButton="1">
      <filters>
        <filter val="Quarterly"/>
      </filters>
    </filterColumn>
  </autoFilter>
  <mergeCells count="4">
    <mergeCell ref="H1:P1"/>
    <mergeCell ref="G2:G51"/>
    <mergeCell ref="E1:F1"/>
    <mergeCell ref="B1:C1"/>
  </mergeCells>
  <dataValidations xWindow="76" yWindow="366" count="2">
    <dataValidation sqref="B2" showDropDown="0" showInputMessage="1" showErrorMessage="1" allowBlank="1" promptTitle="AIFM Content type" prompt="Code indicating the contents of the AIFM reporting._x000a_The AIFM content types admitted are:_x000a_  - 1 for &quot;24(1) for all AIFs managed&quot;_x000a_  - 2 for &quot;3(3) (d) all AIFs managed&quot; (light)_x000a_  - 3 for &quot;24(1) all AIFs marketed &quot;"/>
    <dataValidation sqref="C2" showDropDown="0" showInputMessage="1" showErrorMessage="1" allowBlank="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dataValidations>
  <pageMargins left="0.7086614173228347" right="0.7086614173228347" top="0.7480314960629921" bottom="0.7480314960629921" header="0.3149606299212598" footer="0.3149606299212598"/>
  <pageSetup orientation="landscape" paperSize="9" scale="64" fitToHeight="0" horizontalDpi="0" verticalDpi="0"/>
</worksheet>
</file>

<file path=xl/worksheets/sheet18.xml><?xml version="1.0" encoding="utf-8"?>
<worksheet xmlns="http://schemas.openxmlformats.org/spreadsheetml/2006/main">
  <sheetPr>
    <tabColor theme="4" tint="0.5999938962981048"/>
    <outlinePr summaryBelow="1" summaryRight="1"/>
    <pageSetUpPr/>
  </sheetPr>
  <dimension ref="A1:I207"/>
  <sheetViews>
    <sheetView workbookViewId="0">
      <pane xSplit="2" ySplit="1" topLeftCell="C48" activePane="bottomRight" state="frozen"/>
      <selection activeCell="C20" sqref="C20"/>
      <selection pane="topRight" activeCell="C20" sqref="C20"/>
      <selection pane="bottomLeft" activeCell="C20" sqref="C20"/>
      <selection pane="bottomRight" activeCell="H72" sqref="H72"/>
    </sheetView>
  </sheetViews>
  <sheetFormatPr baseColWidth="10" defaultColWidth="9.1796875" defaultRowHeight="10.5"/>
  <cols>
    <col width="1.54296875" customWidth="1" style="13" min="1" max="1"/>
    <col width="9.1796875" customWidth="1" style="111" min="2" max="2"/>
    <col width="2" customWidth="1" style="13" min="3" max="3"/>
    <col width="15.453125" customWidth="1" style="13" min="4" max="4"/>
    <col width="47.453125" customWidth="1" style="13" min="5" max="5"/>
    <col width="17.54296875" customWidth="1" style="13" min="6" max="6"/>
    <col width="43.453125" customWidth="1" style="13" min="7" max="7"/>
    <col width="20.81640625" bestFit="1" customWidth="1" style="13" min="8" max="8"/>
    <col width="68.1796875" customWidth="1" style="13" min="9" max="9"/>
    <col width="14.81640625" bestFit="1" customWidth="1" style="13" min="10" max="11"/>
    <col width="33.1796875" bestFit="1" customWidth="1" style="13" min="12" max="12"/>
    <col width="13.1796875" bestFit="1" customWidth="1" style="13" min="13" max="14"/>
    <col width="9.1796875" customWidth="1" style="13" min="15" max="15"/>
    <col width="69.81640625" customWidth="1" style="13" min="16" max="16"/>
    <col width="9.1796875" customWidth="1" style="13" min="17" max="16384"/>
  </cols>
  <sheetData>
    <row r="1">
      <c r="A1" s="13" t="inlineStr">
        <is>
          <t>#</t>
        </is>
      </c>
      <c r="B1" s="106" t="inlineStr">
        <is>
          <t>FILTER</t>
        </is>
      </c>
      <c r="D1" s="400" t="inlineStr">
        <is>
          <t>Annex II Table</t>
        </is>
      </c>
      <c r="E1" s="429" t="n"/>
      <c r="F1" s="429" t="n"/>
      <c r="G1" s="429" t="n"/>
      <c r="H1" s="429" t="n"/>
      <c r="I1" s="430" t="n"/>
    </row>
    <row r="2">
      <c r="B2" s="108" t="inlineStr">
        <is>
          <t>table 1</t>
        </is>
      </c>
      <c r="D2" s="402" t="inlineStr">
        <is>
          <t>Macro asset type</t>
        </is>
      </c>
      <c r="E2" s="431" t="n"/>
      <c r="F2" s="432" t="inlineStr">
        <is>
          <t>Asset type</t>
        </is>
      </c>
      <c r="G2" s="433" t="n"/>
      <c r="H2" s="434" t="inlineStr">
        <is>
          <t>Sub asset type</t>
        </is>
      </c>
      <c r="I2" s="433" t="n"/>
    </row>
    <row r="3" ht="31.5" customHeight="1">
      <c r="B3" s="108" t="inlineStr">
        <is>
          <t>table 1</t>
        </is>
      </c>
      <c r="D3" s="195" t="inlineStr">
        <is>
          <t>Code</t>
        </is>
      </c>
      <c r="E3" s="195" t="inlineStr">
        <is>
          <t>Label</t>
        </is>
      </c>
      <c r="F3" s="195" t="inlineStr">
        <is>
          <t>Code</t>
        </is>
      </c>
      <c r="G3" s="195" t="inlineStr">
        <is>
          <t>Label</t>
        </is>
      </c>
      <c r="H3" s="195" t="inlineStr">
        <is>
          <t>Code
POSITION (field 65)
POSITION_EXTERNAL (field 65)</t>
        </is>
      </c>
      <c r="I3" s="195" t="inlineStr">
        <is>
          <t>Label</t>
        </is>
      </c>
    </row>
    <row r="4">
      <c r="B4" s="108" t="inlineStr">
        <is>
          <t>table 1</t>
        </is>
      </c>
      <c r="D4" s="92" t="inlineStr">
        <is>
          <t>SEC</t>
        </is>
      </c>
      <c r="E4" s="92" t="inlineStr">
        <is>
          <t>Securities</t>
        </is>
      </c>
      <c r="F4" s="92" t="inlineStr">
        <is>
          <t>SEC_CSH</t>
        </is>
      </c>
      <c r="G4" s="94" t="inlineStr">
        <is>
          <t>Cash and cash equivalent</t>
        </is>
      </c>
      <c r="H4" s="94" t="inlineStr">
        <is>
          <t>SEC_CSH_CODP</t>
        </is>
      </c>
      <c r="I4" s="92" t="inlineStr">
        <is>
          <t>Certificates of deposit</t>
        </is>
      </c>
    </row>
    <row r="5">
      <c r="B5" s="108" t="inlineStr">
        <is>
          <t>table 1</t>
        </is>
      </c>
      <c r="D5" s="92" t="inlineStr">
        <is>
          <t>SEC</t>
        </is>
      </c>
      <c r="E5" s="92" t="inlineStr">
        <is>
          <t>Securities</t>
        </is>
      </c>
      <c r="F5" s="92" t="inlineStr">
        <is>
          <t>SEC_CSH</t>
        </is>
      </c>
      <c r="G5" s="94" t="inlineStr">
        <is>
          <t>Cash and cash equivalent</t>
        </is>
      </c>
      <c r="H5" s="94" t="inlineStr">
        <is>
          <t>SEC_CSH_COMP</t>
        </is>
      </c>
      <c r="I5" s="92" t="inlineStr">
        <is>
          <t>Commercial papers</t>
        </is>
      </c>
    </row>
    <row r="6">
      <c r="B6" s="108" t="inlineStr">
        <is>
          <t>table 1</t>
        </is>
      </c>
      <c r="D6" s="92" t="inlineStr">
        <is>
          <t>SEC</t>
        </is>
      </c>
      <c r="E6" s="92" t="inlineStr">
        <is>
          <t>Securities</t>
        </is>
      </c>
      <c r="F6" s="92" t="inlineStr">
        <is>
          <t>SEC_CSH</t>
        </is>
      </c>
      <c r="G6" s="94" t="inlineStr">
        <is>
          <t>Cash and cash equivalent</t>
        </is>
      </c>
      <c r="H6" s="94" t="inlineStr">
        <is>
          <t>SEC_CSH_OTHD</t>
        </is>
      </c>
      <c r="I6" s="92" t="inlineStr">
        <is>
          <t>Other deposits</t>
        </is>
      </c>
    </row>
    <row r="7">
      <c r="B7" s="108" t="inlineStr">
        <is>
          <t>table 1</t>
        </is>
      </c>
      <c r="D7" s="92" t="inlineStr">
        <is>
          <t>SEC</t>
        </is>
      </c>
      <c r="E7" s="92" t="inlineStr">
        <is>
          <t>Securities</t>
        </is>
      </c>
      <c r="F7" s="92" t="inlineStr">
        <is>
          <t>SEC_CSH</t>
        </is>
      </c>
      <c r="G7" s="94" t="inlineStr">
        <is>
          <t>Cash and cash equivalent</t>
        </is>
      </c>
      <c r="H7" s="94" t="inlineStr">
        <is>
          <t>SEC_CSH_OTHC</t>
        </is>
      </c>
      <c r="I7" s="92" t="inlineStr">
        <is>
          <t>Other cash and cash equivalents (excluding government securities)</t>
        </is>
      </c>
    </row>
    <row r="8">
      <c r="B8" s="108" t="inlineStr">
        <is>
          <t>table 1</t>
        </is>
      </c>
      <c r="D8" s="92" t="inlineStr">
        <is>
          <t>SEC</t>
        </is>
      </c>
      <c r="E8" s="92" t="inlineStr">
        <is>
          <t>Securities</t>
        </is>
      </c>
      <c r="F8" s="92" t="inlineStr">
        <is>
          <t>SEC_LEQ</t>
        </is>
      </c>
      <c r="G8" s="93" t="inlineStr">
        <is>
          <t>Listed equities</t>
        </is>
      </c>
      <c r="H8" s="94" t="inlineStr">
        <is>
          <t>SEC_LEQ_IFIN</t>
        </is>
      </c>
      <c r="I8" s="92" t="inlineStr">
        <is>
          <t>Listed equities issued by financial institutions</t>
        </is>
      </c>
    </row>
    <row r="9">
      <c r="B9" s="108" t="inlineStr">
        <is>
          <t>table 1</t>
        </is>
      </c>
      <c r="D9" s="92" t="inlineStr">
        <is>
          <t>SEC</t>
        </is>
      </c>
      <c r="E9" s="92" t="inlineStr">
        <is>
          <t>Securities</t>
        </is>
      </c>
      <c r="F9" s="92" t="inlineStr">
        <is>
          <t>SEC_LEQ</t>
        </is>
      </c>
      <c r="G9" s="93" t="inlineStr">
        <is>
          <t>Listed equities</t>
        </is>
      </c>
      <c r="H9" s="94" t="inlineStr">
        <is>
          <t>SEC_LEQ_OTHR</t>
        </is>
      </c>
      <c r="I9" s="93" t="inlineStr">
        <is>
          <t>Other listed equity</t>
        </is>
      </c>
    </row>
    <row r="10">
      <c r="B10" s="108" t="inlineStr">
        <is>
          <t>table 1</t>
        </is>
      </c>
      <c r="D10" s="92" t="inlineStr">
        <is>
          <t>SEC</t>
        </is>
      </c>
      <c r="E10" s="92" t="inlineStr">
        <is>
          <t>Securities</t>
        </is>
      </c>
      <c r="F10" s="92" t="inlineStr">
        <is>
          <t>SEC_UEQ</t>
        </is>
      </c>
      <c r="G10" s="93" t="inlineStr">
        <is>
          <t>Unlisted equities</t>
        </is>
      </c>
      <c r="H10" s="94" t="inlineStr">
        <is>
          <t>SEC_UEQ_UEQY</t>
        </is>
      </c>
      <c r="I10" s="93" t="inlineStr">
        <is>
          <t>Unlisted equities</t>
        </is>
      </c>
    </row>
    <row r="11">
      <c r="B11" s="108" t="inlineStr">
        <is>
          <t>table 1</t>
        </is>
      </c>
      <c r="D11" s="92" t="inlineStr">
        <is>
          <t>SEC</t>
        </is>
      </c>
      <c r="E11" s="92" t="inlineStr">
        <is>
          <t>Securities</t>
        </is>
      </c>
      <c r="F11" s="92" t="inlineStr">
        <is>
          <t>SEC_CPN</t>
        </is>
      </c>
      <c r="G11" s="93" t="inlineStr">
        <is>
          <t>Corporate bonds not issued by financial institutions</t>
        </is>
      </c>
      <c r="H11" s="94" t="inlineStr">
        <is>
          <t>SEC_CPN_INVG</t>
        </is>
      </c>
      <c r="I11" s="92" t="inlineStr">
        <is>
          <t>Corporate bonds not issued by financial institutions-Investment grade</t>
        </is>
      </c>
    </row>
    <row r="12">
      <c r="B12" s="108" t="inlineStr">
        <is>
          <t>table 1</t>
        </is>
      </c>
      <c r="D12" s="92" t="inlineStr">
        <is>
          <t>SEC</t>
        </is>
      </c>
      <c r="E12" s="92" t="inlineStr">
        <is>
          <t>Securities</t>
        </is>
      </c>
      <c r="F12" s="92" t="inlineStr">
        <is>
          <t>SEC_CPN</t>
        </is>
      </c>
      <c r="G12" s="93" t="inlineStr">
        <is>
          <t>Corporate bonds not issued by financial institutions</t>
        </is>
      </c>
      <c r="H12" s="94" t="inlineStr">
        <is>
          <t>SEC_CPN_NIVG</t>
        </is>
      </c>
      <c r="I12" s="92" t="inlineStr">
        <is>
          <t>Corporate bonds not issued by financial institutions-Non-investment grade</t>
        </is>
      </c>
    </row>
    <row r="13">
      <c r="B13" s="108" t="inlineStr">
        <is>
          <t>table 1</t>
        </is>
      </c>
      <c r="D13" s="92" t="inlineStr">
        <is>
          <t>SEC</t>
        </is>
      </c>
      <c r="E13" s="92" t="inlineStr">
        <is>
          <t>Securities</t>
        </is>
      </c>
      <c r="F13" s="92" t="inlineStr">
        <is>
          <t>SEC_CPI</t>
        </is>
      </c>
      <c r="G13" s="93" t="inlineStr">
        <is>
          <t>Corporate bonds issued by financial institutions</t>
        </is>
      </c>
      <c r="H13" s="94" t="inlineStr">
        <is>
          <t>SEC_CPI_INVG</t>
        </is>
      </c>
      <c r="I13" s="92" t="inlineStr">
        <is>
          <t>Corporate bonds issued by financial institutions-Investment grade</t>
        </is>
      </c>
    </row>
    <row r="14">
      <c r="B14" s="108" t="inlineStr">
        <is>
          <t>table 1</t>
        </is>
      </c>
      <c r="D14" s="92" t="inlineStr">
        <is>
          <t>SEC</t>
        </is>
      </c>
      <c r="E14" s="92" t="inlineStr">
        <is>
          <t>Securities</t>
        </is>
      </c>
      <c r="F14" s="92" t="inlineStr">
        <is>
          <t>SEC_CPI</t>
        </is>
      </c>
      <c r="G14" s="93" t="inlineStr">
        <is>
          <t>Corporate bonds issued by financial institutions</t>
        </is>
      </c>
      <c r="H14" s="94" t="inlineStr">
        <is>
          <t>SEC_CPI_NIVG</t>
        </is>
      </c>
      <c r="I14" s="92" t="inlineStr">
        <is>
          <t>Corporate bonds issued by financial institutions-Non-investment grade</t>
        </is>
      </c>
    </row>
    <row r="15">
      <c r="B15" s="108" t="inlineStr">
        <is>
          <t>table 1</t>
        </is>
      </c>
      <c r="D15" s="92" t="inlineStr">
        <is>
          <t>SEC</t>
        </is>
      </c>
      <c r="E15" s="92" t="inlineStr">
        <is>
          <t>Securities</t>
        </is>
      </c>
      <c r="F15" s="92" t="inlineStr">
        <is>
          <t>SEC_SBD</t>
        </is>
      </c>
      <c r="G15" s="94" t="inlineStr">
        <is>
          <t>Sovereign bonds</t>
        </is>
      </c>
      <c r="H15" s="94" t="inlineStr">
        <is>
          <t>SEC_SBD_EUBY</t>
        </is>
      </c>
      <c r="I15" s="94" t="inlineStr">
        <is>
          <t>EU bonds with a 0-1 year term to maturity - Can only be used when reporting to an EU/EEA country.</t>
        </is>
      </c>
    </row>
    <row r="16">
      <c r="B16" s="108" t="inlineStr">
        <is>
          <t>table 1</t>
        </is>
      </c>
      <c r="D16" s="92" t="inlineStr">
        <is>
          <t>SEC</t>
        </is>
      </c>
      <c r="E16" s="92" t="inlineStr">
        <is>
          <t>Securities</t>
        </is>
      </c>
      <c r="F16" s="92" t="inlineStr">
        <is>
          <t>SEC_SBD</t>
        </is>
      </c>
      <c r="G16" s="94" t="inlineStr">
        <is>
          <t>Sovereign bonds</t>
        </is>
      </c>
      <c r="H16" s="94" t="inlineStr">
        <is>
          <t>SEC_SBD_EUBM</t>
        </is>
      </c>
      <c r="I16" s="94" t="inlineStr">
        <is>
          <t>EU bonds with a 1+ year term to maturity - Can only be used when reporting to an EU/EEA country.</t>
        </is>
      </c>
    </row>
    <row r="17">
      <c r="B17" s="108" t="inlineStr">
        <is>
          <t>table 1</t>
        </is>
      </c>
      <c r="D17" s="92" t="inlineStr">
        <is>
          <t>SEC</t>
        </is>
      </c>
      <c r="E17" s="92" t="inlineStr">
        <is>
          <t>Securities</t>
        </is>
      </c>
      <c r="F17" s="92" t="inlineStr">
        <is>
          <t>SEC_SBD</t>
        </is>
      </c>
      <c r="G17" s="94" t="inlineStr">
        <is>
          <t>Sovereign bonds</t>
        </is>
      </c>
      <c r="H17" s="94" t="inlineStr">
        <is>
          <t>SEC_SBD_UKBY</t>
        </is>
      </c>
      <c r="I17" s="94" t="inlineStr">
        <is>
          <t>UK bonds with a 0-1 year term to maturity - Only relevant when reporting to the UK.</t>
        </is>
      </c>
    </row>
    <row r="18">
      <c r="B18" s="108" t="inlineStr">
        <is>
          <t>table 1</t>
        </is>
      </c>
      <c r="D18" s="92" t="inlineStr">
        <is>
          <t>SEC</t>
        </is>
      </c>
      <c r="E18" s="92" t="inlineStr">
        <is>
          <t>Securities</t>
        </is>
      </c>
      <c r="F18" s="92" t="inlineStr">
        <is>
          <t>SEC_SBD</t>
        </is>
      </c>
      <c r="G18" s="94" t="inlineStr">
        <is>
          <t>Sovereign bonds</t>
        </is>
      </c>
      <c r="H18" s="94" t="inlineStr">
        <is>
          <t>SEC_SBD_UKBM</t>
        </is>
      </c>
      <c r="I18" s="94" t="inlineStr">
        <is>
          <t>UK bonds with a 1+ year term to maturity - Only relevant  when reporting to the UK.</t>
        </is>
      </c>
    </row>
    <row r="19">
      <c r="B19" s="108" t="inlineStr">
        <is>
          <t>table 1</t>
        </is>
      </c>
      <c r="D19" s="92" t="inlineStr">
        <is>
          <t>SEC</t>
        </is>
      </c>
      <c r="E19" s="92" t="inlineStr">
        <is>
          <t>Securities</t>
        </is>
      </c>
      <c r="F19" s="92" t="inlineStr">
        <is>
          <t>SEC_SBD</t>
        </is>
      </c>
      <c r="G19" s="94" t="inlineStr">
        <is>
          <t>Sovereign bonds</t>
        </is>
      </c>
      <c r="H19" s="94" t="inlineStr">
        <is>
          <t>SEC_SBD_NOGY</t>
        </is>
      </c>
      <c r="I19" s="94" t="inlineStr">
        <is>
          <t>Non-G10 bonds with a 0-1 year term to maturity</t>
        </is>
      </c>
    </row>
    <row r="20">
      <c r="B20" s="108" t="inlineStr">
        <is>
          <t>table 1</t>
        </is>
      </c>
      <c r="D20" s="92" t="inlineStr">
        <is>
          <t>SEC</t>
        </is>
      </c>
      <c r="E20" s="92" t="inlineStr">
        <is>
          <t>Securities</t>
        </is>
      </c>
      <c r="F20" s="92" t="inlineStr">
        <is>
          <t>SEC_SBD</t>
        </is>
      </c>
      <c r="G20" s="94" t="inlineStr">
        <is>
          <t>Sovereign bonds</t>
        </is>
      </c>
      <c r="H20" s="94" t="inlineStr">
        <is>
          <t>SEC_SBD_NOGM</t>
        </is>
      </c>
      <c r="I20" s="94" t="inlineStr">
        <is>
          <t>Non-G10 bonds with a 1+ year term to maturity</t>
        </is>
      </c>
    </row>
    <row r="21">
      <c r="B21" s="108" t="inlineStr">
        <is>
          <t>table 1</t>
        </is>
      </c>
      <c r="D21" s="92" t="inlineStr">
        <is>
          <t>SEC</t>
        </is>
      </c>
      <c r="E21" s="92" t="inlineStr">
        <is>
          <t>Securities</t>
        </is>
      </c>
      <c r="F21" s="92" t="inlineStr">
        <is>
          <t>SEC_SBD</t>
        </is>
      </c>
      <c r="G21" s="94" t="inlineStr">
        <is>
          <t>Sovereign bonds</t>
        </is>
      </c>
      <c r="H21" s="94" t="inlineStr">
        <is>
          <t>SEC_SBD_EUGY</t>
        </is>
      </c>
      <c r="I21" s="94" t="inlineStr">
        <is>
          <t>G10 non EU bonds with a 0-1 year term to maturity</t>
        </is>
      </c>
    </row>
    <row r="22">
      <c r="B22" s="108" t="inlineStr">
        <is>
          <t>table 1</t>
        </is>
      </c>
      <c r="D22" s="92" t="inlineStr">
        <is>
          <t>SEC</t>
        </is>
      </c>
      <c r="E22" s="92" t="inlineStr">
        <is>
          <t>Securities</t>
        </is>
      </c>
      <c r="F22" s="92" t="inlineStr">
        <is>
          <t>SEC_SBD</t>
        </is>
      </c>
      <c r="G22" s="94" t="inlineStr">
        <is>
          <t>Sovereign bonds</t>
        </is>
      </c>
      <c r="H22" s="94" t="inlineStr">
        <is>
          <t>SEC_SBD_EUGM</t>
        </is>
      </c>
      <c r="I22" s="94" t="inlineStr">
        <is>
          <t>G10 non EU bonds with a 1+ year term to maturity</t>
        </is>
      </c>
    </row>
    <row r="23">
      <c r="B23" s="108" t="inlineStr">
        <is>
          <t>table 1</t>
        </is>
      </c>
      <c r="D23" s="92" t="inlineStr">
        <is>
          <t>SEC</t>
        </is>
      </c>
      <c r="E23" s="92" t="inlineStr">
        <is>
          <t>Securities</t>
        </is>
      </c>
      <c r="F23" s="92" t="inlineStr">
        <is>
          <t>SEC_MBN</t>
        </is>
      </c>
      <c r="G23" s="94" t="inlineStr">
        <is>
          <t>Municipal bonds</t>
        </is>
      </c>
      <c r="H23" s="94" t="inlineStr">
        <is>
          <t>SEC_MBN_MNPL</t>
        </is>
      </c>
      <c r="I23" s="94" t="inlineStr">
        <is>
          <t>Municipal bonds</t>
        </is>
      </c>
    </row>
    <row r="24">
      <c r="B24" s="108" t="inlineStr">
        <is>
          <t>table 1</t>
        </is>
      </c>
      <c r="D24" s="92" t="inlineStr">
        <is>
          <t>SEC</t>
        </is>
      </c>
      <c r="E24" s="92" t="inlineStr">
        <is>
          <t>Securities</t>
        </is>
      </c>
      <c r="F24" s="92" t="inlineStr">
        <is>
          <t>SEC_CBN</t>
        </is>
      </c>
      <c r="G24" s="94" t="inlineStr">
        <is>
          <t>Convertible bonds not issued by financial institutions</t>
        </is>
      </c>
      <c r="H24" s="94" t="inlineStr">
        <is>
          <t>SEC_CBN_INVG</t>
        </is>
      </c>
      <c r="I24" s="93" t="inlineStr">
        <is>
          <t>Convertible bonds not issued by financial institutions-Investment grade</t>
        </is>
      </c>
    </row>
    <row r="25">
      <c r="B25" s="108" t="inlineStr">
        <is>
          <t>table 1</t>
        </is>
      </c>
      <c r="D25" s="92" t="inlineStr">
        <is>
          <t>SEC</t>
        </is>
      </c>
      <c r="E25" s="92" t="inlineStr">
        <is>
          <t>Securities</t>
        </is>
      </c>
      <c r="F25" s="92" t="inlineStr">
        <is>
          <t>SEC_CBN</t>
        </is>
      </c>
      <c r="G25" s="94" t="inlineStr">
        <is>
          <t>Convertible bonds not issued by financial institutions</t>
        </is>
      </c>
      <c r="H25" s="94" t="inlineStr">
        <is>
          <t>SEC_CBN_NIVG</t>
        </is>
      </c>
      <c r="I25" s="93" t="inlineStr">
        <is>
          <t>Convertible bonds not issued by financial institutionsNon-investment grade</t>
        </is>
      </c>
    </row>
    <row r="26">
      <c r="B26" s="108" t="inlineStr">
        <is>
          <t>table 1</t>
        </is>
      </c>
      <c r="D26" s="92" t="inlineStr">
        <is>
          <t>SEC</t>
        </is>
      </c>
      <c r="E26" s="92" t="inlineStr">
        <is>
          <t>Securities</t>
        </is>
      </c>
      <c r="F26" s="92" t="inlineStr">
        <is>
          <t>SEC_CBI</t>
        </is>
      </c>
      <c r="G26" s="94" t="inlineStr">
        <is>
          <t>Convertible bonds issued by financial institutions</t>
        </is>
      </c>
      <c r="H26" s="94" t="inlineStr">
        <is>
          <t>SEC_CBI_INVG</t>
        </is>
      </c>
      <c r="I26" s="93" t="inlineStr">
        <is>
          <t>Convertible bonds issued by financial institutionsInvestment grade</t>
        </is>
      </c>
    </row>
    <row r="27">
      <c r="B27" s="108" t="inlineStr">
        <is>
          <t>table 1</t>
        </is>
      </c>
      <c r="D27" s="92" t="inlineStr">
        <is>
          <t>SEC</t>
        </is>
      </c>
      <c r="E27" s="92" t="inlineStr">
        <is>
          <t>Securities</t>
        </is>
      </c>
      <c r="F27" s="92" t="inlineStr">
        <is>
          <t>SEC_CBI</t>
        </is>
      </c>
      <c r="G27" s="94" t="inlineStr">
        <is>
          <t>Convertible bonds issued by financial institutions</t>
        </is>
      </c>
      <c r="H27" s="94" t="inlineStr">
        <is>
          <t>SEC_CBI_NIVG</t>
        </is>
      </c>
      <c r="I27" s="93" t="inlineStr">
        <is>
          <t>Convertible bonds issued by financial institutions-Non-investment grade</t>
        </is>
      </c>
    </row>
    <row r="28">
      <c r="B28" s="108" t="inlineStr">
        <is>
          <t>table 1</t>
        </is>
      </c>
      <c r="D28" s="92" t="inlineStr">
        <is>
          <t>SEC</t>
        </is>
      </c>
      <c r="E28" s="92" t="inlineStr">
        <is>
          <t>Securities</t>
        </is>
      </c>
      <c r="F28" s="92" t="inlineStr">
        <is>
          <t>SEC_LON</t>
        </is>
      </c>
      <c r="G28" s="94" t="inlineStr">
        <is>
          <t>Loans</t>
        </is>
      </c>
      <c r="H28" s="94" t="inlineStr">
        <is>
          <t>SEC_LON_LEVL</t>
        </is>
      </c>
      <c r="I28" s="94" t="inlineStr">
        <is>
          <t>Leveraged loans</t>
        </is>
      </c>
    </row>
    <row r="29">
      <c r="B29" s="108" t="inlineStr">
        <is>
          <t>table 1</t>
        </is>
      </c>
      <c r="D29" s="92" t="inlineStr">
        <is>
          <t>SEC</t>
        </is>
      </c>
      <c r="E29" s="92" t="inlineStr">
        <is>
          <t>Securities</t>
        </is>
      </c>
      <c r="F29" s="92" t="inlineStr">
        <is>
          <t>SEC_LON</t>
        </is>
      </c>
      <c r="G29" s="94" t="inlineStr">
        <is>
          <t>Loans</t>
        </is>
      </c>
      <c r="H29" s="94" t="inlineStr">
        <is>
          <t>SEC_LON_OTHL</t>
        </is>
      </c>
      <c r="I29" s="94" t="inlineStr">
        <is>
          <t>Other loans</t>
        </is>
      </c>
    </row>
    <row r="30">
      <c r="B30" s="108" t="inlineStr">
        <is>
          <t>table 1</t>
        </is>
      </c>
      <c r="D30" s="92" t="inlineStr">
        <is>
          <t>SEC</t>
        </is>
      </c>
      <c r="E30" s="92" t="inlineStr">
        <is>
          <t>Securities</t>
        </is>
      </c>
      <c r="F30" s="92" t="inlineStr">
        <is>
          <t>SEC_SSP</t>
        </is>
      </c>
      <c r="G30" s="94" t="inlineStr">
        <is>
          <t>Structured/securitised products</t>
        </is>
      </c>
      <c r="H30" s="94" t="inlineStr">
        <is>
          <t>SEC_SSP_SABS</t>
        </is>
      </c>
      <c r="I30" s="94" t="inlineStr">
        <is>
          <t>ABS</t>
        </is>
      </c>
    </row>
    <row r="31">
      <c r="B31" s="108" t="inlineStr">
        <is>
          <t>table 1</t>
        </is>
      </c>
      <c r="D31" s="92" t="inlineStr">
        <is>
          <t>SEC</t>
        </is>
      </c>
      <c r="E31" s="92" t="inlineStr">
        <is>
          <t>Securities</t>
        </is>
      </c>
      <c r="F31" s="92" t="inlineStr">
        <is>
          <t>SEC_SSP</t>
        </is>
      </c>
      <c r="G31" s="94" t="inlineStr">
        <is>
          <t>Structured/securitised products</t>
        </is>
      </c>
      <c r="H31" s="94" t="inlineStr">
        <is>
          <t>SEC_SSP_RMBS</t>
        </is>
      </c>
      <c r="I31" s="94" t="inlineStr">
        <is>
          <t>RMBS</t>
        </is>
      </c>
    </row>
    <row r="32">
      <c r="B32" s="108" t="inlineStr">
        <is>
          <t>table 1</t>
        </is>
      </c>
      <c r="D32" s="92" t="inlineStr">
        <is>
          <t>SEC</t>
        </is>
      </c>
      <c r="E32" s="92" t="inlineStr">
        <is>
          <t>Securities</t>
        </is>
      </c>
      <c r="F32" s="92" t="inlineStr">
        <is>
          <t>SEC_SSP</t>
        </is>
      </c>
      <c r="G32" s="94" t="inlineStr">
        <is>
          <t>Structured/securitised products</t>
        </is>
      </c>
      <c r="H32" s="94" t="inlineStr">
        <is>
          <t>SEC_SSP_CMBS</t>
        </is>
      </c>
      <c r="I32" s="94" t="inlineStr">
        <is>
          <t>CMBS</t>
        </is>
      </c>
    </row>
    <row r="33">
      <c r="B33" s="108" t="inlineStr">
        <is>
          <t>table 1</t>
        </is>
      </c>
      <c r="D33" s="92" t="inlineStr">
        <is>
          <t>SEC</t>
        </is>
      </c>
      <c r="E33" s="92" t="inlineStr">
        <is>
          <t>Securities</t>
        </is>
      </c>
      <c r="F33" s="92" t="inlineStr">
        <is>
          <t>SEC_SSP</t>
        </is>
      </c>
      <c r="G33" s="94" t="inlineStr">
        <is>
          <t>Structured/securitised products</t>
        </is>
      </c>
      <c r="H33" s="94" t="inlineStr">
        <is>
          <t>SEC_SSP_AMBS</t>
        </is>
      </c>
      <c r="I33" s="94" t="inlineStr">
        <is>
          <t>Agency MBS</t>
        </is>
      </c>
    </row>
    <row r="34">
      <c r="B34" s="108" t="inlineStr">
        <is>
          <t>table 1</t>
        </is>
      </c>
      <c r="D34" s="92" t="inlineStr">
        <is>
          <t>SEC</t>
        </is>
      </c>
      <c r="E34" s="92" t="inlineStr">
        <is>
          <t>Securities</t>
        </is>
      </c>
      <c r="F34" s="92" t="inlineStr">
        <is>
          <t>SEC_SSP</t>
        </is>
      </c>
      <c r="G34" s="94" t="inlineStr">
        <is>
          <t>Structured/securitised products</t>
        </is>
      </c>
      <c r="H34" s="94" t="inlineStr">
        <is>
          <t>SEC_SSP_ABCP</t>
        </is>
      </c>
      <c r="I34" s="94" t="inlineStr">
        <is>
          <t xml:space="preserve">ABCP </t>
        </is>
      </c>
    </row>
    <row r="35">
      <c r="B35" s="108" t="inlineStr">
        <is>
          <t>table 1</t>
        </is>
      </c>
      <c r="D35" s="92" t="inlineStr">
        <is>
          <t>SEC</t>
        </is>
      </c>
      <c r="E35" s="92" t="inlineStr">
        <is>
          <t>Securities</t>
        </is>
      </c>
      <c r="F35" s="92" t="inlineStr">
        <is>
          <t>SEC_SSP</t>
        </is>
      </c>
      <c r="G35" s="94" t="inlineStr">
        <is>
          <t>Structured/securitised products</t>
        </is>
      </c>
      <c r="H35" s="94" t="inlineStr">
        <is>
          <t>SEC_SSP_CDOC</t>
        </is>
      </c>
      <c r="I35" s="94" t="inlineStr">
        <is>
          <t>CDO/CLO</t>
        </is>
      </c>
    </row>
    <row r="36">
      <c r="B36" s="108" t="inlineStr">
        <is>
          <t>table 1</t>
        </is>
      </c>
      <c r="D36" s="92" t="inlineStr">
        <is>
          <t>SEC</t>
        </is>
      </c>
      <c r="E36" s="92" t="inlineStr">
        <is>
          <t>Securities</t>
        </is>
      </c>
      <c r="F36" s="92" t="inlineStr">
        <is>
          <t>SEC_SSP</t>
        </is>
      </c>
      <c r="G36" s="94" t="inlineStr">
        <is>
          <t>Structured/securitised products</t>
        </is>
      </c>
      <c r="H36" s="94" t="inlineStr">
        <is>
          <t>SEC_SSP_STRC</t>
        </is>
      </c>
      <c r="I36" s="94" t="inlineStr">
        <is>
          <t>Structured certificates</t>
        </is>
      </c>
    </row>
    <row r="37">
      <c r="B37" s="108" t="inlineStr">
        <is>
          <t>table 1</t>
        </is>
      </c>
      <c r="D37" s="92" t="inlineStr">
        <is>
          <t>SEC</t>
        </is>
      </c>
      <c r="E37" s="92" t="inlineStr">
        <is>
          <t>Securities</t>
        </is>
      </c>
      <c r="F37" s="92" t="inlineStr">
        <is>
          <t>SEC_SSP</t>
        </is>
      </c>
      <c r="G37" s="94" t="inlineStr">
        <is>
          <t>Structured/securitised products</t>
        </is>
      </c>
      <c r="H37" s="94" t="inlineStr">
        <is>
          <t>SEC_SSP_SETP</t>
        </is>
      </c>
      <c r="I37" s="94" t="inlineStr">
        <is>
          <t>ETP</t>
        </is>
      </c>
    </row>
    <row r="38">
      <c r="B38" s="108" t="inlineStr">
        <is>
          <t>table 1</t>
        </is>
      </c>
      <c r="D38" s="92" t="inlineStr">
        <is>
          <t>SEC</t>
        </is>
      </c>
      <c r="E38" s="92" t="inlineStr">
        <is>
          <t>Securities</t>
        </is>
      </c>
      <c r="F38" s="92" t="inlineStr">
        <is>
          <t>SEC_SSP</t>
        </is>
      </c>
      <c r="G38" s="94" t="inlineStr">
        <is>
          <t>Structured/securitised products</t>
        </is>
      </c>
      <c r="H38" s="94" t="inlineStr">
        <is>
          <t>SEC_SSP_OTHS</t>
        </is>
      </c>
      <c r="I38" s="94" t="inlineStr">
        <is>
          <t>Other Structured/securitised products</t>
        </is>
      </c>
    </row>
    <row r="39">
      <c r="B39" s="108" t="inlineStr">
        <is>
          <t>table 1</t>
        </is>
      </c>
      <c r="D39" s="92" t="inlineStr">
        <is>
          <t>DER</t>
        </is>
      </c>
      <c r="E39" s="92" t="inlineStr">
        <is>
          <t>Derivatives</t>
        </is>
      </c>
      <c r="F39" s="92" t="inlineStr">
        <is>
          <t>DER_EQD</t>
        </is>
      </c>
      <c r="G39" s="94" t="inlineStr">
        <is>
          <t>Equity derivatives</t>
        </is>
      </c>
      <c r="H39" s="94" t="inlineStr">
        <is>
          <t>DER_EQD_FINI</t>
        </is>
      </c>
      <c r="I39" s="94" t="inlineStr">
        <is>
          <t>Equity derivatives related to financial institutions</t>
        </is>
      </c>
    </row>
    <row r="40">
      <c r="B40" s="108" t="inlineStr">
        <is>
          <t>table 1</t>
        </is>
      </c>
      <c r="D40" s="92" t="inlineStr">
        <is>
          <t>DER</t>
        </is>
      </c>
      <c r="E40" s="92" t="inlineStr">
        <is>
          <t>Derivatives</t>
        </is>
      </c>
      <c r="F40" s="92" t="inlineStr">
        <is>
          <t>DER_EQD</t>
        </is>
      </c>
      <c r="G40" s="94" t="inlineStr">
        <is>
          <t>Equity derivatives</t>
        </is>
      </c>
      <c r="H40" s="94" t="inlineStr">
        <is>
          <t>DER_EQD_OTHD</t>
        </is>
      </c>
      <c r="I40" s="94" t="inlineStr">
        <is>
          <t>Other equity derivatives</t>
        </is>
      </c>
    </row>
    <row r="41">
      <c r="B41" s="108" t="inlineStr">
        <is>
          <t>table 1</t>
        </is>
      </c>
      <c r="D41" s="92" t="inlineStr">
        <is>
          <t>DER</t>
        </is>
      </c>
      <c r="E41" s="92" t="inlineStr">
        <is>
          <t>Derivatives</t>
        </is>
      </c>
      <c r="F41" s="92" t="inlineStr">
        <is>
          <t>DER_FID</t>
        </is>
      </c>
      <c r="G41" s="94" t="inlineStr">
        <is>
          <t>Fixed income derivatives</t>
        </is>
      </c>
      <c r="H41" s="94" t="inlineStr">
        <is>
          <t>DER_FID_FIXI</t>
        </is>
      </c>
      <c r="I41" s="94" t="inlineStr">
        <is>
          <t>Fixed income derivatives</t>
        </is>
      </c>
    </row>
    <row r="42">
      <c r="B42" s="108" t="inlineStr">
        <is>
          <t>table 1</t>
        </is>
      </c>
      <c r="D42" s="92" t="inlineStr">
        <is>
          <t>DER</t>
        </is>
      </c>
      <c r="E42" s="92" t="inlineStr">
        <is>
          <t>Derivatives</t>
        </is>
      </c>
      <c r="F42" s="92" t="inlineStr">
        <is>
          <t>DER_CDS</t>
        </is>
      </c>
      <c r="G42" s="94" t="inlineStr">
        <is>
          <t>CDS</t>
        </is>
      </c>
      <c r="H42" s="94" t="inlineStr">
        <is>
          <t>DER_CDS_SNFI</t>
        </is>
      </c>
      <c r="I42" s="94" t="inlineStr">
        <is>
          <t>Single name financial CDS</t>
        </is>
      </c>
    </row>
    <row r="43">
      <c r="B43" s="108" t="inlineStr">
        <is>
          <t>table 1</t>
        </is>
      </c>
      <c r="D43" s="92" t="inlineStr">
        <is>
          <t>DER</t>
        </is>
      </c>
      <c r="E43" s="92" t="inlineStr">
        <is>
          <t>Derivatives</t>
        </is>
      </c>
      <c r="F43" s="92" t="inlineStr">
        <is>
          <t>DER_CDS</t>
        </is>
      </c>
      <c r="G43" s="94" t="inlineStr">
        <is>
          <t>CDS</t>
        </is>
      </c>
      <c r="H43" s="94" t="inlineStr">
        <is>
          <t>DER_CDS_SNSO</t>
        </is>
      </c>
      <c r="I43" s="94" t="inlineStr">
        <is>
          <t>Single name sovereign CDS</t>
        </is>
      </c>
    </row>
    <row r="44">
      <c r="B44" s="108" t="inlineStr">
        <is>
          <t>table 1</t>
        </is>
      </c>
      <c r="D44" s="92" t="inlineStr">
        <is>
          <t>DER</t>
        </is>
      </c>
      <c r="E44" s="92" t="inlineStr">
        <is>
          <t>Derivatives</t>
        </is>
      </c>
      <c r="F44" s="92" t="inlineStr">
        <is>
          <t>DER_CDS</t>
        </is>
      </c>
      <c r="G44" s="94" t="inlineStr">
        <is>
          <t>CDS</t>
        </is>
      </c>
      <c r="H44" s="94" t="inlineStr">
        <is>
          <t>DER_CDS_SNOT</t>
        </is>
      </c>
      <c r="I44" s="94" t="inlineStr">
        <is>
          <t>Single name other CDS</t>
        </is>
      </c>
    </row>
    <row r="45">
      <c r="B45" s="108" t="inlineStr">
        <is>
          <t>table 1</t>
        </is>
      </c>
      <c r="D45" s="92" t="inlineStr">
        <is>
          <t>DER</t>
        </is>
      </c>
      <c r="E45" s="92" t="inlineStr">
        <is>
          <t>Derivatives</t>
        </is>
      </c>
      <c r="F45" s="92" t="inlineStr">
        <is>
          <t>DER_CDS</t>
        </is>
      </c>
      <c r="G45" s="94" t="inlineStr">
        <is>
          <t>CDS</t>
        </is>
      </c>
      <c r="H45" s="94" t="inlineStr">
        <is>
          <t>DER_CDS_INDX</t>
        </is>
      </c>
      <c r="I45" s="94" t="inlineStr">
        <is>
          <t>Index CDS</t>
        </is>
      </c>
    </row>
    <row r="46">
      <c r="B46" s="108" t="inlineStr">
        <is>
          <t>table 1</t>
        </is>
      </c>
      <c r="D46" s="92" t="inlineStr">
        <is>
          <t>DER</t>
        </is>
      </c>
      <c r="E46" s="92" t="inlineStr">
        <is>
          <t>Derivatives</t>
        </is>
      </c>
      <c r="F46" s="92" t="inlineStr">
        <is>
          <t>DER_CDS</t>
        </is>
      </c>
      <c r="G46" s="94" t="inlineStr">
        <is>
          <t>CDS</t>
        </is>
      </c>
      <c r="H46" s="94" t="inlineStr">
        <is>
          <t>DER_CDS_EXOT</t>
        </is>
      </c>
      <c r="I46" s="94" t="inlineStr">
        <is>
          <t>Exotic (incl. credit default tranche)</t>
        </is>
      </c>
    </row>
    <row r="47">
      <c r="B47" s="108" t="inlineStr">
        <is>
          <t>table 1</t>
        </is>
      </c>
      <c r="D47" s="92" t="inlineStr">
        <is>
          <t>DER</t>
        </is>
      </c>
      <c r="E47" s="92" t="inlineStr">
        <is>
          <t>Derivatives</t>
        </is>
      </c>
      <c r="F47" s="92" t="inlineStr">
        <is>
          <t>DER_CDS</t>
        </is>
      </c>
      <c r="G47" s="94" t="inlineStr">
        <is>
          <t>CDS</t>
        </is>
      </c>
      <c r="H47" s="94" t="inlineStr">
        <is>
          <t>DER_CDS_OTHR</t>
        </is>
      </c>
      <c r="I47" s="94" t="inlineStr">
        <is>
          <t>Other CDS</t>
        </is>
      </c>
    </row>
    <row r="48">
      <c r="B48" s="108" t="inlineStr">
        <is>
          <t>table 1</t>
        </is>
      </c>
      <c r="D48" s="92" t="inlineStr">
        <is>
          <t>DER</t>
        </is>
      </c>
      <c r="E48" s="92" t="inlineStr">
        <is>
          <t>Derivatives</t>
        </is>
      </c>
      <c r="F48" s="92" t="inlineStr">
        <is>
          <t>DER_FEX</t>
        </is>
      </c>
      <c r="G48" s="94" t="inlineStr">
        <is>
          <t>Foreign exchange</t>
        </is>
      </c>
      <c r="H48" s="94" t="inlineStr">
        <is>
          <t>DER_FEX_INVT</t>
        </is>
      </c>
      <c r="I48" s="94" t="inlineStr">
        <is>
          <t>Foreign exchange (for investment purposes)</t>
        </is>
      </c>
    </row>
    <row r="49">
      <c r="B49" s="108" t="inlineStr">
        <is>
          <t>table 1</t>
        </is>
      </c>
      <c r="D49" s="92" t="inlineStr">
        <is>
          <t>DER</t>
        </is>
      </c>
      <c r="E49" s="92" t="inlineStr">
        <is>
          <t>Derivatives</t>
        </is>
      </c>
      <c r="F49" s="92" t="inlineStr">
        <is>
          <t>DER_FEX</t>
        </is>
      </c>
      <c r="G49" s="94" t="inlineStr">
        <is>
          <t>Foreign exchange</t>
        </is>
      </c>
      <c r="H49" s="94" t="inlineStr">
        <is>
          <t>DER_FEX_HEDG</t>
        </is>
      </c>
      <c r="I49" s="94" t="inlineStr">
        <is>
          <t>Foreign exchange (for hedging purposes)</t>
        </is>
      </c>
    </row>
    <row r="50">
      <c r="B50" s="108" t="inlineStr">
        <is>
          <t>table 1</t>
        </is>
      </c>
      <c r="D50" s="92" t="inlineStr">
        <is>
          <t>DER</t>
        </is>
      </c>
      <c r="E50" s="92" t="inlineStr">
        <is>
          <t>Derivatives</t>
        </is>
      </c>
      <c r="F50" s="92" t="inlineStr">
        <is>
          <t>DER_IRD</t>
        </is>
      </c>
      <c r="G50" s="94" t="inlineStr">
        <is>
          <t>Interest rate derivatives</t>
        </is>
      </c>
      <c r="H50" s="94" t="inlineStr">
        <is>
          <t>DER_IRD_INTR</t>
        </is>
      </c>
      <c r="I50" s="94" t="inlineStr">
        <is>
          <t>Interest rate derivatives</t>
        </is>
      </c>
    </row>
    <row r="51">
      <c r="B51" s="108" t="inlineStr">
        <is>
          <t>table 1</t>
        </is>
      </c>
      <c r="D51" s="92" t="inlineStr">
        <is>
          <t>DER</t>
        </is>
      </c>
      <c r="E51" s="92" t="inlineStr">
        <is>
          <t>Derivatives</t>
        </is>
      </c>
      <c r="F51" s="92" t="inlineStr">
        <is>
          <t>DER_CTY</t>
        </is>
      </c>
      <c r="G51" s="94" t="inlineStr">
        <is>
          <t>Commodity derivatives</t>
        </is>
      </c>
      <c r="H51" s="94" t="inlineStr">
        <is>
          <t>DER_CTY_ECOL</t>
        </is>
      </c>
      <c r="I51" s="94" t="inlineStr">
        <is>
          <t>Energy/Crude oil</t>
        </is>
      </c>
    </row>
    <row r="52">
      <c r="B52" s="108" t="inlineStr">
        <is>
          <t>table 1</t>
        </is>
      </c>
      <c r="D52" s="92" t="inlineStr">
        <is>
          <t>DER</t>
        </is>
      </c>
      <c r="E52" s="92" t="inlineStr">
        <is>
          <t>Derivatives</t>
        </is>
      </c>
      <c r="F52" s="92" t="inlineStr">
        <is>
          <t>DER_CTY</t>
        </is>
      </c>
      <c r="G52" s="94" t="inlineStr">
        <is>
          <t>Commodity derivatives</t>
        </is>
      </c>
      <c r="H52" s="94" t="inlineStr">
        <is>
          <t>DER_CTY_ENNG</t>
        </is>
      </c>
      <c r="I52" s="94" t="inlineStr">
        <is>
          <t>Energy/Natural gas</t>
        </is>
      </c>
    </row>
    <row r="53">
      <c r="B53" s="108" t="inlineStr">
        <is>
          <t>table 1</t>
        </is>
      </c>
      <c r="D53" s="92" t="inlineStr">
        <is>
          <t>DER</t>
        </is>
      </c>
      <c r="E53" s="92" t="inlineStr">
        <is>
          <t>Derivatives</t>
        </is>
      </c>
      <c r="F53" s="92" t="inlineStr">
        <is>
          <t>DER_CTY</t>
        </is>
      </c>
      <c r="G53" s="94" t="inlineStr">
        <is>
          <t>Commodity derivatives</t>
        </is>
      </c>
      <c r="H53" s="94" t="inlineStr">
        <is>
          <t>DER_CTY_ENPW</t>
        </is>
      </c>
      <c r="I53" s="94" t="inlineStr">
        <is>
          <t>Energy/Power</t>
        </is>
      </c>
    </row>
    <row r="54">
      <c r="B54" s="108" t="inlineStr">
        <is>
          <t>table 1</t>
        </is>
      </c>
      <c r="D54" s="92" t="inlineStr">
        <is>
          <t>DER</t>
        </is>
      </c>
      <c r="E54" s="92" t="inlineStr">
        <is>
          <t>Derivatives</t>
        </is>
      </c>
      <c r="F54" s="92" t="inlineStr">
        <is>
          <t>DER_CTY</t>
        </is>
      </c>
      <c r="G54" s="94" t="inlineStr">
        <is>
          <t>Commodity derivatives</t>
        </is>
      </c>
      <c r="H54" s="94" t="inlineStr">
        <is>
          <t>DER_CTY_ENOT</t>
        </is>
      </c>
      <c r="I54" s="94" t="inlineStr">
        <is>
          <t>Energy/Other</t>
        </is>
      </c>
    </row>
    <row r="55">
      <c r="B55" s="108" t="inlineStr">
        <is>
          <t>table 1</t>
        </is>
      </c>
      <c r="D55" s="92" t="inlineStr">
        <is>
          <t>DER</t>
        </is>
      </c>
      <c r="E55" s="92" t="inlineStr">
        <is>
          <t>Derivatives</t>
        </is>
      </c>
      <c r="F55" s="92" t="inlineStr">
        <is>
          <t>DER_CTY</t>
        </is>
      </c>
      <c r="G55" s="94" t="inlineStr">
        <is>
          <t>Commodity derivatives</t>
        </is>
      </c>
      <c r="H55" s="94" t="inlineStr">
        <is>
          <t>DER_CTY_PMGD</t>
        </is>
      </c>
      <c r="I55" s="92" t="inlineStr">
        <is>
          <t xml:space="preserve">Precious metals/Gold </t>
        </is>
      </c>
    </row>
    <row r="56">
      <c r="B56" s="108" t="inlineStr">
        <is>
          <t>table 1</t>
        </is>
      </c>
      <c r="D56" s="92" t="inlineStr">
        <is>
          <t>DER</t>
        </is>
      </c>
      <c r="E56" s="92" t="inlineStr">
        <is>
          <t>Derivatives</t>
        </is>
      </c>
      <c r="F56" s="92" t="inlineStr">
        <is>
          <t>DER_CTY</t>
        </is>
      </c>
      <c r="G56" s="94" t="inlineStr">
        <is>
          <t>Commodity derivatives</t>
        </is>
      </c>
      <c r="H56" s="94" t="inlineStr">
        <is>
          <t>DER_CTY_PMOT</t>
        </is>
      </c>
      <c r="I56" s="92" t="inlineStr">
        <is>
          <t xml:space="preserve">Precious metals/Other </t>
        </is>
      </c>
    </row>
    <row r="57">
      <c r="B57" s="108" t="inlineStr">
        <is>
          <t>table 1</t>
        </is>
      </c>
      <c r="D57" s="92" t="inlineStr">
        <is>
          <t>DER</t>
        </is>
      </c>
      <c r="E57" s="92" t="inlineStr">
        <is>
          <t>Derivatives</t>
        </is>
      </c>
      <c r="F57" s="92" t="inlineStr">
        <is>
          <t>DER_CTY</t>
        </is>
      </c>
      <c r="G57" s="94" t="inlineStr">
        <is>
          <t>Commodity derivatives</t>
        </is>
      </c>
      <c r="H57" s="94" t="inlineStr">
        <is>
          <t>DER_CTY_OTIM</t>
        </is>
      </c>
      <c r="I57" s="94" t="inlineStr">
        <is>
          <t>Other commodities/Industrial metals</t>
        </is>
      </c>
    </row>
    <row r="58">
      <c r="B58" s="108" t="inlineStr">
        <is>
          <t>table 1</t>
        </is>
      </c>
      <c r="D58" s="92" t="inlineStr">
        <is>
          <t>DER</t>
        </is>
      </c>
      <c r="E58" s="92" t="inlineStr">
        <is>
          <t>Derivatives</t>
        </is>
      </c>
      <c r="F58" s="92" t="inlineStr">
        <is>
          <t>DER_CTY</t>
        </is>
      </c>
      <c r="G58" s="94" t="inlineStr">
        <is>
          <t>Commodity derivatives</t>
        </is>
      </c>
      <c r="H58" s="94" t="inlineStr">
        <is>
          <t>DER_CTY_OTLS</t>
        </is>
      </c>
      <c r="I58" s="94" t="inlineStr">
        <is>
          <t>Other commodities/Livestock</t>
        </is>
      </c>
    </row>
    <row r="59">
      <c r="B59" s="108" t="inlineStr">
        <is>
          <t>table 1</t>
        </is>
      </c>
      <c r="D59" s="92" t="inlineStr">
        <is>
          <t>DER</t>
        </is>
      </c>
      <c r="E59" s="92" t="inlineStr">
        <is>
          <t>Derivatives</t>
        </is>
      </c>
      <c r="F59" s="92" t="inlineStr">
        <is>
          <t>DER_CTY</t>
        </is>
      </c>
      <c r="G59" s="94" t="inlineStr">
        <is>
          <t>Commodity derivatives</t>
        </is>
      </c>
      <c r="H59" s="94" t="inlineStr">
        <is>
          <t>DER_CTY_OTAP</t>
        </is>
      </c>
      <c r="I59" s="94" t="inlineStr">
        <is>
          <t>Other commodities/Agricultural products</t>
        </is>
      </c>
    </row>
    <row r="60">
      <c r="B60" s="108" t="inlineStr">
        <is>
          <t>table 1</t>
        </is>
      </c>
      <c r="D60" s="92" t="inlineStr">
        <is>
          <t>DER</t>
        </is>
      </c>
      <c r="E60" s="92" t="inlineStr">
        <is>
          <t>Derivatives</t>
        </is>
      </c>
      <c r="F60" s="92" t="inlineStr">
        <is>
          <t>DER_CTY</t>
        </is>
      </c>
      <c r="G60" s="94" t="inlineStr">
        <is>
          <t>Commodity derivatives</t>
        </is>
      </c>
      <c r="H60" s="94" t="inlineStr">
        <is>
          <t>DER_CTY_OTHR</t>
        </is>
      </c>
      <c r="I60" s="94" t="inlineStr">
        <is>
          <t>Other commodities/Other</t>
        </is>
      </c>
    </row>
    <row r="61">
      <c r="B61" s="108" t="inlineStr">
        <is>
          <t>table 1</t>
        </is>
      </c>
      <c r="D61" s="92" t="inlineStr">
        <is>
          <t>DER</t>
        </is>
      </c>
      <c r="E61" s="92" t="inlineStr">
        <is>
          <t>Derivatives</t>
        </is>
      </c>
      <c r="F61" s="92" t="inlineStr">
        <is>
          <t>DER_OTH</t>
        </is>
      </c>
      <c r="G61" s="94" t="inlineStr">
        <is>
          <t>Other derivatives</t>
        </is>
      </c>
      <c r="H61" s="94" t="inlineStr">
        <is>
          <t>DER_OTH_OTHR</t>
        </is>
      </c>
      <c r="I61" s="94" t="inlineStr">
        <is>
          <t>Other derivatives</t>
        </is>
      </c>
    </row>
    <row r="62">
      <c r="B62" s="108" t="inlineStr">
        <is>
          <t>table 1</t>
        </is>
      </c>
      <c r="D62" s="92" t="inlineStr">
        <is>
          <t>PHY</t>
        </is>
      </c>
      <c r="E62" s="92" t="inlineStr">
        <is>
          <t>Physical (Real / Tangible Assets)</t>
        </is>
      </c>
      <c r="F62" s="92" t="inlineStr">
        <is>
          <t>PHY_RES</t>
        </is>
      </c>
      <c r="G62" s="92" t="inlineStr">
        <is>
          <t>Physical: real estate</t>
        </is>
      </c>
      <c r="H62" s="94" t="inlineStr">
        <is>
          <t>PHY_RES_RESL</t>
        </is>
      </c>
      <c r="I62" s="92" t="inlineStr">
        <is>
          <t>Residential real estate</t>
        </is>
      </c>
    </row>
    <row r="63">
      <c r="B63" s="108" t="inlineStr">
        <is>
          <t>table 1</t>
        </is>
      </c>
      <c r="D63" s="92" t="inlineStr">
        <is>
          <t>PHY</t>
        </is>
      </c>
      <c r="E63" s="92" t="inlineStr">
        <is>
          <t>Physical (Real / Tangible Assets)</t>
        </is>
      </c>
      <c r="F63" s="92" t="inlineStr">
        <is>
          <t>PHY_RES</t>
        </is>
      </c>
      <c r="G63" s="92" t="inlineStr">
        <is>
          <t>Physical: real estate</t>
        </is>
      </c>
      <c r="H63" s="94" t="inlineStr">
        <is>
          <t>PHY_RES_COML</t>
        </is>
      </c>
      <c r="I63" s="92" t="inlineStr">
        <is>
          <t>Commercial real estate</t>
        </is>
      </c>
    </row>
    <row r="64">
      <c r="B64" s="108" t="inlineStr">
        <is>
          <t>table 1</t>
        </is>
      </c>
      <c r="D64" s="92" t="inlineStr">
        <is>
          <t>PHY</t>
        </is>
      </c>
      <c r="E64" s="92" t="inlineStr">
        <is>
          <t>Physical (Real / Tangible Assets)</t>
        </is>
      </c>
      <c r="F64" s="92" t="inlineStr">
        <is>
          <t>PHY_RES</t>
        </is>
      </c>
      <c r="G64" s="92" t="inlineStr">
        <is>
          <t>Physical: real estate</t>
        </is>
      </c>
      <c r="H64" s="94" t="inlineStr">
        <is>
          <t>PHY_RES_OTHR</t>
        </is>
      </c>
      <c r="I64" s="92" t="inlineStr">
        <is>
          <t>Other real estate</t>
        </is>
      </c>
    </row>
    <row r="65">
      <c r="B65" s="108" t="inlineStr">
        <is>
          <t>table 1</t>
        </is>
      </c>
      <c r="D65" s="92" t="inlineStr">
        <is>
          <t>PHY</t>
        </is>
      </c>
      <c r="E65" s="92" t="inlineStr">
        <is>
          <t>Physical (Real / Tangible Assets)</t>
        </is>
      </c>
      <c r="F65" s="92" t="inlineStr">
        <is>
          <t>PHY_CTY</t>
        </is>
      </c>
      <c r="G65" s="92" t="inlineStr">
        <is>
          <t>Physical: Commodities</t>
        </is>
      </c>
      <c r="H65" s="94" t="inlineStr">
        <is>
          <t>PHY_CTY_PCTY</t>
        </is>
      </c>
      <c r="I65" s="92" t="inlineStr">
        <is>
          <t>Physical: Commodities</t>
        </is>
      </c>
    </row>
    <row r="66">
      <c r="B66" s="108" t="inlineStr">
        <is>
          <t>table 1</t>
        </is>
      </c>
      <c r="D66" s="92" t="inlineStr">
        <is>
          <t>PHY</t>
        </is>
      </c>
      <c r="E66" s="92" t="inlineStr">
        <is>
          <t>Physical (Real / Tangible Assets)</t>
        </is>
      </c>
      <c r="F66" s="92" t="inlineStr">
        <is>
          <t>PHY_TIM</t>
        </is>
      </c>
      <c r="G66" s="92" t="inlineStr">
        <is>
          <t>Physical: Timber</t>
        </is>
      </c>
      <c r="H66" s="94" t="inlineStr">
        <is>
          <t>PHY_TIM_PTIM</t>
        </is>
      </c>
      <c r="I66" s="92" t="inlineStr">
        <is>
          <t>Physical: Timber</t>
        </is>
      </c>
    </row>
    <row r="67">
      <c r="B67" s="108" t="inlineStr">
        <is>
          <t>table 1</t>
        </is>
      </c>
      <c r="D67" s="92" t="inlineStr">
        <is>
          <t>PHY</t>
        </is>
      </c>
      <c r="E67" s="92" t="inlineStr">
        <is>
          <t>Physical (Real / Tangible Assets)</t>
        </is>
      </c>
      <c r="F67" s="92" t="inlineStr">
        <is>
          <t>PHY_ART</t>
        </is>
      </c>
      <c r="G67" s="92" t="inlineStr">
        <is>
          <t>Physical: Art and collectables</t>
        </is>
      </c>
      <c r="H67" s="94" t="inlineStr">
        <is>
          <t>PHY_ART_PART</t>
        </is>
      </c>
      <c r="I67" s="92" t="inlineStr">
        <is>
          <t>Physical: Art and collectables</t>
        </is>
      </c>
    </row>
    <row r="68">
      <c r="B68" s="108" t="inlineStr">
        <is>
          <t>table 1</t>
        </is>
      </c>
      <c r="D68" s="92" t="inlineStr">
        <is>
          <t>PHY</t>
        </is>
      </c>
      <c r="E68" s="92" t="inlineStr">
        <is>
          <t>Physical (Real / Tangible Assets)</t>
        </is>
      </c>
      <c r="F68" s="92" t="inlineStr">
        <is>
          <t>PHY_TPT</t>
        </is>
      </c>
      <c r="G68" s="92" t="inlineStr">
        <is>
          <t>Physical: Transportation assets</t>
        </is>
      </c>
      <c r="H68" s="94" t="inlineStr">
        <is>
          <t>PHY_TPT_PTPT</t>
        </is>
      </c>
      <c r="I68" s="92" t="inlineStr">
        <is>
          <t>Physical: Transportation assets</t>
        </is>
      </c>
    </row>
    <row r="69">
      <c r="B69" s="108" t="inlineStr">
        <is>
          <t>table 1</t>
        </is>
      </c>
      <c r="D69" s="92" t="inlineStr">
        <is>
          <t>PHY</t>
        </is>
      </c>
      <c r="E69" s="92" t="inlineStr">
        <is>
          <t>Physical (Real / Tangible Assets)</t>
        </is>
      </c>
      <c r="F69" s="92" t="inlineStr">
        <is>
          <t>PHY_OTH</t>
        </is>
      </c>
      <c r="G69" s="92" t="inlineStr">
        <is>
          <t>Physical: Other</t>
        </is>
      </c>
      <c r="H69" s="94" t="inlineStr">
        <is>
          <t>PHY_OTH_OTHR</t>
        </is>
      </c>
      <c r="I69" s="92" t="inlineStr">
        <is>
          <t>Physical: Other</t>
        </is>
      </c>
    </row>
    <row r="70">
      <c r="B70" s="108" t="inlineStr">
        <is>
          <t>table 1</t>
        </is>
      </c>
      <c r="D70" s="92" t="inlineStr">
        <is>
          <t>CIU</t>
        </is>
      </c>
      <c r="E70" s="92" t="inlineStr">
        <is>
          <t>Collective Investment Undertakings</t>
        </is>
      </c>
      <c r="F70" s="92" t="inlineStr">
        <is>
          <t>CIU_OAM</t>
        </is>
      </c>
      <c r="G70" s="92" t="inlineStr">
        <is>
          <t>Investment in CIU operated/managed by the AIFM</t>
        </is>
      </c>
      <c r="H70" s="94" t="inlineStr">
        <is>
          <t>CIU_OAM_MMFC</t>
        </is>
      </c>
      <c r="I70" s="92" t="inlineStr">
        <is>
          <t>Investment in CIU operated/managed by the AIFM-Money Market Funds and cash management CIU</t>
        </is>
      </c>
    </row>
    <row r="71">
      <c r="B71" s="108" t="inlineStr">
        <is>
          <t>table 1</t>
        </is>
      </c>
      <c r="D71" s="92" t="inlineStr">
        <is>
          <t>CIU</t>
        </is>
      </c>
      <c r="E71" s="92" t="inlineStr">
        <is>
          <t>Collective Investment Undertakings</t>
        </is>
      </c>
      <c r="F71" s="92" t="inlineStr">
        <is>
          <t>CIU_OAM</t>
        </is>
      </c>
      <c r="G71" s="92" t="inlineStr">
        <is>
          <t>Investment in CIU operated/managed by the AIFM</t>
        </is>
      </c>
      <c r="H71" s="94" t="inlineStr">
        <is>
          <t>CIU_OAM_AETF</t>
        </is>
      </c>
      <c r="I71" s="92" t="inlineStr">
        <is>
          <t>Investment in CIU operated/managed by the AIFM-ETF</t>
        </is>
      </c>
    </row>
    <row r="72">
      <c r="B72" s="108" t="inlineStr">
        <is>
          <t>table 1</t>
        </is>
      </c>
      <c r="D72" s="92" t="inlineStr">
        <is>
          <t>CIU</t>
        </is>
      </c>
      <c r="E72" s="92" t="inlineStr">
        <is>
          <t>Collective Investment Undertakings</t>
        </is>
      </c>
      <c r="F72" s="92" t="inlineStr">
        <is>
          <t>CIU_OAM</t>
        </is>
      </c>
      <c r="G72" s="92" t="inlineStr">
        <is>
          <t>Investment in CIU operated/managed by the AIFM</t>
        </is>
      </c>
      <c r="H72" s="94" t="inlineStr">
        <is>
          <t>CIU_OAM_OTHR</t>
        </is>
      </c>
      <c r="I72" s="92" t="inlineStr">
        <is>
          <t>Investment in CIU operated/managed by the AIFM-Other CIU</t>
        </is>
      </c>
    </row>
    <row r="73">
      <c r="B73" s="108" t="inlineStr">
        <is>
          <t>table 1</t>
        </is>
      </c>
      <c r="D73" s="92" t="inlineStr">
        <is>
          <t>CIU</t>
        </is>
      </c>
      <c r="E73" s="92" t="inlineStr">
        <is>
          <t>Collective Investment Undertakings</t>
        </is>
      </c>
      <c r="F73" s="92" t="inlineStr">
        <is>
          <t>CIU_NAM</t>
        </is>
      </c>
      <c r="G73" s="92" t="inlineStr">
        <is>
          <t>Investment in CIU not operated/managed by the AIFM</t>
        </is>
      </c>
      <c r="H73" s="94" t="inlineStr">
        <is>
          <t>CIU_NAM_MMFC</t>
        </is>
      </c>
      <c r="I73" s="92" t="inlineStr">
        <is>
          <t>Investment in CIU not operated/managed by the AIFM-Money Market Funds and cash management CIU</t>
        </is>
      </c>
    </row>
    <row r="74">
      <c r="B74" s="108" t="inlineStr">
        <is>
          <t>table 1</t>
        </is>
      </c>
      <c r="D74" s="92" t="inlineStr">
        <is>
          <t>CIU</t>
        </is>
      </c>
      <c r="E74" s="92" t="inlineStr">
        <is>
          <t>Collective Investment Undertakings</t>
        </is>
      </c>
      <c r="F74" s="92" t="inlineStr">
        <is>
          <t>CIU_NAM</t>
        </is>
      </c>
      <c r="G74" s="92" t="inlineStr">
        <is>
          <t>Investment in CIU not operated/managed by the AIFM</t>
        </is>
      </c>
      <c r="H74" s="94" t="inlineStr">
        <is>
          <t>CIU_NAM_AETF</t>
        </is>
      </c>
      <c r="I74" s="92" t="inlineStr">
        <is>
          <t>Investment in CIU not operated/managed by the AIFM-ETF</t>
        </is>
      </c>
    </row>
    <row r="75">
      <c r="B75" s="108" t="inlineStr">
        <is>
          <t>table 1</t>
        </is>
      </c>
      <c r="D75" s="92" t="inlineStr">
        <is>
          <t>CIU</t>
        </is>
      </c>
      <c r="E75" s="92" t="inlineStr">
        <is>
          <t>Collective Investment Undertakings</t>
        </is>
      </c>
      <c r="F75" s="92" t="inlineStr">
        <is>
          <t>CIU_NAM</t>
        </is>
      </c>
      <c r="G75" s="92" t="inlineStr">
        <is>
          <t>Investment in CIU not operated/managed by the AIFM</t>
        </is>
      </c>
      <c r="H75" s="94" t="inlineStr">
        <is>
          <t>CIU_NAM_OTHR</t>
        </is>
      </c>
      <c r="I75" s="92" t="inlineStr">
        <is>
          <t>Investment in CIU not operated/managed by the AIFM-Other CIU</t>
        </is>
      </c>
    </row>
    <row r="76">
      <c r="B76" s="108" t="inlineStr">
        <is>
          <t>table 1</t>
        </is>
      </c>
      <c r="D76" s="92" t="inlineStr">
        <is>
          <t>OTH</t>
        </is>
      </c>
      <c r="E76" s="92" t="inlineStr">
        <is>
          <t>Investments in other asset classes</t>
        </is>
      </c>
      <c r="F76" s="92" t="inlineStr">
        <is>
          <t>OTH_OTH</t>
        </is>
      </c>
      <c r="G76" s="92" t="inlineStr">
        <is>
          <t>Total Other</t>
        </is>
      </c>
      <c r="H76" s="94" t="inlineStr">
        <is>
          <t>OTH_OTH_OTHR</t>
        </is>
      </c>
      <c r="I76" s="92" t="inlineStr">
        <is>
          <t>Total Other</t>
        </is>
      </c>
    </row>
    <row r="77">
      <c r="B77" s="108" t="n"/>
    </row>
    <row r="78">
      <c r="B78" s="108" t="inlineStr">
        <is>
          <t>table 2</t>
        </is>
      </c>
      <c r="E78" s="95" t="inlineStr">
        <is>
          <t>Sub-asset type</t>
        </is>
      </c>
      <c r="F78" s="96" t="n"/>
      <c r="G78" s="96" t="n"/>
    </row>
    <row r="79" ht="21" customHeight="1">
      <c r="B79" s="108" t="inlineStr">
        <is>
          <t>table 2</t>
        </is>
      </c>
      <c r="E79" s="91" t="inlineStr">
        <is>
          <t>Code
TURNOVER (field 125)</t>
        </is>
      </c>
      <c r="G79" s="90" t="inlineStr">
        <is>
          <t>Label</t>
        </is>
      </c>
    </row>
    <row r="80">
      <c r="B80" s="108" t="inlineStr">
        <is>
          <t>table 2</t>
        </is>
      </c>
      <c r="E80" s="197" t="inlineStr">
        <is>
          <t>SEC_CSH_CSH</t>
        </is>
      </c>
      <c r="F80" s="198" t="n"/>
      <c r="G80" s="197" t="inlineStr">
        <is>
          <t>Cash and cash equivalents</t>
        </is>
      </c>
    </row>
    <row r="81">
      <c r="B81" s="108" t="inlineStr">
        <is>
          <t>table 2</t>
        </is>
      </c>
      <c r="E81" s="197" t="inlineStr">
        <is>
          <t>SEC_LEQ_LEQ</t>
        </is>
      </c>
      <c r="F81" s="198" t="n"/>
      <c r="G81" s="197" t="inlineStr">
        <is>
          <t>Listed equities</t>
        </is>
      </c>
    </row>
    <row r="82">
      <c r="B82" s="108" t="inlineStr">
        <is>
          <t>table 2</t>
        </is>
      </c>
      <c r="E82" s="197" t="inlineStr">
        <is>
          <t>SEC_UEQ_UEQ</t>
        </is>
      </c>
      <c r="F82" s="198" t="n"/>
      <c r="G82" s="197" t="inlineStr">
        <is>
          <t>Unlisted equities</t>
        </is>
      </c>
    </row>
    <row r="83">
      <c r="B83" s="108" t="inlineStr">
        <is>
          <t>table 2</t>
        </is>
      </c>
      <c r="E83" s="197" t="inlineStr">
        <is>
          <t>SEC_CPN_IVG</t>
        </is>
      </c>
      <c r="F83" s="198" t="n"/>
      <c r="G83" s="196" t="inlineStr">
        <is>
          <t>Corporate bonds not issued by financial institutions-Investment grade</t>
        </is>
      </c>
    </row>
    <row r="84" ht="21" customHeight="1">
      <c r="B84" s="108" t="inlineStr">
        <is>
          <t>table 2</t>
        </is>
      </c>
      <c r="E84" s="197" t="inlineStr">
        <is>
          <t>SEC_CPN_NIG</t>
        </is>
      </c>
      <c r="F84" s="198" t="n"/>
      <c r="G84" s="196" t="inlineStr">
        <is>
          <t>Corporate bonds not issued by financial institutions-Non-investment grade</t>
        </is>
      </c>
    </row>
    <row r="85">
      <c r="B85" s="108" t="inlineStr">
        <is>
          <t>table 2</t>
        </is>
      </c>
      <c r="E85" s="197" t="inlineStr">
        <is>
          <t>SEC_CPI_CPI</t>
        </is>
      </c>
      <c r="F85" s="198" t="n"/>
      <c r="G85" s="197" t="inlineStr">
        <is>
          <t>Corporate bonds issued by financial institutions</t>
        </is>
      </c>
    </row>
    <row r="86">
      <c r="B86" s="108" t="inlineStr">
        <is>
          <t>table 2</t>
        </is>
      </c>
      <c r="E86" s="197" t="inlineStr">
        <is>
          <t>SEC_SBD_EUB</t>
        </is>
      </c>
      <c r="F86" s="198" t="n"/>
      <c r="G86" s="197" t="inlineStr">
        <is>
          <t>Sovereign bonds - EU Member State bonds</t>
        </is>
      </c>
    </row>
    <row r="87">
      <c r="B87" s="108" t="inlineStr">
        <is>
          <t>table 2</t>
        </is>
      </c>
      <c r="E87" s="197" t="inlineStr">
        <is>
          <t>SEC_SBD_NEU</t>
        </is>
      </c>
      <c r="F87" s="198" t="n"/>
      <c r="G87" s="197" t="inlineStr">
        <is>
          <t>Sovereign bonds - Non EU Member State bonds</t>
        </is>
      </c>
    </row>
    <row r="88">
      <c r="B88" s="108" t="inlineStr">
        <is>
          <t>table 2</t>
        </is>
      </c>
      <c r="E88" s="197" t="inlineStr">
        <is>
          <t>SEC_MUN_MUN</t>
        </is>
      </c>
      <c r="F88" s="198" t="n"/>
      <c r="G88" s="197" t="inlineStr">
        <is>
          <t>Municipal bonds</t>
        </is>
      </c>
    </row>
    <row r="89">
      <c r="B89" s="108" t="inlineStr">
        <is>
          <t>table 2</t>
        </is>
      </c>
      <c r="E89" s="197" t="inlineStr">
        <is>
          <t>SEC_CBD_CBD</t>
        </is>
      </c>
      <c r="F89" s="198" t="n"/>
      <c r="G89" s="197" t="inlineStr">
        <is>
          <t>Convertible bonds</t>
        </is>
      </c>
    </row>
    <row r="90">
      <c r="B90" s="108" t="inlineStr">
        <is>
          <t>table 2</t>
        </is>
      </c>
      <c r="E90" s="197" t="inlineStr">
        <is>
          <t>SEC_LON_LON</t>
        </is>
      </c>
      <c r="F90" s="198" t="n"/>
      <c r="G90" s="197" t="inlineStr">
        <is>
          <t>Loans</t>
        </is>
      </c>
    </row>
    <row r="91">
      <c r="B91" s="108" t="inlineStr">
        <is>
          <t>table 2</t>
        </is>
      </c>
      <c r="E91" s="197" t="inlineStr">
        <is>
          <t>SEC_SSP_SSP</t>
        </is>
      </c>
      <c r="F91" s="198" t="n"/>
      <c r="G91" s="197" t="inlineStr">
        <is>
          <t>Structured/securitised products</t>
        </is>
      </c>
    </row>
    <row r="92">
      <c r="B92" s="108" t="inlineStr">
        <is>
          <t>table 2</t>
        </is>
      </c>
      <c r="E92" s="197" t="inlineStr">
        <is>
          <t>DER_EQD_EQD</t>
        </is>
      </c>
      <c r="F92" s="198" t="n"/>
      <c r="G92" s="197" t="inlineStr">
        <is>
          <t>Equity derivatives</t>
        </is>
      </c>
    </row>
    <row r="93">
      <c r="B93" s="108" t="inlineStr">
        <is>
          <t>table 2</t>
        </is>
      </c>
      <c r="E93" s="197" t="inlineStr">
        <is>
          <t>DER_FID_FID</t>
        </is>
      </c>
      <c r="F93" s="198" t="n"/>
      <c r="G93" s="197" t="inlineStr">
        <is>
          <t>Fixed income derivatives</t>
        </is>
      </c>
    </row>
    <row r="94">
      <c r="B94" s="108" t="inlineStr">
        <is>
          <t>table 2</t>
        </is>
      </c>
      <c r="E94" s="197" t="inlineStr">
        <is>
          <t>DER_CDS_CDS</t>
        </is>
      </c>
      <c r="F94" s="198" t="n"/>
      <c r="G94" s="197" t="inlineStr">
        <is>
          <t>CDS</t>
        </is>
      </c>
    </row>
    <row r="95">
      <c r="B95" s="108" t="inlineStr">
        <is>
          <t>table 2</t>
        </is>
      </c>
      <c r="E95" s="197" t="inlineStr">
        <is>
          <t>DER_FEX_INV</t>
        </is>
      </c>
      <c r="F95" s="198" t="n"/>
      <c r="G95" s="197" t="inlineStr">
        <is>
          <t>Foreign exchange (for investment purposes)</t>
        </is>
      </c>
    </row>
    <row r="96">
      <c r="B96" s="108" t="inlineStr">
        <is>
          <t>table 2</t>
        </is>
      </c>
      <c r="E96" s="197" t="inlineStr">
        <is>
          <t>DER_FEX_HED</t>
        </is>
      </c>
      <c r="F96" s="198" t="n"/>
      <c r="G96" s="197" t="inlineStr">
        <is>
          <t>Foreign exchange (for hedging purposes)</t>
        </is>
      </c>
    </row>
    <row r="97">
      <c r="B97" s="108" t="inlineStr">
        <is>
          <t>table 2</t>
        </is>
      </c>
      <c r="E97" s="197" t="inlineStr">
        <is>
          <t>DER_IRD_IRD</t>
        </is>
      </c>
      <c r="F97" s="198" t="n"/>
      <c r="G97" s="197" t="inlineStr">
        <is>
          <t>Interest rate derivatives</t>
        </is>
      </c>
    </row>
    <row r="98">
      <c r="B98" s="108" t="inlineStr">
        <is>
          <t>table 2</t>
        </is>
      </c>
      <c r="E98" s="197" t="inlineStr">
        <is>
          <t>DER_CTY_CTY</t>
        </is>
      </c>
      <c r="F98" s="198" t="n"/>
      <c r="G98" s="197" t="inlineStr">
        <is>
          <t>Commodity derivatives</t>
        </is>
      </c>
    </row>
    <row r="99">
      <c r="B99" s="108" t="inlineStr">
        <is>
          <t>table 2</t>
        </is>
      </c>
      <c r="E99" s="197" t="inlineStr">
        <is>
          <t>DER_OTH_OTH</t>
        </is>
      </c>
      <c r="F99" s="198" t="n"/>
      <c r="G99" s="197" t="inlineStr">
        <is>
          <t>Other derivatives</t>
        </is>
      </c>
    </row>
    <row r="100">
      <c r="B100" s="108" t="inlineStr">
        <is>
          <t>table 2</t>
        </is>
      </c>
      <c r="E100" s="197" t="inlineStr">
        <is>
          <t>PHY_RES_RES</t>
        </is>
      </c>
      <c r="F100" s="198" t="n"/>
      <c r="G100" s="196" t="inlineStr">
        <is>
          <t>Physical: Real estate</t>
        </is>
      </c>
    </row>
    <row r="101">
      <c r="B101" s="108" t="inlineStr">
        <is>
          <t>table 2</t>
        </is>
      </c>
      <c r="E101" s="197" t="inlineStr">
        <is>
          <t>PHY_CTY_CTY</t>
        </is>
      </c>
      <c r="F101" s="198" t="n"/>
      <c r="G101" s="196" t="inlineStr">
        <is>
          <t>Physical: Commodities</t>
        </is>
      </c>
    </row>
    <row r="102">
      <c r="B102" s="108" t="inlineStr">
        <is>
          <t>table 2</t>
        </is>
      </c>
      <c r="E102" s="197" t="inlineStr">
        <is>
          <t>PHY_TIM_TIM</t>
        </is>
      </c>
      <c r="F102" s="198" t="n"/>
      <c r="G102" s="196" t="inlineStr">
        <is>
          <t>Physical: Timber</t>
        </is>
      </c>
    </row>
    <row r="103">
      <c r="B103" s="108" t="inlineStr">
        <is>
          <t>table 2</t>
        </is>
      </c>
      <c r="E103" s="197" t="inlineStr">
        <is>
          <t>PHY_ART_ART</t>
        </is>
      </c>
      <c r="F103" s="198" t="n"/>
      <c r="G103" s="196" t="inlineStr">
        <is>
          <t>Physical: Art and collectables</t>
        </is>
      </c>
    </row>
    <row r="104">
      <c r="B104" s="108" t="inlineStr">
        <is>
          <t>table 2</t>
        </is>
      </c>
      <c r="E104" s="197" t="inlineStr">
        <is>
          <t>PHY_TPT_TPT</t>
        </is>
      </c>
      <c r="F104" s="198" t="n"/>
      <c r="G104" s="196" t="inlineStr">
        <is>
          <t>Physical: Transportation assets</t>
        </is>
      </c>
    </row>
    <row r="105">
      <c r="B105" s="108" t="inlineStr">
        <is>
          <t>table 2</t>
        </is>
      </c>
      <c r="E105" s="197" t="inlineStr">
        <is>
          <t>PHY_OTH_OTH</t>
        </is>
      </c>
      <c r="F105" s="198" t="n"/>
      <c r="G105" s="196" t="inlineStr">
        <is>
          <t>Physical: Other</t>
        </is>
      </c>
    </row>
    <row r="106">
      <c r="B106" s="108" t="inlineStr">
        <is>
          <t>table 2</t>
        </is>
      </c>
      <c r="E106" s="197" t="inlineStr">
        <is>
          <t>CIU_CIU_CIU</t>
        </is>
      </c>
      <c r="F106" s="198" t="n"/>
      <c r="G106" s="196" t="inlineStr">
        <is>
          <t>Collective Investment Undertakings</t>
        </is>
      </c>
    </row>
    <row r="107">
      <c r="B107" s="108" t="inlineStr">
        <is>
          <t>table 2</t>
        </is>
      </c>
      <c r="E107" s="197" t="inlineStr">
        <is>
          <t>OTH_OTH_OTH</t>
        </is>
      </c>
      <c r="F107" s="198" t="n"/>
      <c r="G107" s="196" t="inlineStr">
        <is>
          <t>Total Other</t>
        </is>
      </c>
    </row>
    <row r="108">
      <c r="B108" s="109" t="n"/>
    </row>
    <row r="109" ht="21.5" customHeight="1" thickBot="1">
      <c r="B109" s="108" t="inlineStr">
        <is>
          <t>table 3</t>
        </is>
      </c>
      <c r="D109" s="105" t="n"/>
      <c r="E109" s="97" t="inlineStr">
        <is>
          <t>AIF type label</t>
        </is>
      </c>
      <c r="F109" s="98" t="inlineStr">
        <is>
          <t>AIF strategy code
STRATEGY (field 58)</t>
        </is>
      </c>
      <c r="G109" s="99" t="inlineStr">
        <is>
          <t>AIF strategy label</t>
        </is>
      </c>
    </row>
    <row r="110">
      <c r="B110" s="108" t="inlineStr">
        <is>
          <t>table 3</t>
        </is>
      </c>
      <c r="D110" s="199" t="inlineStr">
        <is>
          <t>HFND</t>
        </is>
      </c>
      <c r="E110" s="200" t="inlineStr">
        <is>
          <t xml:space="preserve"> Hedge fund strategies</t>
        </is>
      </c>
      <c r="F110" s="200" t="inlineStr">
        <is>
          <t>EQTY_LGBS</t>
        </is>
      </c>
      <c r="G110" s="201" t="inlineStr">
        <is>
          <t>Equity: Long Bias</t>
        </is>
      </c>
    </row>
    <row r="111">
      <c r="B111" s="108" t="inlineStr">
        <is>
          <t>table 3</t>
        </is>
      </c>
      <c r="D111" s="202" t="inlineStr">
        <is>
          <t>HFND</t>
        </is>
      </c>
      <c r="E111" s="203" t="inlineStr">
        <is>
          <t xml:space="preserve"> Hedge fund strategies</t>
        </is>
      </c>
      <c r="F111" s="203" t="inlineStr">
        <is>
          <t>EQTY_LGST</t>
        </is>
      </c>
      <c r="G111" s="204" t="inlineStr">
        <is>
          <t>Equity: Long/Short</t>
        </is>
      </c>
    </row>
    <row r="112">
      <c r="B112" s="108" t="inlineStr">
        <is>
          <t>table 3</t>
        </is>
      </c>
      <c r="D112" s="202" t="inlineStr">
        <is>
          <t>HFND</t>
        </is>
      </c>
      <c r="E112" s="203" t="inlineStr">
        <is>
          <t xml:space="preserve"> Hedge fund strategies</t>
        </is>
      </c>
      <c r="F112" s="203" t="inlineStr">
        <is>
          <t>EQTY_MTNL</t>
        </is>
      </c>
      <c r="G112" s="204" t="inlineStr">
        <is>
          <t>Equity: Market neutral</t>
        </is>
      </c>
    </row>
    <row r="113">
      <c r="B113" s="108" t="inlineStr">
        <is>
          <t>table 3</t>
        </is>
      </c>
      <c r="D113" s="202" t="inlineStr">
        <is>
          <t>HFND</t>
        </is>
      </c>
      <c r="E113" s="203" t="inlineStr">
        <is>
          <t xml:space="preserve"> Hedge fund strategies</t>
        </is>
      </c>
      <c r="F113" s="203" t="inlineStr">
        <is>
          <t>EQTY_STBS</t>
        </is>
      </c>
      <c r="G113" s="204" t="inlineStr">
        <is>
          <t>Equity: Short Bias</t>
        </is>
      </c>
    </row>
    <row r="114">
      <c r="B114" s="108" t="inlineStr">
        <is>
          <t>table 3</t>
        </is>
      </c>
      <c r="D114" s="202" t="inlineStr">
        <is>
          <t>HFND</t>
        </is>
      </c>
      <c r="E114" s="203" t="inlineStr">
        <is>
          <t xml:space="preserve"> Hedge fund strategies</t>
        </is>
      </c>
      <c r="F114" s="203" t="inlineStr">
        <is>
          <t>RELV_FXIA</t>
        </is>
      </c>
      <c r="G114" s="204" t="inlineStr">
        <is>
          <t>Relative Value: Fixed Income Arbitrage</t>
        </is>
      </c>
    </row>
    <row r="115">
      <c r="B115" s="108" t="inlineStr">
        <is>
          <t>table 3</t>
        </is>
      </c>
      <c r="D115" s="202" t="inlineStr">
        <is>
          <t>HFND</t>
        </is>
      </c>
      <c r="E115" s="203" t="inlineStr">
        <is>
          <t xml:space="preserve"> Hedge fund strategies</t>
        </is>
      </c>
      <c r="F115" s="203" t="inlineStr">
        <is>
          <t>RELV_CBAR</t>
        </is>
      </c>
      <c r="G115" s="204" t="inlineStr">
        <is>
          <t>Relative Value: Convertible Bond Arbitrage</t>
        </is>
      </c>
    </row>
    <row r="116">
      <c r="B116" s="108" t="inlineStr">
        <is>
          <t>table 3</t>
        </is>
      </c>
      <c r="D116" s="202" t="inlineStr">
        <is>
          <t>HFND</t>
        </is>
      </c>
      <c r="E116" s="203" t="inlineStr">
        <is>
          <t xml:space="preserve"> Hedge fund strategies</t>
        </is>
      </c>
      <c r="F116" s="203" t="inlineStr">
        <is>
          <t>RELV_VLAR</t>
        </is>
      </c>
      <c r="G116" s="204" t="inlineStr">
        <is>
          <t>Relative Value: Volatility Arbitrage</t>
        </is>
      </c>
    </row>
    <row r="117">
      <c r="B117" s="108" t="inlineStr">
        <is>
          <t>table 3</t>
        </is>
      </c>
      <c r="D117" s="202" t="inlineStr">
        <is>
          <t>HFND</t>
        </is>
      </c>
      <c r="E117" s="203" t="inlineStr">
        <is>
          <t xml:space="preserve"> Hedge fund strategies</t>
        </is>
      </c>
      <c r="F117" s="203" t="inlineStr">
        <is>
          <t>EVDR_DSRS</t>
        </is>
      </c>
      <c r="G117" s="204" t="inlineStr">
        <is>
          <t>Event Driven: Distressed/Restructuring</t>
        </is>
      </c>
    </row>
    <row r="118">
      <c r="B118" s="108" t="inlineStr">
        <is>
          <t>table 3</t>
        </is>
      </c>
      <c r="D118" s="202" t="inlineStr">
        <is>
          <t>HFND</t>
        </is>
      </c>
      <c r="E118" s="203" t="inlineStr">
        <is>
          <t xml:space="preserve"> Hedge fund strategies</t>
        </is>
      </c>
      <c r="F118" s="203" t="inlineStr">
        <is>
          <t>EVDR_RAMA</t>
        </is>
      </c>
      <c r="G118" s="204" t="inlineStr">
        <is>
          <t>Event Driven: Risk Arbitrage/Merger Arbitrage</t>
        </is>
      </c>
    </row>
    <row r="119">
      <c r="B119" s="108" t="inlineStr">
        <is>
          <t>table 3</t>
        </is>
      </c>
      <c r="D119" s="202" t="inlineStr">
        <is>
          <t>HFND</t>
        </is>
      </c>
      <c r="E119" s="203" t="inlineStr">
        <is>
          <t xml:space="preserve"> Hedge fund strategies</t>
        </is>
      </c>
      <c r="F119" s="203" t="inlineStr">
        <is>
          <t>EVDR_EYSS</t>
        </is>
      </c>
      <c r="G119" s="204" t="inlineStr">
        <is>
          <t>Event Driven: Equity Special Situations</t>
        </is>
      </c>
    </row>
    <row r="120">
      <c r="B120" s="108" t="inlineStr">
        <is>
          <t>table 3</t>
        </is>
      </c>
      <c r="D120" s="202" t="inlineStr">
        <is>
          <t>HFND</t>
        </is>
      </c>
      <c r="E120" s="203" t="inlineStr">
        <is>
          <t xml:space="preserve"> Hedge fund strategies</t>
        </is>
      </c>
      <c r="F120" s="203" t="inlineStr">
        <is>
          <t>CRED_LGST</t>
        </is>
      </c>
      <c r="G120" s="204" t="inlineStr">
        <is>
          <t>Credit Long/Short</t>
        </is>
      </c>
    </row>
    <row r="121">
      <c r="B121" s="108" t="inlineStr">
        <is>
          <t>table 3</t>
        </is>
      </c>
      <c r="D121" s="202" t="inlineStr">
        <is>
          <t>HFND</t>
        </is>
      </c>
      <c r="E121" s="203" t="inlineStr">
        <is>
          <t xml:space="preserve"> Hedge fund strategies</t>
        </is>
      </c>
      <c r="F121" s="203" t="inlineStr">
        <is>
          <t>CRED_ABLG</t>
        </is>
      </c>
      <c r="G121" s="204" t="inlineStr">
        <is>
          <t>Credit Asset Based Lending</t>
        </is>
      </c>
    </row>
    <row r="122">
      <c r="B122" s="108" t="inlineStr">
        <is>
          <t>table 3</t>
        </is>
      </c>
      <c r="D122" s="202" t="inlineStr">
        <is>
          <t>HFND</t>
        </is>
      </c>
      <c r="E122" s="203" t="inlineStr">
        <is>
          <t xml:space="preserve"> Hedge fund strategies</t>
        </is>
      </c>
      <c r="F122" s="203" t="inlineStr">
        <is>
          <t>MACR_MACR</t>
        </is>
      </c>
      <c r="G122" s="204" t="inlineStr">
        <is>
          <t>Macro</t>
        </is>
      </c>
    </row>
    <row r="123">
      <c r="B123" s="108" t="inlineStr">
        <is>
          <t>table 3</t>
        </is>
      </c>
      <c r="D123" s="202" t="inlineStr">
        <is>
          <t>HFND</t>
        </is>
      </c>
      <c r="E123" s="203" t="inlineStr">
        <is>
          <t xml:space="preserve"> Hedge fund strategies</t>
        </is>
      </c>
      <c r="F123" s="203" t="inlineStr">
        <is>
          <t>MANF_CTAF</t>
        </is>
      </c>
      <c r="G123" s="204" t="inlineStr">
        <is>
          <t>Managed Futures/CTA: Fundamental</t>
        </is>
      </c>
    </row>
    <row r="124">
      <c r="B124" s="108" t="inlineStr">
        <is>
          <t>table 3</t>
        </is>
      </c>
      <c r="D124" s="202" t="inlineStr">
        <is>
          <t>HFND</t>
        </is>
      </c>
      <c r="E124" s="203" t="inlineStr">
        <is>
          <t xml:space="preserve"> Hedge fund strategies</t>
        </is>
      </c>
      <c r="F124" s="203" t="inlineStr">
        <is>
          <t>MANF_CTAQ</t>
        </is>
      </c>
      <c r="G124" s="204" t="inlineStr">
        <is>
          <t>Managed Futures/CTA: Quantitative</t>
        </is>
      </c>
    </row>
    <row r="125">
      <c r="B125" s="108" t="inlineStr">
        <is>
          <t>table 3</t>
        </is>
      </c>
      <c r="D125" s="205" t="inlineStr">
        <is>
          <t>HFND</t>
        </is>
      </c>
      <c r="E125" s="206" t="inlineStr">
        <is>
          <t xml:space="preserve"> Hedge fund strategies</t>
        </is>
      </c>
      <c r="F125" s="206" t="inlineStr">
        <is>
          <t>MULT_HFND</t>
        </is>
      </c>
      <c r="G125" s="207" t="inlineStr">
        <is>
          <t>Multi-strategy hedge fund</t>
        </is>
      </c>
      <c r="H125" s="177" t="inlineStr">
        <is>
          <t>Do not enter "MULT_" strategy codes, these are added automatically when needed.</t>
        </is>
      </c>
    </row>
    <row r="126">
      <c r="B126" s="108" t="inlineStr">
        <is>
          <t>table 3</t>
        </is>
      </c>
      <c r="D126" s="202" t="inlineStr">
        <is>
          <t>HFND</t>
        </is>
      </c>
      <c r="E126" s="203" t="inlineStr">
        <is>
          <t xml:space="preserve"> Hedge fund strategies</t>
        </is>
      </c>
      <c r="F126" s="203" t="inlineStr">
        <is>
          <t>OTHR_HFND</t>
        </is>
      </c>
      <c r="G126" s="204" t="inlineStr">
        <is>
          <t>Other hedge fund strategy</t>
        </is>
      </c>
    </row>
    <row r="127">
      <c r="B127" s="108" t="inlineStr">
        <is>
          <t>table 3</t>
        </is>
      </c>
      <c r="D127" s="202" t="inlineStr">
        <is>
          <t>PEQF</t>
        </is>
      </c>
      <c r="E127" s="203" t="inlineStr">
        <is>
          <t>Private equity strategies</t>
        </is>
      </c>
      <c r="F127" s="203" t="inlineStr">
        <is>
          <t>VENT_CAPL</t>
        </is>
      </c>
      <c r="G127" s="204" t="inlineStr">
        <is>
          <t>Venture Capital</t>
        </is>
      </c>
    </row>
    <row r="128">
      <c r="B128" s="108" t="inlineStr">
        <is>
          <t>table 3</t>
        </is>
      </c>
      <c r="D128" s="202" t="inlineStr">
        <is>
          <t>PEQF</t>
        </is>
      </c>
      <c r="E128" s="203" t="inlineStr">
        <is>
          <t>Private equity strategies</t>
        </is>
      </c>
      <c r="F128" s="203" t="inlineStr">
        <is>
          <t>GRTH_CAPL</t>
        </is>
      </c>
      <c r="G128" s="204" t="inlineStr">
        <is>
          <t>Growth Capital</t>
        </is>
      </c>
    </row>
    <row r="129">
      <c r="B129" s="108" t="inlineStr">
        <is>
          <t>table 3</t>
        </is>
      </c>
      <c r="D129" s="202" t="inlineStr">
        <is>
          <t>PEQF</t>
        </is>
      </c>
      <c r="E129" s="203" t="inlineStr">
        <is>
          <t>Private equity strategies</t>
        </is>
      </c>
      <c r="F129" s="203" t="inlineStr">
        <is>
          <t>MZNE_CAPL</t>
        </is>
      </c>
      <c r="G129" s="204" t="inlineStr">
        <is>
          <t>Mezzanine Capital</t>
        </is>
      </c>
    </row>
    <row r="130">
      <c r="B130" s="108" t="inlineStr">
        <is>
          <t>table 3</t>
        </is>
      </c>
      <c r="D130" s="205" t="inlineStr">
        <is>
          <t>PEQF</t>
        </is>
      </c>
      <c r="E130" s="206" t="inlineStr">
        <is>
          <t>Private equity strategies</t>
        </is>
      </c>
      <c r="F130" s="206" t="inlineStr">
        <is>
          <t>MULT_PEQF</t>
        </is>
      </c>
      <c r="G130" s="207" t="inlineStr">
        <is>
          <t>Multi-strategy private equity fund</t>
        </is>
      </c>
      <c r="H130" s="177" t="inlineStr">
        <is>
          <t>Do not enter "MULT_" strategy codes, these are added automatically when needed.</t>
        </is>
      </c>
    </row>
    <row r="131">
      <c r="B131" s="108" t="inlineStr">
        <is>
          <t>table 3</t>
        </is>
      </c>
      <c r="D131" s="202" t="inlineStr">
        <is>
          <t>PEQF</t>
        </is>
      </c>
      <c r="E131" s="203" t="inlineStr">
        <is>
          <t>Private equity strategies</t>
        </is>
      </c>
      <c r="F131" s="203" t="inlineStr">
        <is>
          <t>OTHR_PEQF</t>
        </is>
      </c>
      <c r="G131" s="204" t="inlineStr">
        <is>
          <t>Other private equity fund strategy</t>
        </is>
      </c>
    </row>
    <row r="132">
      <c r="B132" s="108" t="inlineStr">
        <is>
          <t>table 3</t>
        </is>
      </c>
      <c r="D132" s="202" t="inlineStr">
        <is>
          <t>REST</t>
        </is>
      </c>
      <c r="E132" s="203" t="inlineStr">
        <is>
          <t>Real estate strategies</t>
        </is>
      </c>
      <c r="F132" s="203" t="inlineStr">
        <is>
          <t>RESL_REST</t>
        </is>
      </c>
      <c r="G132" s="204" t="inlineStr">
        <is>
          <t>Residential real estate</t>
        </is>
      </c>
    </row>
    <row r="133">
      <c r="B133" s="108" t="inlineStr">
        <is>
          <t>table 3</t>
        </is>
      </c>
      <c r="D133" s="202" t="inlineStr">
        <is>
          <t>REST</t>
        </is>
      </c>
      <c r="E133" s="203" t="inlineStr">
        <is>
          <t>Real estate strategies</t>
        </is>
      </c>
      <c r="F133" s="203" t="inlineStr">
        <is>
          <t>COML_REST</t>
        </is>
      </c>
      <c r="G133" s="204" t="inlineStr">
        <is>
          <t>Commercial real estate</t>
        </is>
      </c>
    </row>
    <row r="134">
      <c r="B134" s="108" t="inlineStr">
        <is>
          <t>table 3</t>
        </is>
      </c>
      <c r="D134" s="202" t="inlineStr">
        <is>
          <t>REST</t>
        </is>
      </c>
      <c r="E134" s="203" t="inlineStr">
        <is>
          <t>Real estate strategies</t>
        </is>
      </c>
      <c r="F134" s="203" t="inlineStr">
        <is>
          <t>INDL_REST</t>
        </is>
      </c>
      <c r="G134" s="204" t="inlineStr">
        <is>
          <t>Industrial real estate</t>
        </is>
      </c>
    </row>
    <row r="135">
      <c r="B135" s="108" t="inlineStr">
        <is>
          <t>table 3</t>
        </is>
      </c>
      <c r="D135" s="205" t="inlineStr">
        <is>
          <t>REST</t>
        </is>
      </c>
      <c r="E135" s="206" t="inlineStr">
        <is>
          <t>Real estate strategies</t>
        </is>
      </c>
      <c r="F135" s="206" t="inlineStr">
        <is>
          <t>MULT_REST</t>
        </is>
      </c>
      <c r="G135" s="207" t="inlineStr">
        <is>
          <t>Multi-strategy real estate fund</t>
        </is>
      </c>
      <c r="H135" s="177" t="inlineStr">
        <is>
          <t>Do not enter "MULT_" strategy codes, these are added automatically when needed.</t>
        </is>
      </c>
    </row>
    <row r="136">
      <c r="B136" s="108" t="inlineStr">
        <is>
          <t>table 3</t>
        </is>
      </c>
      <c r="D136" s="202" t="inlineStr">
        <is>
          <t>REST</t>
        </is>
      </c>
      <c r="E136" s="203" t="inlineStr">
        <is>
          <t>Real estate strategies</t>
        </is>
      </c>
      <c r="F136" s="203" t="inlineStr">
        <is>
          <t>OTHR_REST</t>
        </is>
      </c>
      <c r="G136" s="204" t="inlineStr">
        <is>
          <t>Other real estate strategy</t>
        </is>
      </c>
    </row>
    <row r="137">
      <c r="B137" s="108" t="inlineStr">
        <is>
          <t>table 3</t>
        </is>
      </c>
      <c r="D137" s="202" t="inlineStr">
        <is>
          <t>FOFS</t>
        </is>
      </c>
      <c r="E137" s="203" t="inlineStr">
        <is>
          <t>Fund of fund strategies</t>
        </is>
      </c>
      <c r="F137" s="208" t="inlineStr">
        <is>
          <t>FOFS_FHFS</t>
        </is>
      </c>
      <c r="G137" s="204" t="inlineStr">
        <is>
          <t>Fund of hedge funds</t>
        </is>
      </c>
    </row>
    <row r="138">
      <c r="B138" s="108" t="inlineStr">
        <is>
          <t>table 3</t>
        </is>
      </c>
      <c r="D138" s="202" t="inlineStr">
        <is>
          <t xml:space="preserve">FOFS </t>
        </is>
      </c>
      <c r="E138" s="203" t="inlineStr">
        <is>
          <t>Fund of fund strategies</t>
        </is>
      </c>
      <c r="F138" s="208" t="inlineStr">
        <is>
          <t>FOFS_PRIV</t>
        </is>
      </c>
      <c r="G138" s="204" t="inlineStr">
        <is>
          <t>Fund of private equity</t>
        </is>
      </c>
    </row>
    <row r="139">
      <c r="B139" s="108" t="inlineStr">
        <is>
          <t>table 3</t>
        </is>
      </c>
      <c r="D139" s="202" t="inlineStr">
        <is>
          <t xml:space="preserve">FOFS </t>
        </is>
      </c>
      <c r="E139" s="203" t="inlineStr">
        <is>
          <t>Fund of fund strategies</t>
        </is>
      </c>
      <c r="F139" s="208" t="inlineStr">
        <is>
          <t>OTHR_FOFS</t>
        </is>
      </c>
      <c r="G139" s="204" t="inlineStr">
        <is>
          <t>Other fund of funds</t>
        </is>
      </c>
    </row>
    <row r="140">
      <c r="B140" s="108" t="inlineStr">
        <is>
          <t>table 3</t>
        </is>
      </c>
      <c r="D140" s="202" t="inlineStr">
        <is>
          <t>OTHR</t>
        </is>
      </c>
      <c r="E140" s="203" t="inlineStr">
        <is>
          <t>Other Strategy</t>
        </is>
      </c>
      <c r="F140" s="208" t="inlineStr">
        <is>
          <t>OTHR_COMF</t>
        </is>
      </c>
      <c r="G140" s="204" t="inlineStr">
        <is>
          <t>Commodity fund</t>
        </is>
      </c>
    </row>
    <row r="141">
      <c r="B141" s="108" t="inlineStr">
        <is>
          <t>table 3</t>
        </is>
      </c>
      <c r="D141" s="202" t="inlineStr">
        <is>
          <t>OTHR</t>
        </is>
      </c>
      <c r="E141" s="203" t="inlineStr">
        <is>
          <t>Other Strategy</t>
        </is>
      </c>
      <c r="F141" s="208" t="inlineStr">
        <is>
          <t>OTHR_EQYF</t>
        </is>
      </c>
      <c r="G141" s="204" t="inlineStr">
        <is>
          <t>Equity fund</t>
        </is>
      </c>
    </row>
    <row r="142">
      <c r="B142" s="108" t="inlineStr">
        <is>
          <t>table 3</t>
        </is>
      </c>
      <c r="D142" s="202" t="inlineStr">
        <is>
          <t>OTHR</t>
        </is>
      </c>
      <c r="E142" s="203" t="inlineStr">
        <is>
          <t>Other Strategy</t>
        </is>
      </c>
      <c r="F142" s="208" t="inlineStr">
        <is>
          <t>OTHR_FXIF</t>
        </is>
      </c>
      <c r="G142" s="204" t="inlineStr">
        <is>
          <t>Fixed income fund</t>
        </is>
      </c>
    </row>
    <row r="143">
      <c r="B143" s="108" t="inlineStr">
        <is>
          <t>table 3</t>
        </is>
      </c>
      <c r="D143" s="202" t="inlineStr">
        <is>
          <t>OTHR</t>
        </is>
      </c>
      <c r="E143" s="203" t="inlineStr">
        <is>
          <t>Other Strategy</t>
        </is>
      </c>
      <c r="F143" s="208" t="inlineStr">
        <is>
          <t>OTHR_INFF</t>
        </is>
      </c>
      <c r="G143" s="204" t="inlineStr">
        <is>
          <t>Infrastructure fund</t>
        </is>
      </c>
    </row>
    <row r="144" ht="11" customHeight="1" thickBot="1">
      <c r="B144" s="108" t="inlineStr">
        <is>
          <t>table 3</t>
        </is>
      </c>
      <c r="D144" s="209" t="inlineStr">
        <is>
          <t>OTHR</t>
        </is>
      </c>
      <c r="E144" s="210" t="inlineStr">
        <is>
          <t>Other Strategy</t>
        </is>
      </c>
      <c r="F144" s="211" t="inlineStr">
        <is>
          <t>OTHR_OTHF</t>
        </is>
      </c>
      <c r="G144" s="212" t="inlineStr">
        <is>
          <t>Other fund</t>
        </is>
      </c>
    </row>
    <row r="145">
      <c r="B145" s="109" t="n"/>
    </row>
    <row r="146" ht="11" customHeight="1" thickBot="1">
      <c r="B146" s="108" t="inlineStr">
        <is>
          <t>table 4</t>
        </is>
      </c>
      <c r="E146" s="104" t="n"/>
      <c r="F146" s="101" t="inlineStr">
        <is>
          <t>Code (field 113)</t>
        </is>
      </c>
      <c r="G146" s="100" t="inlineStr">
        <is>
          <t>Label</t>
        </is>
      </c>
      <c r="H146" s="173" t="n"/>
    </row>
    <row r="147">
      <c r="B147" s="108" t="inlineStr">
        <is>
          <t>table 4</t>
        </is>
      </c>
      <c r="E147" s="213" t="inlineStr">
        <is>
          <t>Typical Position Size</t>
        </is>
      </c>
      <c r="F147" s="214" t="inlineStr">
        <is>
          <t>V_SMALL</t>
        </is>
      </c>
      <c r="G147" s="213" t="inlineStr">
        <is>
          <t>Very Small</t>
        </is>
      </c>
      <c r="H147" s="174" t="n"/>
    </row>
    <row r="148">
      <c r="B148" s="108" t="inlineStr">
        <is>
          <t>table 4</t>
        </is>
      </c>
      <c r="E148" s="203" t="inlineStr">
        <is>
          <t>Typical Position Size</t>
        </is>
      </c>
      <c r="F148" s="215" t="inlineStr">
        <is>
          <t>SMALL</t>
        </is>
      </c>
      <c r="G148" s="203" t="inlineStr">
        <is>
          <t>Small</t>
        </is>
      </c>
      <c r="H148" s="174" t="n"/>
    </row>
    <row r="149">
      <c r="B149" s="108" t="inlineStr">
        <is>
          <t>table 4</t>
        </is>
      </c>
      <c r="E149" s="203" t="inlineStr">
        <is>
          <t>Typical Position Size</t>
        </is>
      </c>
      <c r="F149" s="215" t="inlineStr">
        <is>
          <t>LOW_MID_MKT</t>
        </is>
      </c>
      <c r="G149" s="203" t="inlineStr">
        <is>
          <t>Lower mid market</t>
        </is>
      </c>
      <c r="H149" s="174" t="n"/>
    </row>
    <row r="150">
      <c r="B150" s="108" t="inlineStr">
        <is>
          <t>table 4</t>
        </is>
      </c>
      <c r="E150" s="203" t="inlineStr">
        <is>
          <t>Typical Position Size</t>
        </is>
      </c>
      <c r="F150" s="215" t="inlineStr">
        <is>
          <t>UP_MID_MKT</t>
        </is>
      </c>
      <c r="G150" s="203" t="inlineStr">
        <is>
          <t>Upper mid market</t>
        </is>
      </c>
      <c r="H150" s="174" t="n"/>
    </row>
    <row r="151">
      <c r="B151" s="108" t="inlineStr">
        <is>
          <t>table 4</t>
        </is>
      </c>
      <c r="E151" s="203" t="inlineStr">
        <is>
          <t>Typical Position Size</t>
        </is>
      </c>
      <c r="F151" s="215" t="inlineStr">
        <is>
          <t>L_CAP</t>
        </is>
      </c>
      <c r="G151" s="203" t="inlineStr">
        <is>
          <t>Large cap</t>
        </is>
      </c>
      <c r="H151" s="174" t="n"/>
    </row>
    <row r="152" ht="11" customHeight="1" thickBot="1">
      <c r="B152" s="108" t="inlineStr">
        <is>
          <t>table 4</t>
        </is>
      </c>
      <c r="E152" s="210" t="inlineStr">
        <is>
          <t>Typical Position Size</t>
        </is>
      </c>
      <c r="F152" s="216" t="inlineStr">
        <is>
          <t>M_CAP</t>
        </is>
      </c>
      <c r="G152" s="210" t="inlineStr">
        <is>
          <t>Mega cap</t>
        </is>
      </c>
      <c r="H152" s="174" t="n"/>
    </row>
    <row r="153">
      <c r="B153" s="110" t="n"/>
      <c r="H153" s="1" t="n"/>
    </row>
    <row r="154" ht="11" customHeight="1" thickBot="1">
      <c r="B154" s="108" t="inlineStr">
        <is>
          <t>table 5</t>
        </is>
      </c>
      <c r="E154" s="104" t="n"/>
      <c r="F154" s="101" t="inlineStr">
        <is>
          <t>Code (field 134)</t>
        </is>
      </c>
      <c r="G154" s="100" t="inlineStr">
        <is>
          <t>Label</t>
        </is>
      </c>
      <c r="H154" s="173" t="n"/>
    </row>
    <row r="155">
      <c r="B155" s="108" t="inlineStr">
        <is>
          <t>table 5</t>
        </is>
      </c>
      <c r="E155" s="213" t="inlineStr">
        <is>
          <t>Transaction type</t>
        </is>
      </c>
      <c r="F155" s="214" t="inlineStr">
        <is>
          <t>ACAP</t>
        </is>
      </c>
      <c r="G155" s="213" t="inlineStr">
        <is>
          <t>Acquisition capital</t>
        </is>
      </c>
      <c r="H155" s="174" t="n"/>
    </row>
    <row r="156">
      <c r="B156" s="108" t="inlineStr">
        <is>
          <t>table 5</t>
        </is>
      </c>
      <c r="E156" s="203" t="inlineStr">
        <is>
          <t>Transaction type</t>
        </is>
      </c>
      <c r="F156" s="215" t="inlineStr">
        <is>
          <t>BOUT</t>
        </is>
      </c>
      <c r="G156" s="203" t="inlineStr">
        <is>
          <t>Buyouts</t>
        </is>
      </c>
      <c r="H156" s="174" t="n"/>
    </row>
    <row r="157">
      <c r="B157" s="108" t="inlineStr">
        <is>
          <t>table 5</t>
        </is>
      </c>
      <c r="E157" s="203" t="inlineStr">
        <is>
          <t>Transaction type</t>
        </is>
      </c>
      <c r="F157" s="215" t="inlineStr">
        <is>
          <t>CONS</t>
        </is>
      </c>
      <c r="G157" s="203" t="inlineStr">
        <is>
          <t>Consolidations (industry roll-ups)</t>
        </is>
      </c>
      <c r="H157" s="174" t="n"/>
    </row>
    <row r="158">
      <c r="B158" s="108" t="inlineStr">
        <is>
          <t>table 5</t>
        </is>
      </c>
      <c r="E158" s="203" t="inlineStr">
        <is>
          <t>Transaction type</t>
        </is>
      </c>
      <c r="F158" s="215" t="inlineStr">
        <is>
          <t>CDIV</t>
        </is>
      </c>
      <c r="G158" s="203" t="inlineStr">
        <is>
          <t>Corporate Divestitures</t>
        </is>
      </c>
      <c r="H158" s="174" t="n"/>
    </row>
    <row r="159">
      <c r="B159" s="108" t="inlineStr">
        <is>
          <t>table 5</t>
        </is>
      </c>
      <c r="E159" s="203" t="inlineStr">
        <is>
          <t>Transaction type</t>
        </is>
      </c>
      <c r="F159" s="215" t="inlineStr">
        <is>
          <t>ESOP</t>
        </is>
      </c>
      <c r="G159" s="203" t="inlineStr">
        <is>
          <t>Employee Stock Ownership Plans</t>
        </is>
      </c>
      <c r="H159" s="174" t="n"/>
    </row>
    <row r="160">
      <c r="B160" s="108" t="inlineStr">
        <is>
          <t>table 5</t>
        </is>
      </c>
      <c r="E160" s="203" t="inlineStr">
        <is>
          <t>Transaction type</t>
        </is>
      </c>
      <c r="F160" s="215" t="inlineStr">
        <is>
          <t>GCAP</t>
        </is>
      </c>
      <c r="G160" s="203" t="inlineStr">
        <is>
          <t>Growth Capital</t>
        </is>
      </c>
      <c r="H160" s="174" t="n"/>
    </row>
    <row r="161">
      <c r="B161" s="108" t="inlineStr">
        <is>
          <t>table 5</t>
        </is>
      </c>
      <c r="E161" s="203" t="inlineStr">
        <is>
          <t>Transaction type</t>
        </is>
      </c>
      <c r="F161" s="215" t="inlineStr">
        <is>
          <t>RCAP</t>
        </is>
      </c>
      <c r="G161" s="203" t="inlineStr">
        <is>
          <t>Recapitalisation</t>
        </is>
      </c>
      <c r="H161" s="174" t="n"/>
    </row>
    <row r="162">
      <c r="B162" s="108" t="inlineStr">
        <is>
          <t>table 5</t>
        </is>
      </c>
      <c r="E162" s="203" t="inlineStr">
        <is>
          <t>Transaction type</t>
        </is>
      </c>
      <c r="F162" s="215" t="inlineStr">
        <is>
          <t>SLIQ</t>
        </is>
      </c>
      <c r="G162" s="203" t="inlineStr">
        <is>
          <t>Shareholder Liquidity</t>
        </is>
      </c>
      <c r="H162" s="174" t="n"/>
    </row>
    <row r="163">
      <c r="B163" s="108" t="inlineStr">
        <is>
          <t>table 5</t>
        </is>
      </c>
      <c r="E163" s="203" t="inlineStr">
        <is>
          <t>Transaction type</t>
        </is>
      </c>
      <c r="F163" s="215" t="inlineStr">
        <is>
          <t>TURN</t>
        </is>
      </c>
      <c r="G163" s="203" t="inlineStr">
        <is>
          <t>Turnarounds</t>
        </is>
      </c>
      <c r="H163" s="174" t="n"/>
    </row>
    <row r="164" ht="11" customHeight="1" thickBot="1">
      <c r="B164" s="108" t="inlineStr">
        <is>
          <t>table 5</t>
        </is>
      </c>
      <c r="E164" s="210" t="inlineStr">
        <is>
          <t>Transaction type</t>
        </is>
      </c>
      <c r="F164" s="216" t="inlineStr">
        <is>
          <t>OTHR</t>
        </is>
      </c>
      <c r="G164" s="210" t="inlineStr">
        <is>
          <t>Other transaction type</t>
        </is>
      </c>
      <c r="H164" s="174" t="n"/>
    </row>
    <row r="165">
      <c r="B165" s="109" t="n"/>
      <c r="H165" s="1" t="n"/>
    </row>
    <row r="166" ht="11" customHeight="1" thickBot="1">
      <c r="B166" s="108" t="inlineStr">
        <is>
          <t>table 6</t>
        </is>
      </c>
      <c r="E166" s="104" t="n"/>
      <c r="F166" s="101" t="inlineStr">
        <is>
          <t>Code (field 194)</t>
        </is>
      </c>
      <c r="G166" s="100" t="inlineStr">
        <is>
          <t>Label</t>
        </is>
      </c>
      <c r="H166" s="173" t="n"/>
    </row>
    <row r="167">
      <c r="B167" s="108" t="inlineStr">
        <is>
          <t>table 6</t>
        </is>
      </c>
      <c r="E167" s="217" t="inlineStr">
        <is>
          <t>Redemption frequency</t>
        </is>
      </c>
      <c r="F167" s="218" t="inlineStr">
        <is>
          <t>D</t>
        </is>
      </c>
      <c r="G167" s="217" t="inlineStr">
        <is>
          <t>Daily</t>
        </is>
      </c>
      <c r="H167" s="175" t="n"/>
    </row>
    <row r="168">
      <c r="B168" s="108" t="inlineStr">
        <is>
          <t>table 6</t>
        </is>
      </c>
      <c r="E168" s="219" t="inlineStr">
        <is>
          <t>Redemption frequency</t>
        </is>
      </c>
      <c r="F168" s="220" t="inlineStr">
        <is>
          <t>W</t>
        </is>
      </c>
      <c r="G168" s="219" t="inlineStr">
        <is>
          <t>Weekly</t>
        </is>
      </c>
      <c r="H168" s="175" t="n"/>
    </row>
    <row r="169">
      <c r="B169" s="108" t="inlineStr">
        <is>
          <t>table 6</t>
        </is>
      </c>
      <c r="E169" s="219" t="inlineStr">
        <is>
          <t>Redemption frequency</t>
        </is>
      </c>
      <c r="F169" s="220" t="inlineStr">
        <is>
          <t>F</t>
        </is>
      </c>
      <c r="G169" s="219" t="inlineStr">
        <is>
          <t>Fortnightly</t>
        </is>
      </c>
      <c r="H169" s="175" t="n"/>
    </row>
    <row r="170">
      <c r="B170" s="108" t="inlineStr">
        <is>
          <t>table 6</t>
        </is>
      </c>
      <c r="E170" s="219" t="inlineStr">
        <is>
          <t>Redemption frequency</t>
        </is>
      </c>
      <c r="F170" s="220" t="inlineStr">
        <is>
          <t>M</t>
        </is>
      </c>
      <c r="G170" s="219" t="inlineStr">
        <is>
          <t>Monthly</t>
        </is>
      </c>
      <c r="H170" s="175" t="n"/>
    </row>
    <row r="171">
      <c r="B171" s="108" t="inlineStr">
        <is>
          <t>table 6</t>
        </is>
      </c>
      <c r="E171" s="219" t="inlineStr">
        <is>
          <t>Redemption frequency</t>
        </is>
      </c>
      <c r="F171" s="220" t="inlineStr">
        <is>
          <t>Q</t>
        </is>
      </c>
      <c r="G171" s="219" t="inlineStr">
        <is>
          <t>Quarterly</t>
        </is>
      </c>
      <c r="H171" s="175" t="n"/>
    </row>
    <row r="172">
      <c r="B172" s="108" t="inlineStr">
        <is>
          <t>table 6</t>
        </is>
      </c>
      <c r="E172" s="219" t="inlineStr">
        <is>
          <t>Redemption frequency</t>
        </is>
      </c>
      <c r="F172" s="220" t="inlineStr">
        <is>
          <t>H</t>
        </is>
      </c>
      <c r="G172" s="219" t="inlineStr">
        <is>
          <t>Half-yearly</t>
        </is>
      </c>
      <c r="H172" s="175" t="n"/>
    </row>
    <row r="173">
      <c r="B173" s="108" t="inlineStr">
        <is>
          <t>table 6</t>
        </is>
      </c>
      <c r="E173" s="219" t="inlineStr">
        <is>
          <t>Redemption frequency</t>
        </is>
      </c>
      <c r="F173" s="220" t="inlineStr">
        <is>
          <t>Y</t>
        </is>
      </c>
      <c r="G173" s="219" t="inlineStr">
        <is>
          <t>Yearly</t>
        </is>
      </c>
      <c r="H173" s="175" t="n"/>
    </row>
    <row r="174">
      <c r="B174" s="108" t="inlineStr">
        <is>
          <t>table 6</t>
        </is>
      </c>
      <c r="E174" s="219" t="inlineStr">
        <is>
          <t>Redemption frequency</t>
        </is>
      </c>
      <c r="F174" s="220" t="inlineStr">
        <is>
          <t>O</t>
        </is>
      </c>
      <c r="G174" s="219" t="inlineStr">
        <is>
          <t>Other</t>
        </is>
      </c>
      <c r="H174" s="175" t="n"/>
    </row>
    <row r="175" ht="11" customHeight="1" thickBot="1">
      <c r="B175" s="108" t="inlineStr">
        <is>
          <t>table 6</t>
        </is>
      </c>
      <c r="E175" s="221" t="inlineStr">
        <is>
          <t>Redemption frequency</t>
        </is>
      </c>
      <c r="F175" s="222" t="inlineStr">
        <is>
          <t>N</t>
        </is>
      </c>
      <c r="G175" s="221" t="inlineStr">
        <is>
          <t>None</t>
        </is>
      </c>
      <c r="H175" s="175" t="n"/>
    </row>
    <row r="176">
      <c r="B176" s="109" t="n"/>
      <c r="H176" s="1" t="n"/>
    </row>
    <row r="177" ht="11" customHeight="1" thickBot="1">
      <c r="B177" s="108" t="inlineStr">
        <is>
          <t>table 7</t>
        </is>
      </c>
      <c r="E177" s="104" t="n"/>
      <c r="F177" s="101" t="inlineStr">
        <is>
          <t>Code (field 208)</t>
        </is>
      </c>
      <c r="G177" s="100" t="inlineStr">
        <is>
          <t>Label</t>
        </is>
      </c>
      <c r="H177" s="173" t="n"/>
    </row>
    <row r="178">
      <c r="B178" s="108" t="inlineStr">
        <is>
          <t>table 7</t>
        </is>
      </c>
      <c r="E178" s="213" t="inlineStr">
        <is>
          <t>Investor group</t>
        </is>
      </c>
      <c r="F178" s="248" t="inlineStr">
        <is>
          <t>NFCO</t>
        </is>
      </c>
      <c r="G178" s="249" t="inlineStr">
        <is>
          <t>Non-financial corporations</t>
        </is>
      </c>
      <c r="H178" s="174" t="n"/>
    </row>
    <row r="179">
      <c r="B179" s="108" t="inlineStr">
        <is>
          <t>table 7</t>
        </is>
      </c>
      <c r="E179" s="203" t="inlineStr">
        <is>
          <t>Investor group</t>
        </is>
      </c>
      <c r="F179" s="223" t="inlineStr">
        <is>
          <t>BANK</t>
        </is>
      </c>
      <c r="G179" s="102" t="inlineStr">
        <is>
          <t>Banks</t>
        </is>
      </c>
      <c r="H179" s="174" t="n"/>
    </row>
    <row r="180">
      <c r="B180" s="108" t="inlineStr">
        <is>
          <t>table 7</t>
        </is>
      </c>
      <c r="E180" s="203" t="inlineStr">
        <is>
          <t>Investor group</t>
        </is>
      </c>
      <c r="F180" s="223" t="inlineStr">
        <is>
          <t>INSC</t>
        </is>
      </c>
      <c r="G180" s="102" t="inlineStr">
        <is>
          <t>Insurance corporations</t>
        </is>
      </c>
      <c r="H180" s="174" t="n"/>
    </row>
    <row r="181">
      <c r="B181" s="108" t="inlineStr">
        <is>
          <t>table 7</t>
        </is>
      </c>
      <c r="E181" s="203" t="inlineStr">
        <is>
          <t>Investor group</t>
        </is>
      </c>
      <c r="F181" s="223" t="inlineStr">
        <is>
          <t>OFIN</t>
        </is>
      </c>
      <c r="G181" s="102" t="inlineStr">
        <is>
          <t>Other financial institutions</t>
        </is>
      </c>
      <c r="H181" s="174" t="n"/>
    </row>
    <row r="182">
      <c r="B182" s="108" t="inlineStr">
        <is>
          <t>table 7</t>
        </is>
      </c>
      <c r="E182" s="203" t="inlineStr">
        <is>
          <t>Investor group</t>
        </is>
      </c>
      <c r="F182" s="246" t="inlineStr">
        <is>
          <t>PFND</t>
        </is>
      </c>
      <c r="G182" s="247" t="inlineStr">
        <is>
          <t>Pension plans / funds</t>
        </is>
      </c>
      <c r="H182" s="174" t="n"/>
    </row>
    <row r="183">
      <c r="B183" s="108" t="inlineStr">
        <is>
          <t>table 7</t>
        </is>
      </c>
      <c r="E183" s="203" t="inlineStr">
        <is>
          <t>Investor group</t>
        </is>
      </c>
      <c r="F183" s="223" t="inlineStr">
        <is>
          <t>GENG</t>
        </is>
      </c>
      <c r="G183" s="102" t="inlineStr">
        <is>
          <t>General government</t>
        </is>
      </c>
      <c r="H183" s="174" t="n"/>
    </row>
    <row r="184">
      <c r="B184" s="108" t="inlineStr">
        <is>
          <t>table 7</t>
        </is>
      </c>
      <c r="E184" s="203" t="inlineStr">
        <is>
          <t>Investor group</t>
        </is>
      </c>
      <c r="F184" s="223" t="inlineStr">
        <is>
          <t>OCIU</t>
        </is>
      </c>
      <c r="G184" s="102" t="inlineStr">
        <is>
          <t>Other collective investment undertaking (e.g. fund of funds or master)</t>
        </is>
      </c>
      <c r="H184" s="174" t="n"/>
    </row>
    <row r="185">
      <c r="B185" s="108" t="inlineStr">
        <is>
          <t>table 7</t>
        </is>
      </c>
      <c r="E185" s="203" t="inlineStr">
        <is>
          <t>Investor group</t>
        </is>
      </c>
      <c r="F185" s="246" t="inlineStr">
        <is>
          <t>HHLD</t>
        </is>
      </c>
      <c r="G185" s="247" t="inlineStr">
        <is>
          <t>Households</t>
        </is>
      </c>
      <c r="H185" s="174" t="n"/>
    </row>
    <row r="186">
      <c r="B186" s="108" t="inlineStr">
        <is>
          <t>table 7</t>
        </is>
      </c>
      <c r="E186" s="203" t="inlineStr">
        <is>
          <t>Investor group</t>
        </is>
      </c>
      <c r="F186" s="223" t="inlineStr">
        <is>
          <t>UNKN</t>
        </is>
      </c>
      <c r="G186" s="102" t="inlineStr">
        <is>
          <t>Unknown</t>
        </is>
      </c>
      <c r="H186" s="174" t="n"/>
    </row>
    <row r="187" ht="11" customHeight="1" thickBot="1">
      <c r="B187" s="108" t="inlineStr">
        <is>
          <t>table 7</t>
        </is>
      </c>
      <c r="E187" s="210" t="inlineStr">
        <is>
          <t>Investor group</t>
        </is>
      </c>
      <c r="F187" s="224" t="inlineStr">
        <is>
          <t>NONE</t>
        </is>
      </c>
      <c r="G187" s="103" t="inlineStr">
        <is>
          <t>None</t>
        </is>
      </c>
      <c r="H187" s="174" t="n"/>
    </row>
    <row r="188">
      <c r="B188" s="109" t="n"/>
    </row>
    <row r="189" ht="11" customHeight="1" thickBot="1">
      <c r="B189" s="108" t="inlineStr">
        <is>
          <t>Period Types</t>
        </is>
      </c>
      <c r="E189" s="104" t="n"/>
      <c r="F189" s="101" t="inlineStr">
        <is>
          <t>Code (field 8)</t>
        </is>
      </c>
      <c r="G189" s="90" t="inlineStr">
        <is>
          <t>Description</t>
        </is>
      </c>
    </row>
    <row r="190">
      <c r="B190" s="108" t="inlineStr">
        <is>
          <t>Period Types</t>
        </is>
      </c>
      <c r="E190" s="213" t="inlineStr">
        <is>
          <t>Reporting Period Type</t>
        </is>
      </c>
      <c r="F190" s="107" t="inlineStr">
        <is>
          <t>Q1</t>
        </is>
      </c>
      <c r="G190" s="107" t="inlineStr">
        <is>
          <t>For 1st quarter of the calendar year</t>
        </is>
      </c>
    </row>
    <row r="191">
      <c r="B191" s="108" t="inlineStr">
        <is>
          <t>Period Types</t>
        </is>
      </c>
      <c r="E191" s="203" t="inlineStr">
        <is>
          <t>Reporting Period Type</t>
        </is>
      </c>
      <c r="F191" s="107" t="inlineStr">
        <is>
          <t>Q2</t>
        </is>
      </c>
      <c r="G191" s="107" t="inlineStr">
        <is>
          <t>For 2nd quarter of the calendar year</t>
        </is>
      </c>
    </row>
    <row r="192">
      <c r="B192" s="108" t="inlineStr">
        <is>
          <t>Period Types</t>
        </is>
      </c>
      <c r="E192" s="203" t="inlineStr">
        <is>
          <t>Reporting Period Type</t>
        </is>
      </c>
      <c r="F192" s="107" t="inlineStr">
        <is>
          <t>Q3</t>
        </is>
      </c>
      <c r="G192" s="107" t="inlineStr">
        <is>
          <t>For 3rd quarter of the calendar year</t>
        </is>
      </c>
    </row>
    <row r="193">
      <c r="B193" s="108" t="inlineStr">
        <is>
          <t>Period Types</t>
        </is>
      </c>
      <c r="E193" s="203" t="inlineStr">
        <is>
          <t>Reporting Period Type</t>
        </is>
      </c>
      <c r="F193" s="107" t="inlineStr">
        <is>
          <t>Q4</t>
        </is>
      </c>
      <c r="G193" s="107" t="inlineStr">
        <is>
          <t>For 4th quarter of the calendar year</t>
        </is>
      </c>
    </row>
    <row r="194">
      <c r="B194" s="108" t="inlineStr">
        <is>
          <t>Period Types</t>
        </is>
      </c>
      <c r="E194" s="203" t="inlineStr">
        <is>
          <t>Reporting Period Type</t>
        </is>
      </c>
      <c r="F194" s="107" t="inlineStr">
        <is>
          <t>H1</t>
        </is>
      </c>
      <c r="G194" s="107" t="inlineStr">
        <is>
          <t>For 1st half of the calendar year</t>
        </is>
      </c>
    </row>
    <row r="195">
      <c r="B195" s="108" t="inlineStr">
        <is>
          <t>Period Types</t>
        </is>
      </c>
      <c r="E195" s="203" t="inlineStr">
        <is>
          <t>Reporting Period Type</t>
        </is>
      </c>
      <c r="F195" s="107" t="inlineStr">
        <is>
          <t>H2</t>
        </is>
      </c>
      <c r="G195" s="107" t="inlineStr">
        <is>
          <t>For 2nd half of the calendar year</t>
        </is>
      </c>
    </row>
    <row r="196">
      <c r="B196" s="108" t="inlineStr">
        <is>
          <t>Period Types</t>
        </is>
      </c>
      <c r="E196" s="203" t="inlineStr">
        <is>
          <t>Reporting Period Type</t>
        </is>
      </c>
      <c r="F196" s="107" t="inlineStr">
        <is>
          <t>Y1</t>
        </is>
      </c>
      <c r="G196" s="107" t="inlineStr">
        <is>
          <t>For the calendar year</t>
        </is>
      </c>
    </row>
    <row r="197">
      <c r="B197" s="108" t="inlineStr">
        <is>
          <t>Period Types</t>
        </is>
      </c>
      <c r="E197" s="203" t="inlineStr">
        <is>
          <t>Reporting Period Type</t>
        </is>
      </c>
      <c r="F197" s="107" t="inlineStr">
        <is>
          <t>X1</t>
        </is>
      </c>
      <c r="G197" s="107" t="inlineStr">
        <is>
          <t>For period from 1st quarter to 3rd quarter</t>
        </is>
      </c>
    </row>
    <row r="198">
      <c r="B198" s="108" t="inlineStr">
        <is>
          <t>Period Types</t>
        </is>
      </c>
      <c r="E198" s="203" t="inlineStr">
        <is>
          <t>Reporting Period Type</t>
        </is>
      </c>
      <c r="F198" s="107" t="inlineStr">
        <is>
          <t>X2</t>
        </is>
      </c>
      <c r="G198" s="107" t="inlineStr">
        <is>
          <t>For period from 2nd quarter to 4th quarter</t>
        </is>
      </c>
    </row>
    <row r="199">
      <c r="B199" s="225" t="n"/>
      <c r="E199" s="228" t="n"/>
      <c r="F199" s="226" t="n"/>
      <c r="G199" s="226" t="n"/>
    </row>
    <row r="200" ht="21" customHeight="1">
      <c r="B200" s="108" t="inlineStr">
        <is>
          <t xml:space="preserve">Risk </t>
        </is>
      </c>
      <c r="D200" s="90" t="inlineStr">
        <is>
          <t>Risk Measure Type
RISK (field 138)</t>
        </is>
      </c>
      <c r="E200" s="227" t="inlineStr">
        <is>
          <t>Description</t>
        </is>
      </c>
      <c r="F200" s="90" t="inlineStr">
        <is>
          <t>Relevant Instrument type</t>
        </is>
      </c>
    </row>
    <row r="201">
      <c r="B201" s="108" t="inlineStr">
        <is>
          <t xml:space="preserve">Risk </t>
        </is>
      </c>
      <c r="D201" s="107" t="inlineStr">
        <is>
          <t>NET_EQTY_DELTA</t>
        </is>
      </c>
      <c r="E201" s="107" t="inlineStr">
        <is>
          <t>Net Equity Delta</t>
        </is>
      </c>
      <c r="F201" s="107" t="inlineStr">
        <is>
          <t>Equity / Equity Derivatives</t>
        </is>
      </c>
    </row>
    <row r="202">
      <c r="B202" s="108" t="inlineStr">
        <is>
          <t xml:space="preserve">Risk </t>
        </is>
      </c>
      <c r="D202" s="107" t="inlineStr">
        <is>
          <t>NET_DV01</t>
        </is>
      </c>
      <c r="E202" s="107" t="inlineStr">
        <is>
          <t>Net DV01 - Shows change in bond price relative to decrease in bonds yield</t>
        </is>
      </c>
      <c r="F202" s="107" t="inlineStr">
        <is>
          <t>Fixed income</t>
        </is>
      </c>
    </row>
    <row r="203">
      <c r="B203" s="108" t="inlineStr">
        <is>
          <t xml:space="preserve">Risk </t>
        </is>
      </c>
      <c r="D203" s="107" t="inlineStr">
        <is>
          <t>NET_CS01</t>
        </is>
      </c>
      <c r="E203" s="107" t="inlineStr">
        <is>
          <t>Net CSO1 - credit exposure of the swap at a given point in time</t>
        </is>
      </c>
      <c r="F203" s="107" t="inlineStr">
        <is>
          <t>Fixed income</t>
        </is>
      </c>
    </row>
    <row r="204">
      <c r="B204" s="108" t="inlineStr">
        <is>
          <t xml:space="preserve">Risk </t>
        </is>
      </c>
      <c r="D204" s="107" t="inlineStr">
        <is>
          <t>VEGA_EXPO</t>
        </is>
      </c>
      <c r="E204" s="107" t="inlineStr">
        <is>
          <t>Price change of instrument / vol change underlying</t>
        </is>
      </c>
      <c r="F204" s="107" t="inlineStr">
        <is>
          <t>ALL</t>
        </is>
      </c>
    </row>
    <row r="205">
      <c r="B205" s="108" t="inlineStr">
        <is>
          <t xml:space="preserve">Risk </t>
        </is>
      </c>
      <c r="D205" s="107" t="inlineStr">
        <is>
          <t>VAR</t>
        </is>
      </c>
      <c r="E205" s="107" t="inlineStr">
        <is>
          <t>Value at Risk</t>
        </is>
      </c>
      <c r="F205" s="107" t="inlineStr">
        <is>
          <t>ALL</t>
        </is>
      </c>
    </row>
    <row r="206">
      <c r="B206" s="108" t="inlineStr">
        <is>
          <t xml:space="preserve">Risk </t>
        </is>
      </c>
      <c r="D206" s="107" t="inlineStr">
        <is>
          <t>NET_FX_DELTA</t>
        </is>
      </c>
      <c r="E206" s="107" t="inlineStr">
        <is>
          <t>Net FX Delta</t>
        </is>
      </c>
      <c r="F206" s="107" t="inlineStr">
        <is>
          <t>FX</t>
        </is>
      </c>
    </row>
    <row r="207">
      <c r="B207" s="108" t="inlineStr">
        <is>
          <t xml:space="preserve">Risk </t>
        </is>
      </c>
      <c r="D207" s="107" t="inlineStr">
        <is>
          <t>NET_CTY_DELTA</t>
        </is>
      </c>
      <c r="E207" s="107" t="inlineStr">
        <is>
          <t>Net Commodity Delta</t>
        </is>
      </c>
      <c r="F207" s="107" t="inlineStr">
        <is>
          <t>Commodities / Derivatives</t>
        </is>
      </c>
    </row>
  </sheetData>
  <autoFilter ref="B1:B207"/>
  <mergeCells count="4">
    <mergeCell ref="F2:G2"/>
    <mergeCell ref="H2:I2"/>
    <mergeCell ref="D1:I1"/>
    <mergeCell ref="D2:E2"/>
  </mergeCells>
  <pageMargins left="0.7" right="0.7" top="0.75" bottom="0.75" header="0.3" footer="0.3"/>
  <pageSetup orientation="portrait" paperSize="9"/>
</worksheet>
</file>

<file path=xl/worksheets/sheet19.xml><?xml version="1.0" encoding="utf-8"?>
<worksheet xmlns="http://schemas.openxmlformats.org/spreadsheetml/2006/main">
  <sheetPr>
    <tabColor theme="4" tint="-0.499984740745262"/>
    <outlinePr summaryBelow="1" summaryRight="1"/>
    <pageSetUpPr fitToPage="1"/>
  </sheetPr>
  <dimension ref="A1:AJ270"/>
  <sheetViews>
    <sheetView workbookViewId="0">
      <pane ySplit="4" topLeftCell="A5" activePane="bottomLeft" state="frozen"/>
      <selection activeCell="C20" sqref="C20"/>
      <selection pane="bottomLeft" activeCell="U6" sqref="U6"/>
    </sheetView>
  </sheetViews>
  <sheetFormatPr baseColWidth="10" defaultColWidth="9.1796875" defaultRowHeight="10.5"/>
  <cols>
    <col width="1.81640625" bestFit="1" customWidth="1" style="3" min="1" max="1"/>
    <col width="39.81640625" bestFit="1" customWidth="1" style="1" min="2" max="2"/>
    <col width="3" bestFit="1" customWidth="1" style="1" min="3" max="3"/>
    <col width="6" bestFit="1" customWidth="1" style="1" min="4" max="4"/>
    <col width="2.81640625" bestFit="1" customWidth="1" style="1" min="5" max="5"/>
    <col width="4.453125" bestFit="1" customWidth="1" style="1" min="6" max="6"/>
    <col width="3" bestFit="1" customWidth="1" style="1" min="7" max="7"/>
    <col width="2.81640625" bestFit="1" customWidth="1" style="1" min="8" max="8"/>
    <col width="5.1796875" bestFit="1" customWidth="1" style="1" min="9" max="9"/>
    <col width="8.81640625" bestFit="1" customWidth="1" style="2" min="10" max="10"/>
    <col width="1.81640625" bestFit="1" customWidth="1" style="2" min="11" max="11"/>
    <col width="2.81640625" bestFit="1" customWidth="1" style="2" min="12" max="13"/>
    <col width="1.81640625" bestFit="1" customWidth="1" style="2" min="14" max="14"/>
    <col width="2.81640625" bestFit="1" customWidth="1" style="2" min="15" max="16"/>
    <col width="6.1796875" bestFit="1" customWidth="1" style="2" min="17" max="17"/>
    <col width="4.54296875" bestFit="1" customWidth="1" style="2" min="18" max="18"/>
    <col width="3.81640625" bestFit="1" customWidth="1" style="2" min="19" max="19"/>
    <col width="9.453125" bestFit="1" customWidth="1" style="2" min="20" max="20"/>
    <col width="12" bestFit="1" customWidth="1" style="2" min="21" max="21"/>
    <col width="4.81640625" customWidth="1" style="2" min="22" max="22"/>
    <col width="2.81640625" bestFit="1" customWidth="1" style="2" min="23" max="25"/>
    <col width="11.81640625" bestFit="1" customWidth="1" style="2" min="26" max="26"/>
    <col width="4.1796875" bestFit="1" customWidth="1" style="2" min="27" max="27"/>
    <col width="11.1796875" bestFit="1" customWidth="1" style="2" min="28" max="28"/>
    <col width="3.81640625" bestFit="1" customWidth="1" style="2" min="29" max="29"/>
    <col width="11.1796875" bestFit="1" customWidth="1" style="2" min="30" max="30"/>
    <col width="4.54296875" bestFit="1" customWidth="1" style="2" min="31" max="31"/>
    <col width="13.54296875" bestFit="1" customWidth="1" style="2" min="32" max="32"/>
    <col width="5.81640625" bestFit="1" customWidth="1" style="2" min="33" max="33"/>
    <col width="3.54296875" bestFit="1" customWidth="1" style="2" min="34" max="34"/>
    <col width="4.81640625" bestFit="1" customWidth="1" style="2" min="35" max="35"/>
    <col width="4.1796875" bestFit="1" customWidth="1" style="2" min="36" max="36"/>
    <col width="9.1796875" customWidth="1" style="1" min="37" max="16384"/>
  </cols>
  <sheetData>
    <row r="1" ht="19" customHeight="1" thickBot="1">
      <c r="A1" s="4" t="n"/>
      <c r="B1" s="21" t="inlineStr">
        <is>
          <t>Validation Lists Annex IV Template</t>
        </is>
      </c>
      <c r="C1" s="5" t="n"/>
      <c r="D1" s="5" t="n"/>
      <c r="E1" s="5" t="n"/>
      <c r="F1" s="5" t="n"/>
      <c r="G1" s="5" t="n"/>
      <c r="H1" s="5" t="n"/>
      <c r="I1" s="5"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c r="AH1" s="22" t="n"/>
      <c r="AI1" s="22" t="n"/>
      <c r="AJ1" s="22" t="n"/>
    </row>
    <row r="2" ht="11" customFormat="1" customHeight="1" s="7" thickBot="1">
      <c r="A2" s="7" t="inlineStr">
        <is>
          <t>#</t>
        </is>
      </c>
      <c r="B2" s="10" t="inlineStr">
        <is>
          <t>MATTERHORN</t>
        </is>
      </c>
      <c r="C2" s="435" t="inlineStr">
        <is>
          <t>Both AIFM &amp; AIF</t>
        </is>
      </c>
      <c r="D2" s="436" t="n"/>
      <c r="E2" s="436" t="n"/>
      <c r="F2" s="436" t="n"/>
      <c r="G2" s="436" t="n"/>
      <c r="H2" s="436" t="n"/>
      <c r="I2" s="436" t="n"/>
      <c r="J2" s="437" t="n"/>
      <c r="K2" s="435" t="inlineStr">
        <is>
          <t>MANAGER (AIFM)</t>
        </is>
      </c>
      <c r="L2" s="436" t="n"/>
      <c r="M2" s="437" t="n"/>
      <c r="N2" s="435" t="inlineStr">
        <is>
          <t>FUND (AIF)</t>
        </is>
      </c>
      <c r="O2" s="436" t="n"/>
      <c r="P2" s="436" t="n"/>
      <c r="Q2" s="436" t="n"/>
      <c r="R2" s="436" t="n"/>
      <c r="S2" s="436" t="n"/>
      <c r="T2" s="436" t="n"/>
      <c r="U2" s="436" t="n"/>
      <c r="V2" s="436" t="n"/>
      <c r="W2" s="436" t="n"/>
      <c r="X2" s="436" t="n"/>
      <c r="Y2" s="436" t="n"/>
      <c r="Z2" s="436" t="n"/>
      <c r="AA2" s="436" t="n"/>
      <c r="AB2" s="436" t="n"/>
      <c r="AC2" s="436" t="n"/>
      <c r="AD2" s="436" t="n"/>
      <c r="AE2" s="436" t="n"/>
      <c r="AF2" s="436" t="n"/>
      <c r="AG2" s="436" t="n"/>
      <c r="AH2" s="436" t="n"/>
      <c r="AI2" s="436" t="n"/>
      <c r="AJ2" s="437" t="n"/>
    </row>
    <row r="3" ht="11" customFormat="1" customHeight="1" s="7" thickBot="1">
      <c r="A3" s="6" t="inlineStr">
        <is>
          <t>#</t>
        </is>
      </c>
      <c r="B3" s="8" t="inlineStr">
        <is>
          <t>RECORD TYPES</t>
        </is>
      </c>
      <c r="C3" s="9" t="n"/>
      <c r="D3" s="9" t="n">
        <v>4</v>
      </c>
      <c r="E3" s="9" t="n">
        <v>8</v>
      </c>
      <c r="F3" s="9" t="n">
        <v>9</v>
      </c>
      <c r="G3" s="9" t="n">
        <v>10</v>
      </c>
      <c r="H3" s="9" t="n">
        <v>12</v>
      </c>
      <c r="I3" s="9" t="n"/>
      <c r="J3" s="9" t="n"/>
      <c r="K3" s="9" t="n">
        <v>5</v>
      </c>
      <c r="L3" s="9" t="n">
        <v>11</v>
      </c>
      <c r="M3" s="9" t="n">
        <v>16</v>
      </c>
      <c r="N3" s="9" t="n">
        <v>5</v>
      </c>
      <c r="O3" s="9" t="n">
        <v>11</v>
      </c>
      <c r="P3" s="9" t="n">
        <v>20</v>
      </c>
      <c r="Q3" s="9" t="n">
        <v>41</v>
      </c>
      <c r="R3" s="9" t="n"/>
      <c r="S3" s="9" t="n">
        <v>51</v>
      </c>
      <c r="T3" s="9" t="n">
        <v>58</v>
      </c>
      <c r="U3" s="9" t="n">
        <v>65</v>
      </c>
      <c r="V3" s="9" t="n"/>
      <c r="W3" s="9" t="n">
        <v>71</v>
      </c>
      <c r="X3" s="9" t="n">
        <v>72</v>
      </c>
      <c r="Y3" s="9" t="n">
        <v>75</v>
      </c>
      <c r="Z3" s="9" t="n">
        <v>78</v>
      </c>
      <c r="AA3" s="9" t="inlineStr">
        <is>
          <t>AIF_cp_ccp</t>
        </is>
      </c>
      <c r="AB3" s="9" t="n">
        <v>113</v>
      </c>
      <c r="AC3" s="9" t="n">
        <v>115</v>
      </c>
      <c r="AD3" s="9" t="n">
        <v>125</v>
      </c>
      <c r="AE3" s="9" t="n">
        <v>134</v>
      </c>
      <c r="AF3" s="9" t="n">
        <v>138</v>
      </c>
      <c r="AG3" s="9" t="n">
        <v>146</v>
      </c>
      <c r="AH3" s="9" t="n">
        <v>194</v>
      </c>
      <c r="AI3" s="9" t="n">
        <v>208</v>
      </c>
      <c r="AJ3" s="9" t="inlineStr">
        <is>
          <t>219a</t>
        </is>
      </c>
    </row>
    <row r="4" ht="11" customFormat="1" customHeight="1" s="7" thickBot="1">
      <c r="A4" s="6" t="n"/>
      <c r="B4" s="8" t="inlineStr">
        <is>
          <t>shared validation</t>
        </is>
      </c>
      <c r="C4" s="9" t="inlineStr">
        <is>
          <t>EEC</t>
        </is>
      </c>
      <c r="D4" s="9" t="n"/>
      <c r="E4" s="9" t="n"/>
      <c r="F4" s="9" t="n"/>
      <c r="G4" s="9" t="n"/>
      <c r="H4" s="9" t="n"/>
      <c r="I4" s="9" t="inlineStr">
        <is>
          <t>YesNo</t>
        </is>
      </c>
      <c r="J4" s="9" t="inlineStr">
        <is>
          <t>AllCountries</t>
        </is>
      </c>
      <c r="K4" s="9" t="n"/>
      <c r="L4" s="9" t="n"/>
      <c r="M4" s="9" t="n"/>
      <c r="N4" s="9" t="n"/>
      <c r="O4" s="9" t="n"/>
      <c r="P4" s="9" t="n"/>
      <c r="Q4" s="9" t="n"/>
      <c r="R4" s="9" t="inlineStr">
        <is>
          <t>AllCur</t>
        </is>
      </c>
      <c r="S4" s="9" t="n"/>
      <c r="T4" s="9" t="n"/>
      <c r="U4" s="9" t="n"/>
      <c r="V4" s="9" t="n"/>
      <c r="W4" s="9" t="n"/>
      <c r="X4" s="9" t="n"/>
      <c r="Y4" s="9" t="n"/>
      <c r="Z4" s="9" t="n"/>
      <c r="AA4" s="9" t="n"/>
      <c r="AB4" s="9" t="n"/>
      <c r="AC4" s="9" t="n"/>
      <c r="AD4" s="9" t="n"/>
      <c r="AE4" s="9" t="n"/>
      <c r="AF4" s="9" t="n"/>
      <c r="AG4" s="9" t="n"/>
      <c r="AH4" s="9" t="n"/>
      <c r="AI4" s="9" t="n"/>
      <c r="AJ4" s="9" t="n"/>
    </row>
    <row r="5" ht="11" customFormat="1" customHeight="1" s="13" thickBot="1">
      <c r="A5" s="11" t="inlineStr">
        <is>
          <t>#</t>
        </is>
      </c>
      <c r="B5" s="18" t="n"/>
      <c r="C5" s="14" t="n"/>
      <c r="D5" s="14" t="n"/>
      <c r="E5" s="14" t="n"/>
      <c r="F5" s="14" t="n"/>
      <c r="G5" s="12" t="n"/>
      <c r="H5" s="12" t="n"/>
      <c r="I5" s="14" t="n"/>
      <c r="J5" s="14" t="n"/>
      <c r="K5" s="14" t="n"/>
      <c r="L5" s="12" t="n"/>
      <c r="M5" s="14"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row>
    <row r="6" customFormat="1" s="13">
      <c r="A6" s="11" t="inlineStr">
        <is>
          <t>#</t>
        </is>
      </c>
      <c r="B6" s="18" t="inlineStr">
        <is>
          <t>AIF</t>
        </is>
      </c>
      <c r="C6" s="14" t="inlineStr">
        <is>
          <t>AT</t>
        </is>
      </c>
      <c r="D6" s="14" t="inlineStr">
        <is>
          <t>AMND</t>
        </is>
      </c>
      <c r="E6" s="14" t="inlineStr">
        <is>
          <t>Q1</t>
        </is>
      </c>
      <c r="F6" s="14" t="n">
        <v>2018</v>
      </c>
      <c r="G6" s="12" t="inlineStr">
        <is>
          <t>YH</t>
        </is>
      </c>
      <c r="H6" s="12" t="inlineStr">
        <is>
          <t>Q1</t>
        </is>
      </c>
      <c r="I6" s="14" t="inlineStr">
        <is>
          <t>yes</t>
        </is>
      </c>
      <c r="J6" s="14" t="inlineStr">
        <is>
          <t>BE</t>
        </is>
      </c>
      <c r="K6" s="14" t="n">
        <v>1</v>
      </c>
      <c r="L6" s="12" t="n">
        <v>1</v>
      </c>
      <c r="M6" s="14" t="n">
        <v>1</v>
      </c>
      <c r="N6" s="12" t="n">
        <v>1</v>
      </c>
      <c r="O6" s="12" t="n">
        <v>1</v>
      </c>
      <c r="P6" s="12" t="n">
        <v>1</v>
      </c>
      <c r="Q6" s="12" t="inlineStr">
        <is>
          <t>NONE</t>
        </is>
      </c>
      <c r="R6" s="12" t="inlineStr">
        <is>
          <t>CHF</t>
        </is>
      </c>
      <c r="S6" s="12" t="inlineStr">
        <is>
          <t>ECB</t>
        </is>
      </c>
      <c r="T6" s="12" t="inlineStr">
        <is>
          <t>EQTY_LGBS</t>
        </is>
      </c>
      <c r="U6" s="12" t="inlineStr">
        <is>
          <t>CIU_NAM_AETF</t>
        </is>
      </c>
      <c r="V6" s="12" t="n"/>
      <c r="W6" s="12" t="inlineStr">
        <is>
          <t>O</t>
        </is>
      </c>
      <c r="X6" s="12" t="inlineStr">
        <is>
          <t>P</t>
        </is>
      </c>
      <c r="Y6" s="12" t="n"/>
      <c r="Z6" s="12" t="inlineStr">
        <is>
          <t xml:space="preserve">AFRICA  </t>
        </is>
      </c>
      <c r="AA6" s="12" t="inlineStr">
        <is>
          <t>CP</t>
        </is>
      </c>
      <c r="AB6" s="12" t="inlineStr">
        <is>
          <t>V_SMALL</t>
        </is>
      </c>
      <c r="AC6" s="12" t="inlineStr">
        <is>
          <t>MIC</t>
        </is>
      </c>
      <c r="AD6" s="12" t="inlineStr">
        <is>
          <t>CIU_CIU_CIU</t>
        </is>
      </c>
      <c r="AE6" s="12" t="inlineStr">
        <is>
          <t>ACAP</t>
        </is>
      </c>
      <c r="AF6" s="12" t="inlineStr">
        <is>
          <t>NET_EQTY_DELTA</t>
        </is>
      </c>
      <c r="AG6" s="12" t="inlineStr">
        <is>
          <t>HISTO</t>
        </is>
      </c>
      <c r="AH6" s="12" t="inlineStr">
        <is>
          <t>D</t>
        </is>
      </c>
      <c r="AI6" s="12" t="inlineStr">
        <is>
          <t>NFCO</t>
        </is>
      </c>
      <c r="AJ6" s="12" t="n">
        <v>1</v>
      </c>
    </row>
    <row r="7" customFormat="1" s="13">
      <c r="A7" s="11" t="inlineStr">
        <is>
          <t>#</t>
        </is>
      </c>
      <c r="B7" s="19" t="inlineStr">
        <is>
          <t>AIF_ASSUMPTION</t>
        </is>
      </c>
      <c r="C7" s="12" t="inlineStr">
        <is>
          <t>BE</t>
        </is>
      </c>
      <c r="D7" s="12" t="inlineStr">
        <is>
          <t>CANCEL</t>
        </is>
      </c>
      <c r="E7" s="12" t="inlineStr">
        <is>
          <t>Q2</t>
        </is>
      </c>
      <c r="F7" s="12" t="n">
        <v>2019</v>
      </c>
      <c r="G7" s="12" t="inlineStr">
        <is>
          <t>YQ</t>
        </is>
      </c>
      <c r="H7" s="12" t="inlineStr">
        <is>
          <t>Q2</t>
        </is>
      </c>
      <c r="I7" s="12" t="inlineStr">
        <is>
          <t>no</t>
        </is>
      </c>
      <c r="J7" s="12" t="inlineStr">
        <is>
          <t>DE</t>
        </is>
      </c>
      <c r="K7" s="12" t="n">
        <v>2</v>
      </c>
      <c r="L7" s="12" t="n">
        <v>2</v>
      </c>
      <c r="M7" s="12" t="n">
        <v>2</v>
      </c>
      <c r="N7" s="12" t="n">
        <v>2</v>
      </c>
      <c r="O7" s="12" t="n">
        <v>2</v>
      </c>
      <c r="P7" s="12" t="n">
        <v>2</v>
      </c>
      <c r="Q7" s="12" t="inlineStr">
        <is>
          <t>MASTER</t>
        </is>
      </c>
      <c r="R7" s="12" t="inlineStr">
        <is>
          <t>DKK</t>
        </is>
      </c>
      <c r="S7" s="12" t="inlineStr">
        <is>
          <t>OTH</t>
        </is>
      </c>
      <c r="T7" s="12" t="inlineStr">
        <is>
          <t>EQTY_LGST</t>
        </is>
      </c>
      <c r="U7" s="12" t="inlineStr">
        <is>
          <t>CIU_NAM_MMFC</t>
        </is>
      </c>
      <c r="V7" s="12" t="n"/>
      <c r="W7" s="12" t="inlineStr">
        <is>
          <t>F</t>
        </is>
      </c>
      <c r="X7" s="12" t="inlineStr">
        <is>
          <t>C</t>
        </is>
      </c>
      <c r="Y7" s="12" t="inlineStr">
        <is>
          <t>L</t>
        </is>
      </c>
      <c r="Z7" s="12" t="inlineStr">
        <is>
          <t xml:space="preserve">ASIAPACIFIC  </t>
        </is>
      </c>
      <c r="AA7" s="12" t="inlineStr">
        <is>
          <t>CCP</t>
        </is>
      </c>
      <c r="AB7" s="12" t="inlineStr">
        <is>
          <t>SMALL</t>
        </is>
      </c>
      <c r="AC7" s="12" t="inlineStr">
        <is>
          <t>OTC</t>
        </is>
      </c>
      <c r="AD7" s="12" t="inlineStr">
        <is>
          <t>DER_CDS_CDS</t>
        </is>
      </c>
      <c r="AE7" s="12" t="inlineStr">
        <is>
          <t>BOUT</t>
        </is>
      </c>
      <c r="AF7" s="12" t="inlineStr">
        <is>
          <t>NET_DV01</t>
        </is>
      </c>
      <c r="AG7" s="12" t="inlineStr">
        <is>
          <t>CARLO</t>
        </is>
      </c>
      <c r="AH7" s="12" t="inlineStr">
        <is>
          <t>W</t>
        </is>
      </c>
      <c r="AI7" s="12" t="inlineStr">
        <is>
          <t>BANK</t>
        </is>
      </c>
      <c r="AJ7" s="12" t="n">
        <v>2</v>
      </c>
    </row>
    <row r="8" customFormat="1" s="13">
      <c r="A8" s="11" t="inlineStr">
        <is>
          <t>#</t>
        </is>
      </c>
      <c r="B8" s="19" t="inlineStr">
        <is>
          <t>AIF_EXTERNAL</t>
        </is>
      </c>
      <c r="C8" s="12" t="inlineStr">
        <is>
          <t>BG</t>
        </is>
      </c>
      <c r="D8" s="12" t="inlineStr">
        <is>
          <t>INIT</t>
        </is>
      </c>
      <c r="E8" s="12" t="inlineStr">
        <is>
          <t>Q3</t>
        </is>
      </c>
      <c r="F8" s="12" t="n">
        <v>2020</v>
      </c>
      <c r="G8" s="12" t="inlineStr">
        <is>
          <t>HY</t>
        </is>
      </c>
      <c r="H8" s="12" t="inlineStr">
        <is>
          <t>Q3</t>
        </is>
      </c>
      <c r="I8" s="12" t="n"/>
      <c r="J8" s="12" t="inlineStr">
        <is>
          <t>GB</t>
        </is>
      </c>
      <c r="K8" s="12" t="n">
        <v>3</v>
      </c>
      <c r="L8" s="12" t="n">
        <v>3</v>
      </c>
      <c r="M8" s="12" t="n">
        <v>3</v>
      </c>
      <c r="N8" s="12" t="n">
        <v>3</v>
      </c>
      <c r="O8" s="12" t="n">
        <v>3</v>
      </c>
      <c r="P8" s="12" t="n">
        <v>3</v>
      </c>
      <c r="Q8" s="12" t="inlineStr">
        <is>
          <t>FEEDER</t>
        </is>
      </c>
      <c r="R8" s="12" t="inlineStr">
        <is>
          <t>EUR</t>
        </is>
      </c>
      <c r="S8" s="12" t="n"/>
      <c r="T8" s="12" t="inlineStr">
        <is>
          <t>EQTY_MTNL</t>
        </is>
      </c>
      <c r="U8" s="12" t="inlineStr">
        <is>
          <t>CIU_NAM_OTHR</t>
        </is>
      </c>
      <c r="V8" s="12" t="n"/>
      <c r="W8" s="12" t="n"/>
      <c r="X8" s="12" t="inlineStr">
        <is>
          <t>F</t>
        </is>
      </c>
      <c r="Y8" s="12" t="inlineStr">
        <is>
          <t>S</t>
        </is>
      </c>
      <c r="Z8" s="12" t="inlineStr">
        <is>
          <t>EUROPENONEEA</t>
        </is>
      </c>
      <c r="AA8" s="12" t="n"/>
      <c r="AB8" s="12" t="inlineStr">
        <is>
          <t>LOW_MID_MKT</t>
        </is>
      </c>
      <c r="AC8" s="12" t="inlineStr">
        <is>
          <t>XXX</t>
        </is>
      </c>
      <c r="AD8" s="12" t="inlineStr">
        <is>
          <t>DER_CTY_CTY</t>
        </is>
      </c>
      <c r="AE8" s="12" t="inlineStr">
        <is>
          <t>CONS</t>
        </is>
      </c>
      <c r="AF8" s="12" t="inlineStr">
        <is>
          <t>NET_CS01</t>
        </is>
      </c>
      <c r="AG8" s="12" t="inlineStr">
        <is>
          <t>PARAM</t>
        </is>
      </c>
      <c r="AH8" s="12" t="inlineStr">
        <is>
          <t>F</t>
        </is>
      </c>
      <c r="AI8" s="12" t="inlineStr">
        <is>
          <t>INSC</t>
        </is>
      </c>
      <c r="AJ8" s="12" t="n">
        <v>3</v>
      </c>
    </row>
    <row r="9" customFormat="1" s="13">
      <c r="A9" s="11" t="inlineStr">
        <is>
          <t>#</t>
        </is>
      </c>
      <c r="B9" s="19" t="inlineStr">
        <is>
          <t>AIFM</t>
        </is>
      </c>
      <c r="C9" s="12" t="inlineStr">
        <is>
          <t>CY</t>
        </is>
      </c>
      <c r="D9" s="12" t="n"/>
      <c r="E9" s="12" t="inlineStr">
        <is>
          <t>Q4</t>
        </is>
      </c>
      <c r="F9" s="12" t="n">
        <v>2021</v>
      </c>
      <c r="G9" s="12" t="inlineStr">
        <is>
          <t>HQ</t>
        </is>
      </c>
      <c r="H9" s="12" t="inlineStr">
        <is>
          <t>Q4</t>
        </is>
      </c>
      <c r="I9" s="12" t="n"/>
      <c r="J9" s="12" t="inlineStr">
        <is>
          <t>IE</t>
        </is>
      </c>
      <c r="K9" s="12" t="n"/>
      <c r="L9" s="12" t="n">
        <v>4</v>
      </c>
      <c r="M9" s="12" t="n">
        <v>4</v>
      </c>
      <c r="N9" s="12" t="n">
        <v>4</v>
      </c>
      <c r="O9" s="12" t="n">
        <v>4</v>
      </c>
      <c r="P9" s="12" t="n">
        <v>4</v>
      </c>
      <c r="Q9" s="12" t="n"/>
      <c r="R9" s="12" t="inlineStr">
        <is>
          <t>GBP</t>
        </is>
      </c>
      <c r="S9" s="12" t="n"/>
      <c r="T9" s="12" t="inlineStr">
        <is>
          <t>EQTY_STBS</t>
        </is>
      </c>
      <c r="U9" s="12" t="inlineStr">
        <is>
          <t>CIU_OAM_AETF</t>
        </is>
      </c>
      <c r="V9" s="12" t="n"/>
      <c r="W9" s="12" t="n"/>
      <c r="X9" s="12" t="n"/>
      <c r="Y9" s="12" t="n"/>
      <c r="Z9" s="12" t="inlineStr">
        <is>
          <t xml:space="preserve">EUROPEEEA  </t>
        </is>
      </c>
      <c r="AA9" s="12" t="n"/>
      <c r="AB9" s="12" t="inlineStr">
        <is>
          <t>UP_MID_MKT</t>
        </is>
      </c>
      <c r="AC9" s="12" t="n"/>
      <c r="AD9" s="12" t="inlineStr">
        <is>
          <t>DER_EQD_EQD</t>
        </is>
      </c>
      <c r="AE9" s="12" t="inlineStr">
        <is>
          <t>CDIV</t>
        </is>
      </c>
      <c r="AF9" s="12" t="inlineStr">
        <is>
          <t>VEGA_EXPO</t>
        </is>
      </c>
      <c r="AH9" s="12" t="inlineStr">
        <is>
          <t>M</t>
        </is>
      </c>
      <c r="AI9" s="12" t="inlineStr">
        <is>
          <t>OFIN</t>
        </is>
      </c>
      <c r="AJ9" s="12" t="n">
        <v>4</v>
      </c>
    </row>
    <row r="10" customFormat="1" s="13">
      <c r="A10" s="11" t="inlineStr">
        <is>
          <t>#</t>
        </is>
      </c>
      <c r="B10" s="19" t="inlineStr">
        <is>
          <t>AIFM_ASSUMPTION</t>
        </is>
      </c>
      <c r="C10" s="12" t="inlineStr">
        <is>
          <t>CZ</t>
        </is>
      </c>
      <c r="D10" s="12" t="n"/>
      <c r="E10" s="12" t="inlineStr">
        <is>
          <t>H1</t>
        </is>
      </c>
      <c r="F10" s="12" t="n">
        <v>2022</v>
      </c>
      <c r="G10" s="12" t="inlineStr">
        <is>
          <t>QY</t>
        </is>
      </c>
      <c r="H10" s="12" t="n"/>
      <c r="I10" s="12" t="n"/>
      <c r="J10" s="12" t="inlineStr">
        <is>
          <t>LU</t>
        </is>
      </c>
      <c r="K10" s="12" t="n"/>
      <c r="L10" s="12" t="n">
        <v>5</v>
      </c>
      <c r="M10" s="12" t="n">
        <v>5</v>
      </c>
      <c r="N10" s="12" t="n">
        <v>5</v>
      </c>
      <c r="O10" s="12" t="n">
        <v>5</v>
      </c>
      <c r="P10" s="12" t="n">
        <v>5</v>
      </c>
      <c r="Q10" s="12" t="n"/>
      <c r="R10" s="12" t="inlineStr">
        <is>
          <t>ISK</t>
        </is>
      </c>
      <c r="S10" s="15" t="n"/>
      <c r="T10" s="12" t="inlineStr">
        <is>
          <t>RELV_FXIA</t>
        </is>
      </c>
      <c r="U10" s="12" t="inlineStr">
        <is>
          <t>CIU_OAM_MMFC</t>
        </is>
      </c>
      <c r="V10" s="12" t="n"/>
      <c r="W10" s="12" t="n"/>
      <c r="X10" s="12" t="n"/>
      <c r="Y10" s="12" t="n"/>
      <c r="Z10" s="12" t="inlineStr">
        <is>
          <t>MIDDLEEAST</t>
        </is>
      </c>
      <c r="AA10" s="12" t="n"/>
      <c r="AB10" s="12" t="inlineStr">
        <is>
          <t>L_CAP</t>
        </is>
      </c>
      <c r="AC10" s="12" t="n"/>
      <c r="AD10" s="12" t="inlineStr">
        <is>
          <t>DER_FEX_HED</t>
        </is>
      </c>
      <c r="AE10" s="12" t="inlineStr">
        <is>
          <t>ESOP</t>
        </is>
      </c>
      <c r="AF10" s="12" t="inlineStr">
        <is>
          <t>VAR</t>
        </is>
      </c>
      <c r="AG10" s="12" t="n"/>
      <c r="AH10" s="12" t="inlineStr">
        <is>
          <t>Q</t>
        </is>
      </c>
      <c r="AI10" s="12" t="inlineStr">
        <is>
          <t>PFND</t>
        </is>
      </c>
      <c r="AJ10" s="12" t="n">
        <v>5</v>
      </c>
    </row>
    <row r="11" customFormat="1" s="13">
      <c r="A11" s="11" t="inlineStr">
        <is>
          <t>#</t>
        </is>
      </c>
      <c r="B11" s="19" t="inlineStr">
        <is>
          <t>BORROW_SOURCE</t>
        </is>
      </c>
      <c r="C11" s="12" t="inlineStr">
        <is>
          <t>DE</t>
        </is>
      </c>
      <c r="D11" s="12" t="n"/>
      <c r="E11" s="12" t="inlineStr">
        <is>
          <t>H2</t>
        </is>
      </c>
      <c r="F11" s="12" t="n">
        <v>2023</v>
      </c>
      <c r="G11" s="12" t="inlineStr">
        <is>
          <t>QH</t>
        </is>
      </c>
      <c r="H11" s="12" t="n"/>
      <c r="I11" s="12" t="n"/>
      <c r="J11" s="12" t="inlineStr">
        <is>
          <t>NL</t>
        </is>
      </c>
      <c r="K11" s="12" t="n"/>
      <c r="L11" s="12" t="n">
        <v>6</v>
      </c>
      <c r="M11" s="12" t="n">
        <v>6</v>
      </c>
      <c r="N11" s="12" t="n"/>
      <c r="O11" s="12" t="n">
        <v>6</v>
      </c>
      <c r="P11" s="12" t="n">
        <v>6</v>
      </c>
      <c r="Q11" s="12" t="n"/>
      <c r="R11" s="12" t="inlineStr">
        <is>
          <t>NOK</t>
        </is>
      </c>
      <c r="S11" s="12" t="n"/>
      <c r="T11" s="15" t="inlineStr">
        <is>
          <t>RELV_CBAR</t>
        </is>
      </c>
      <c r="U11" s="12" t="inlineStr">
        <is>
          <t>CIU_OAM_OTHR</t>
        </is>
      </c>
      <c r="V11" s="12" t="n"/>
      <c r="W11" s="12" t="n"/>
      <c r="X11" s="12" t="n"/>
      <c r="Y11" s="12" t="n"/>
      <c r="Z11" s="12" t="inlineStr">
        <is>
          <t>NORTHAMERICA</t>
        </is>
      </c>
      <c r="AA11" s="15" t="n"/>
      <c r="AB11" s="15" t="inlineStr">
        <is>
          <t>M_CAP</t>
        </is>
      </c>
      <c r="AC11" s="12" t="n"/>
      <c r="AD11" s="12" t="inlineStr">
        <is>
          <t>DER_FEX_INV</t>
        </is>
      </c>
      <c r="AE11" s="15" t="inlineStr">
        <is>
          <t>GCAP</t>
        </is>
      </c>
      <c r="AF11" s="15" t="inlineStr">
        <is>
          <t>NET_FX_DELTA</t>
        </is>
      </c>
      <c r="AG11" s="12" t="n"/>
      <c r="AH11" s="15" t="inlineStr">
        <is>
          <t>H</t>
        </is>
      </c>
      <c r="AI11" s="15" t="inlineStr">
        <is>
          <t>GENG</t>
        </is>
      </c>
      <c r="AJ11" s="15" t="n">
        <v>6</v>
      </c>
    </row>
    <row r="12" customFormat="1" s="13">
      <c r="A12" s="11" t="inlineStr">
        <is>
          <t>#</t>
        </is>
      </c>
      <c r="B12" s="19" t="inlineStr">
        <is>
          <t>CONTROLLED_STRUCTURE</t>
        </is>
      </c>
      <c r="C12" s="12" t="inlineStr">
        <is>
          <t>DK</t>
        </is>
      </c>
      <c r="D12" s="12" t="n"/>
      <c r="E12" s="12" t="inlineStr">
        <is>
          <t>Y1</t>
        </is>
      </c>
      <c r="F12" s="12" t="n">
        <v>2024</v>
      </c>
      <c r="G12" s="12" t="inlineStr">
        <is>
          <t>NQ</t>
        </is>
      </c>
      <c r="H12" s="12" t="n"/>
      <c r="I12" s="12" t="n"/>
      <c r="J12" s="12" t="inlineStr">
        <is>
          <t>US</t>
        </is>
      </c>
      <c r="K12" s="12" t="n"/>
      <c r="L12" s="12" t="n"/>
      <c r="M12" s="12" t="n">
        <v>7</v>
      </c>
      <c r="N12" s="12" t="n"/>
      <c r="O12" s="12" t="n">
        <v>7</v>
      </c>
      <c r="P12" s="12" t="n">
        <v>7</v>
      </c>
      <c r="Q12" s="15" t="n"/>
      <c r="R12" s="12" t="inlineStr">
        <is>
          <t>USD</t>
        </is>
      </c>
      <c r="S12" s="15" t="n"/>
      <c r="T12" s="12" t="inlineStr">
        <is>
          <t>RELV_VLAR</t>
        </is>
      </c>
      <c r="U12" s="12" t="inlineStr">
        <is>
          <t>DER_CDS_EXOT</t>
        </is>
      </c>
      <c r="V12" s="12" t="n"/>
      <c r="W12" s="15" t="n"/>
      <c r="X12" s="15" t="n"/>
      <c r="Y12" s="15" t="n"/>
      <c r="Z12" s="15" t="inlineStr">
        <is>
          <t>SOUTHAMERICA</t>
        </is>
      </c>
      <c r="AA12" s="12" t="n"/>
      <c r="AB12" s="12" t="n"/>
      <c r="AC12" s="15" t="n"/>
      <c r="AD12" s="12" t="inlineStr">
        <is>
          <t>DER_FID_FID</t>
        </is>
      </c>
      <c r="AE12" s="12" t="inlineStr">
        <is>
          <t>RCAP</t>
        </is>
      </c>
      <c r="AF12" s="12" t="inlineStr">
        <is>
          <t>NET_CTY_DELTA</t>
        </is>
      </c>
      <c r="AG12" s="15" t="n"/>
      <c r="AH12" s="12" t="inlineStr">
        <is>
          <t>Y</t>
        </is>
      </c>
      <c r="AI12" s="12" t="inlineStr">
        <is>
          <t>OCIU</t>
        </is>
      </c>
      <c r="AJ12" s="12" t="n">
        <v>7</v>
      </c>
    </row>
    <row r="13" customFormat="1" s="13">
      <c r="A13" s="11" t="inlineStr">
        <is>
          <t>#</t>
        </is>
      </c>
      <c r="B13" s="19" t="inlineStr">
        <is>
          <t>COUNTERPARTY_RISK_PROFILE</t>
        </is>
      </c>
      <c r="C13" s="12" t="inlineStr">
        <is>
          <t>EE</t>
        </is>
      </c>
      <c r="D13" s="12" t="n"/>
      <c r="E13" s="12" t="inlineStr">
        <is>
          <t>X1</t>
        </is>
      </c>
      <c r="F13" s="12" t="n">
        <v>2025</v>
      </c>
      <c r="G13" s="12" t="inlineStr">
        <is>
          <t>NH</t>
        </is>
      </c>
      <c r="H13" s="12" t="n"/>
      <c r="I13" s="12" t="n"/>
      <c r="J13" s="15" t="n"/>
      <c r="K13" s="12" t="n"/>
      <c r="L13" s="12" t="n"/>
      <c r="M13" s="12" t="n">
        <v>8</v>
      </c>
      <c r="N13" s="12" t="n"/>
      <c r="O13" s="12" t="n">
        <v>8</v>
      </c>
      <c r="P13" s="12" t="n">
        <v>8</v>
      </c>
      <c r="Q13" s="12" t="n"/>
      <c r="R13" s="12" t="n"/>
      <c r="S13" s="12" t="n"/>
      <c r="T13" s="12" t="inlineStr">
        <is>
          <t>EVDR_DSRS</t>
        </is>
      </c>
      <c r="U13" s="12" t="inlineStr">
        <is>
          <t>DER_CDS_INDX</t>
        </is>
      </c>
      <c r="V13" s="12" t="n"/>
      <c r="W13" s="12" t="n"/>
      <c r="X13" s="12" t="n"/>
      <c r="Y13" s="12" t="n"/>
      <c r="Z13" s="12" t="inlineStr">
        <is>
          <t>SUPRANATIONAL</t>
        </is>
      </c>
      <c r="AA13" s="12" t="n"/>
      <c r="AB13" s="12" t="n"/>
      <c r="AC13" s="12" t="n"/>
      <c r="AD13" s="12" t="inlineStr">
        <is>
          <t>DER_IRD_IRD</t>
        </is>
      </c>
      <c r="AE13" s="12" t="inlineStr">
        <is>
          <t>SLIQ</t>
        </is>
      </c>
      <c r="AG13" s="12" t="n"/>
      <c r="AH13" s="12" t="inlineStr">
        <is>
          <t>O</t>
        </is>
      </c>
      <c r="AI13" s="12" t="inlineStr">
        <is>
          <t>HHLD</t>
        </is>
      </c>
      <c r="AJ13" s="12" t="n">
        <v>8</v>
      </c>
    </row>
    <row r="14" customFormat="1" s="13">
      <c r="A14" s="11" t="inlineStr">
        <is>
          <t>#</t>
        </is>
      </c>
      <c r="B14" s="19" t="inlineStr">
        <is>
          <t>CUSTOM_FX_RATE</t>
        </is>
      </c>
      <c r="C14" s="12" t="inlineStr">
        <is>
          <t>ES</t>
        </is>
      </c>
      <c r="D14" s="12" t="n"/>
      <c r="E14" s="12" t="inlineStr">
        <is>
          <t>X2</t>
        </is>
      </c>
      <c r="F14" s="12" t="n">
        <v>2026</v>
      </c>
      <c r="G14" s="12" t="inlineStr">
        <is>
          <t>NY</t>
        </is>
      </c>
      <c r="I14" s="12" t="n"/>
      <c r="J14" s="12" t="inlineStr">
        <is>
          <t>AD</t>
        </is>
      </c>
      <c r="K14" s="12" t="n"/>
      <c r="L14" s="12" t="n"/>
      <c r="M14" s="12" t="n">
        <v>9</v>
      </c>
      <c r="N14" s="12" t="n"/>
      <c r="O14" s="12" t="n">
        <v>9</v>
      </c>
      <c r="P14" s="12" t="n">
        <v>9</v>
      </c>
      <c r="Q14" s="12" t="n"/>
      <c r="R14" s="12" t="inlineStr">
        <is>
          <t>AED</t>
        </is>
      </c>
      <c r="S14" s="12" t="n"/>
      <c r="T14" s="12" t="inlineStr">
        <is>
          <t>EVDR_RAMA</t>
        </is>
      </c>
      <c r="U14" s="12" t="inlineStr">
        <is>
          <t>DER_CDS_OTHR</t>
        </is>
      </c>
      <c r="V14" s="12" t="n"/>
      <c r="W14" s="12" t="n"/>
      <c r="X14" s="12" t="n"/>
      <c r="Y14" s="12" t="n"/>
      <c r="Z14" s="12" t="n"/>
      <c r="AA14" s="12" t="n"/>
      <c r="AB14" s="12" t="n"/>
      <c r="AC14" s="12" t="n"/>
      <c r="AD14" s="12" t="inlineStr">
        <is>
          <t>DER_OTH_OTH</t>
        </is>
      </c>
      <c r="AE14" s="12" t="inlineStr">
        <is>
          <t>TURN</t>
        </is>
      </c>
      <c r="AF14" s="12" t="n"/>
      <c r="AG14" s="12" t="n"/>
      <c r="AH14" s="12" t="inlineStr">
        <is>
          <t>N</t>
        </is>
      </c>
      <c r="AI14" s="12" t="inlineStr">
        <is>
          <t>UNKN</t>
        </is>
      </c>
      <c r="AJ14" s="12" t="n">
        <v>9</v>
      </c>
    </row>
    <row r="15" customFormat="1" s="13">
      <c r="A15" s="11" t="inlineStr">
        <is>
          <t>#</t>
        </is>
      </c>
      <c r="B15" s="19" t="inlineStr">
        <is>
          <t>DOMINANT_INFLUENCE</t>
        </is>
      </c>
      <c r="C15" s="12" t="inlineStr">
        <is>
          <t>FI</t>
        </is>
      </c>
      <c r="D15" s="12" t="n"/>
      <c r="E15" s="12" t="n"/>
      <c r="F15" s="12" t="n">
        <v>2027</v>
      </c>
      <c r="G15" s="12" t="n"/>
      <c r="H15" s="12" t="n"/>
      <c r="I15" s="12" t="n"/>
      <c r="J15" s="12" t="inlineStr">
        <is>
          <t>AE</t>
        </is>
      </c>
      <c r="K15" s="12" t="n"/>
      <c r="L15" s="12" t="n"/>
      <c r="M15" s="12" t="n"/>
      <c r="N15" s="12" t="n"/>
      <c r="O15" s="12" t="n">
        <v>10</v>
      </c>
      <c r="P15" s="12" t="n">
        <v>10</v>
      </c>
      <c r="Q15" s="12" t="n"/>
      <c r="R15" s="15" t="inlineStr">
        <is>
          <t>AFN</t>
        </is>
      </c>
      <c r="S15" s="12" t="n"/>
      <c r="T15" s="12" t="inlineStr">
        <is>
          <t>EVDR_EYSS</t>
        </is>
      </c>
      <c r="U15" s="12" t="inlineStr">
        <is>
          <t>DER_CDS_SNFI</t>
        </is>
      </c>
      <c r="V15" s="12" t="n"/>
      <c r="W15" s="12" t="n"/>
      <c r="X15" s="12" t="n"/>
      <c r="Y15" s="12" t="n"/>
      <c r="Z15" s="12" t="n"/>
      <c r="AA15" s="12" t="n"/>
      <c r="AB15" s="12" t="n"/>
      <c r="AC15" s="12" t="n"/>
      <c r="AD15" s="12" t="inlineStr">
        <is>
          <t>OTH_OTH_OTH</t>
        </is>
      </c>
      <c r="AE15" s="12" t="inlineStr">
        <is>
          <t>OTHR</t>
        </is>
      </c>
      <c r="AF15" s="12" t="n"/>
      <c r="AG15" s="12" t="n"/>
      <c r="AI15" s="12" t="inlineStr">
        <is>
          <t>NONE</t>
        </is>
      </c>
      <c r="AJ15" s="12" t="n">
        <v>10</v>
      </c>
    </row>
    <row r="16" customFormat="1" s="13">
      <c r="A16" s="11" t="inlineStr">
        <is>
          <t>#</t>
        </is>
      </c>
      <c r="B16" s="19" t="inlineStr">
        <is>
          <t>FINANCE</t>
        </is>
      </c>
      <c r="C16" s="12" t="inlineStr">
        <is>
          <t>FR</t>
        </is>
      </c>
      <c r="D16" s="12" t="n"/>
      <c r="E16" s="12" t="n"/>
      <c r="F16" s="12" t="n">
        <v>2028</v>
      </c>
      <c r="G16" s="12" t="n"/>
      <c r="H16" s="12" t="n"/>
      <c r="I16" s="12" t="n"/>
      <c r="J16" s="12" t="inlineStr">
        <is>
          <t>AF</t>
        </is>
      </c>
      <c r="K16" s="12" t="n"/>
      <c r="L16" s="12" t="n"/>
      <c r="M16" s="12" t="n"/>
      <c r="N16" s="12" t="n"/>
      <c r="O16" s="12" t="n">
        <v>11</v>
      </c>
      <c r="P16" s="12" t="n">
        <v>11</v>
      </c>
      <c r="Q16" s="12" t="n"/>
      <c r="R16" s="12" t="inlineStr">
        <is>
          <t>ALL</t>
        </is>
      </c>
      <c r="S16" s="12" t="n"/>
      <c r="T16" s="12" t="inlineStr">
        <is>
          <t>CRED_LGST</t>
        </is>
      </c>
      <c r="U16" s="12" t="inlineStr">
        <is>
          <t>DER_CDS_SNOT</t>
        </is>
      </c>
      <c r="V16" s="12" t="n"/>
      <c r="W16" s="12" t="n"/>
      <c r="X16" s="12" t="n"/>
      <c r="Y16" s="12" t="n"/>
      <c r="Z16" s="12" t="n"/>
      <c r="AA16" s="12" t="n"/>
      <c r="AB16" s="12" t="n"/>
      <c r="AC16" s="12" t="n"/>
      <c r="AD16" s="12" t="inlineStr">
        <is>
          <t>PHY_ART_ART</t>
        </is>
      </c>
      <c r="AF16" s="12" t="n"/>
      <c r="AG16" s="12" t="n"/>
      <c r="AH16" s="12" t="n"/>
      <c r="AI16" s="12" t="n"/>
      <c r="AJ16" s="12" t="n">
        <v>11</v>
      </c>
    </row>
    <row r="17" customFormat="1" s="13">
      <c r="A17" s="11" t="inlineStr">
        <is>
          <t>#</t>
        </is>
      </c>
      <c r="B17" s="19" t="inlineStr">
        <is>
          <t>FINANCING_LIQUIDITY</t>
        </is>
      </c>
      <c r="C17" s="12" t="inlineStr">
        <is>
          <t>GB</t>
        </is>
      </c>
      <c r="D17" s="12" t="n"/>
      <c r="E17" s="12" t="n"/>
      <c r="F17" s="12" t="n">
        <v>2029</v>
      </c>
      <c r="G17" s="12" t="n"/>
      <c r="H17" s="12" t="n"/>
      <c r="I17" s="12" t="n"/>
      <c r="J17" s="12" t="inlineStr">
        <is>
          <t>AG</t>
        </is>
      </c>
      <c r="K17" s="12" t="n"/>
      <c r="L17" s="12" t="n"/>
      <c r="M17" s="12" t="n"/>
      <c r="N17" s="12" t="n"/>
      <c r="O17" s="12" t="n">
        <v>12</v>
      </c>
      <c r="P17" s="12" t="n">
        <v>12</v>
      </c>
      <c r="Q17" s="12" t="n"/>
      <c r="R17" s="12" t="inlineStr">
        <is>
          <t>AMD</t>
        </is>
      </c>
      <c r="S17" s="12" t="n"/>
      <c r="T17" s="12" t="inlineStr">
        <is>
          <t>CRED_ABLG</t>
        </is>
      </c>
      <c r="U17" s="12" t="inlineStr">
        <is>
          <t>DER_CDS_SNSO</t>
        </is>
      </c>
      <c r="V17" s="12" t="n"/>
      <c r="W17" s="12" t="n"/>
      <c r="X17" s="12" t="n"/>
      <c r="Y17" s="12" t="n"/>
      <c r="Z17" s="12" t="n"/>
      <c r="AA17" s="12" t="n"/>
      <c r="AB17" s="12" t="n"/>
      <c r="AC17" s="12" t="n"/>
      <c r="AD17" s="12" t="inlineStr">
        <is>
          <t>PHY_CTY_CTY</t>
        </is>
      </c>
      <c r="AE17" s="12" t="n"/>
      <c r="AF17" s="12" t="n"/>
      <c r="AG17" s="12" t="n"/>
      <c r="AH17" s="12" t="n"/>
      <c r="AI17" s="12" t="n"/>
      <c r="AJ17" s="12" t="n">
        <v>12</v>
      </c>
    </row>
    <row r="18" customFormat="1" s="13">
      <c r="A18" s="11" t="inlineStr">
        <is>
          <t>#</t>
        </is>
      </c>
      <c r="B18" s="19" t="inlineStr">
        <is>
          <t>HISTORICAL_RISK_PROFILE</t>
        </is>
      </c>
      <c r="C18" s="12" t="inlineStr">
        <is>
          <t>GR</t>
        </is>
      </c>
      <c r="D18" s="12" t="n"/>
      <c r="E18" s="12" t="n"/>
      <c r="F18" s="12" t="n">
        <v>2030</v>
      </c>
      <c r="G18" s="12" t="n"/>
      <c r="H18" s="12" t="n"/>
      <c r="I18" s="12" t="n"/>
      <c r="J18" s="12" t="inlineStr">
        <is>
          <t>AI</t>
        </is>
      </c>
      <c r="K18" s="12" t="n"/>
      <c r="L18" s="12" t="n"/>
      <c r="M18" s="12" t="n"/>
      <c r="N18" s="12" t="n"/>
      <c r="O18" s="12" t="n">
        <v>13</v>
      </c>
      <c r="P18" s="12" t="n">
        <v>13</v>
      </c>
      <c r="Q18" s="12" t="n"/>
      <c r="R18" s="12" t="inlineStr">
        <is>
          <t>ANG</t>
        </is>
      </c>
      <c r="S18" s="12" t="n"/>
      <c r="T18" s="12" t="inlineStr">
        <is>
          <t>MACR_MACR</t>
        </is>
      </c>
      <c r="U18" s="12" t="inlineStr">
        <is>
          <t>DER_CTY_ECOL</t>
        </is>
      </c>
      <c r="V18" s="12" t="n"/>
      <c r="W18" s="12" t="n"/>
      <c r="X18" s="12" t="n"/>
      <c r="Y18" s="12" t="n"/>
      <c r="Z18" s="12" t="n"/>
      <c r="AA18" s="12" t="n"/>
      <c r="AB18" s="12" t="n"/>
      <c r="AC18" s="12" t="n"/>
      <c r="AD18" s="12" t="inlineStr">
        <is>
          <t>PHY_OTH_OTH</t>
        </is>
      </c>
      <c r="AE18" s="12" t="n"/>
      <c r="AF18" s="12" t="n"/>
      <c r="AG18" s="12" t="n"/>
      <c r="AH18" s="12" t="n"/>
      <c r="AI18" s="12" t="n"/>
      <c r="AJ18" s="12" t="n"/>
    </row>
    <row r="19" customFormat="1" s="13">
      <c r="A19" s="11" t="inlineStr">
        <is>
          <t>#</t>
        </is>
      </c>
      <c r="B19" s="19" t="inlineStr">
        <is>
          <t>INVESTOR</t>
        </is>
      </c>
      <c r="C19" s="12" t="inlineStr">
        <is>
          <t>HR</t>
        </is>
      </c>
      <c r="D19" s="12" t="n"/>
      <c r="E19" s="12" t="n"/>
      <c r="F19" s="12" t="n"/>
      <c r="G19" s="12" t="n"/>
      <c r="H19" s="12" t="n"/>
      <c r="I19" s="12" t="n"/>
      <c r="J19" s="12" t="inlineStr">
        <is>
          <t>AL</t>
        </is>
      </c>
      <c r="K19" s="12" t="n"/>
      <c r="L19" s="12" t="n"/>
      <c r="M19" s="12" t="n"/>
      <c r="N19" s="12" t="n"/>
      <c r="O19" s="12" t="n">
        <v>14</v>
      </c>
      <c r="P19" s="12" t="n">
        <v>14</v>
      </c>
      <c r="Q19" s="12" t="n"/>
      <c r="R19" s="12" t="inlineStr">
        <is>
          <t>AOA</t>
        </is>
      </c>
      <c r="S19" s="12" t="n"/>
      <c r="T19" s="12" t="inlineStr">
        <is>
          <t>MANF_CTAF</t>
        </is>
      </c>
      <c r="U19" s="12" t="inlineStr">
        <is>
          <t>DER_CTY_ENNG</t>
        </is>
      </c>
      <c r="V19" s="12" t="n"/>
      <c r="W19" s="12" t="n"/>
      <c r="X19" s="12" t="n"/>
      <c r="Y19" s="12" t="n"/>
      <c r="Z19" s="12" t="n"/>
      <c r="AA19" s="12" t="n"/>
      <c r="AB19" s="12" t="n"/>
      <c r="AC19" s="12" t="n"/>
      <c r="AD19" s="12" t="inlineStr">
        <is>
          <t>PHY_RES_RES</t>
        </is>
      </c>
      <c r="AE19" s="12" t="n"/>
      <c r="AF19" s="12" t="n"/>
      <c r="AG19" s="12" t="n"/>
      <c r="AH19" s="12" t="n"/>
      <c r="AI19" s="12" t="n"/>
      <c r="AJ19" s="12" t="n"/>
    </row>
    <row r="20" customFormat="1" s="13">
      <c r="A20" s="11" t="inlineStr">
        <is>
          <t>#</t>
        </is>
      </c>
      <c r="B20" s="19" t="inlineStr">
        <is>
          <t>INVESTOR_LIQUIDITY_PROFILE</t>
        </is>
      </c>
      <c r="C20" s="12" t="inlineStr">
        <is>
          <t>HU</t>
        </is>
      </c>
      <c r="D20" s="12" t="n"/>
      <c r="E20" s="12" t="n"/>
      <c r="F20" s="12" t="n"/>
      <c r="G20" s="12" t="n"/>
      <c r="H20" s="12" t="n"/>
      <c r="I20" s="12" t="n"/>
      <c r="J20" s="12" t="inlineStr">
        <is>
          <t>AM</t>
        </is>
      </c>
      <c r="K20" s="12" t="n"/>
      <c r="L20" s="12" t="n"/>
      <c r="M20" s="12" t="n"/>
      <c r="N20" s="12" t="n"/>
      <c r="O20" s="12" t="n">
        <v>15</v>
      </c>
      <c r="P20" s="12" t="n">
        <v>15</v>
      </c>
      <c r="Q20" s="12" t="n"/>
      <c r="R20" s="12" t="inlineStr">
        <is>
          <t>ARS</t>
        </is>
      </c>
      <c r="S20" s="12" t="n"/>
      <c r="T20" s="12" t="inlineStr">
        <is>
          <t>MANF_CTAQ</t>
        </is>
      </c>
      <c r="U20" s="12" t="inlineStr">
        <is>
          <t>DER_CTY_ENOT</t>
        </is>
      </c>
      <c r="V20" s="12" t="n"/>
      <c r="W20" s="12" t="n"/>
      <c r="X20" s="12" t="n"/>
      <c r="Y20" s="12" t="n"/>
      <c r="Z20" s="12" t="n"/>
      <c r="AA20" s="12" t="n"/>
      <c r="AB20" s="12" t="n"/>
      <c r="AC20" s="12" t="n"/>
      <c r="AD20" s="12" t="inlineStr">
        <is>
          <t>PHY_TIM_TIM</t>
        </is>
      </c>
      <c r="AE20" s="12" t="n"/>
      <c r="AF20" s="12" t="n"/>
      <c r="AG20" s="12" t="n"/>
      <c r="AH20" s="12" t="n"/>
      <c r="AI20" s="12" t="n"/>
      <c r="AJ20" s="12" t="n"/>
    </row>
    <row r="21" customFormat="1" s="13">
      <c r="A21" s="11" t="inlineStr">
        <is>
          <t>#</t>
        </is>
      </c>
      <c r="B21" s="19" t="inlineStr">
        <is>
          <t>INVESTOR_REDEMPTION</t>
        </is>
      </c>
      <c r="C21" s="12" t="inlineStr">
        <is>
          <t>IE</t>
        </is>
      </c>
      <c r="D21" s="12" t="n"/>
      <c r="E21" s="12" t="n"/>
      <c r="F21" s="12" t="n"/>
      <c r="G21" s="12" t="n"/>
      <c r="H21" s="12" t="n"/>
      <c r="I21" s="12" t="n"/>
      <c r="J21" s="12" t="inlineStr">
        <is>
          <t>AN</t>
        </is>
      </c>
      <c r="K21" s="12" t="n"/>
      <c r="L21" s="12" t="n"/>
      <c r="M21" s="12" t="n"/>
      <c r="N21" s="12" t="n"/>
      <c r="O21" s="12" t="n">
        <v>16</v>
      </c>
      <c r="P21" s="12" t="n">
        <v>16</v>
      </c>
      <c r="Q21" s="12" t="n"/>
      <c r="R21" s="12" t="inlineStr">
        <is>
          <t>AUD</t>
        </is>
      </c>
      <c r="S21" s="12" t="n"/>
      <c r="T21" s="12" t="inlineStr">
        <is>
          <t>OTHR_HFND</t>
        </is>
      </c>
      <c r="U21" s="12" t="inlineStr">
        <is>
          <t>DER_CTY_ENPW</t>
        </is>
      </c>
      <c r="V21" s="12" t="n"/>
      <c r="W21" s="12" t="n"/>
      <c r="X21" s="12" t="n"/>
      <c r="Y21" s="12" t="n"/>
      <c r="Z21" s="12" t="n"/>
      <c r="AA21" s="12" t="n"/>
      <c r="AB21" s="12" t="n"/>
      <c r="AC21" s="12" t="n"/>
      <c r="AD21" s="12" t="inlineStr">
        <is>
          <t>PHY_TPT_TPT</t>
        </is>
      </c>
      <c r="AE21" s="12" t="n"/>
      <c r="AF21" s="12" t="n"/>
      <c r="AG21" s="12" t="n"/>
      <c r="AH21" s="12" t="n"/>
      <c r="AI21" s="12" t="n"/>
      <c r="AJ21" s="12" t="n"/>
    </row>
    <row r="22" customFormat="1" s="13">
      <c r="A22" s="11" t="inlineStr">
        <is>
          <t>#</t>
        </is>
      </c>
      <c r="B22" s="19" t="inlineStr">
        <is>
          <t>MASTER_FEEDER</t>
        </is>
      </c>
      <c r="C22" s="12" t="inlineStr">
        <is>
          <t>IS</t>
        </is>
      </c>
      <c r="D22" s="12" t="n"/>
      <c r="E22" s="12" t="n"/>
      <c r="F22" s="12" t="n"/>
      <c r="G22" s="12" t="n"/>
      <c r="H22" s="12" t="n"/>
      <c r="I22" s="12" t="n"/>
      <c r="J22" s="12" t="inlineStr">
        <is>
          <t>AO</t>
        </is>
      </c>
      <c r="K22" s="12" t="n"/>
      <c r="L22" s="12" t="n"/>
      <c r="M22" s="12" t="n"/>
      <c r="N22" s="12" t="n"/>
      <c r="O22" s="12" t="n">
        <v>17</v>
      </c>
      <c r="P22" s="12" t="n">
        <v>17</v>
      </c>
      <c r="Q22" s="12" t="n"/>
      <c r="R22" s="12" t="inlineStr">
        <is>
          <t>AWG</t>
        </is>
      </c>
      <c r="S22" s="12" t="n"/>
      <c r="T22" s="12" t="inlineStr">
        <is>
          <t>VENT_CAPL</t>
        </is>
      </c>
      <c r="U22" s="12" t="inlineStr">
        <is>
          <t>DER_CTY_OTAP</t>
        </is>
      </c>
      <c r="V22" s="12" t="n"/>
      <c r="W22" s="12" t="n"/>
      <c r="X22" s="12" t="n"/>
      <c r="Y22" s="12" t="n"/>
      <c r="Z22" s="12" t="n"/>
      <c r="AA22" s="12" t="n"/>
      <c r="AB22" s="12" t="n"/>
      <c r="AC22" s="12" t="n"/>
      <c r="AD22" s="12" t="inlineStr">
        <is>
          <t>SEC_CBD_CBD</t>
        </is>
      </c>
      <c r="AE22" s="12" t="n"/>
      <c r="AF22" s="12" t="n"/>
      <c r="AG22" s="12" t="n"/>
      <c r="AH22" s="12" t="n"/>
      <c r="AI22" s="12" t="n"/>
      <c r="AJ22" s="12" t="n"/>
    </row>
    <row r="23" customFormat="1" s="13">
      <c r="A23" s="11" t="inlineStr">
        <is>
          <t>#</t>
        </is>
      </c>
      <c r="B23" s="19" t="inlineStr">
        <is>
          <t>PORTFOLIO_LIQUIDITY_PROFILE</t>
        </is>
      </c>
      <c r="C23" s="12" t="inlineStr">
        <is>
          <t>IT</t>
        </is>
      </c>
      <c r="D23" s="12" t="n"/>
      <c r="E23" s="12" t="n"/>
      <c r="F23" s="12" t="n"/>
      <c r="G23" s="12" t="n"/>
      <c r="H23" s="12" t="n"/>
      <c r="I23" s="12" t="n"/>
      <c r="J23" s="12" t="inlineStr">
        <is>
          <t>AQ</t>
        </is>
      </c>
      <c r="K23" s="12" t="n"/>
      <c r="L23" s="12" t="n"/>
      <c r="M23" s="12" t="n"/>
      <c r="N23" s="12" t="n"/>
      <c r="O23" s="12" t="n">
        <v>18</v>
      </c>
      <c r="P23" s="12" t="n">
        <v>18</v>
      </c>
      <c r="Q23" s="12" t="n"/>
      <c r="R23" s="12" t="inlineStr">
        <is>
          <t>AZN</t>
        </is>
      </c>
      <c r="S23" s="12" t="n"/>
      <c r="T23" s="12" t="inlineStr">
        <is>
          <t>GRTH_CAPL</t>
        </is>
      </c>
      <c r="U23" s="12" t="inlineStr">
        <is>
          <t>DER_CTY_OTHR</t>
        </is>
      </c>
      <c r="V23" s="12" t="n"/>
      <c r="W23" s="12" t="n"/>
      <c r="X23" s="12" t="n"/>
      <c r="Y23" s="12" t="n"/>
      <c r="Z23" s="12" t="n"/>
      <c r="AA23" s="12" t="n"/>
      <c r="AB23" s="12" t="n"/>
      <c r="AC23" s="12" t="n"/>
      <c r="AD23" s="12" t="inlineStr">
        <is>
          <t>SEC_CPI_CPI</t>
        </is>
      </c>
      <c r="AE23" s="12" t="n"/>
      <c r="AF23" s="12" t="n"/>
      <c r="AG23" s="12" t="n"/>
      <c r="AH23" s="12" t="n"/>
      <c r="AI23" s="12" t="n"/>
      <c r="AJ23" s="12" t="n"/>
    </row>
    <row r="24" customFormat="1" s="13">
      <c r="A24" s="11" t="inlineStr">
        <is>
          <t>#</t>
        </is>
      </c>
      <c r="B24" s="19" t="inlineStr">
        <is>
          <t>POSITION</t>
        </is>
      </c>
      <c r="C24" s="12" t="inlineStr">
        <is>
          <t>LI</t>
        </is>
      </c>
      <c r="D24" s="12" t="n"/>
      <c r="E24" s="12" t="n"/>
      <c r="F24" s="12" t="n"/>
      <c r="G24" s="12" t="n"/>
      <c r="H24" s="12" t="n"/>
      <c r="I24" s="12" t="n"/>
      <c r="J24" s="12" t="inlineStr">
        <is>
          <t>AR</t>
        </is>
      </c>
      <c r="K24" s="12" t="n"/>
      <c r="L24" s="12" t="n"/>
      <c r="M24" s="12" t="n"/>
      <c r="N24" s="12" t="n"/>
      <c r="O24" s="12" t="n">
        <v>19</v>
      </c>
      <c r="P24" s="12" t="n">
        <v>19</v>
      </c>
      <c r="Q24" s="12" t="n"/>
      <c r="R24" s="12" t="inlineStr">
        <is>
          <t>BAM</t>
        </is>
      </c>
      <c r="S24" s="12" t="n"/>
      <c r="T24" s="12" t="inlineStr">
        <is>
          <t>MZNE_CAPL</t>
        </is>
      </c>
      <c r="U24" s="12" t="inlineStr">
        <is>
          <t>DER_CTY_OTIM</t>
        </is>
      </c>
      <c r="V24" s="12" t="n"/>
      <c r="W24" s="12" t="n"/>
      <c r="X24" s="12" t="n"/>
      <c r="Y24" s="12" t="n"/>
      <c r="Z24" s="12" t="n"/>
      <c r="AA24" s="12" t="n"/>
      <c r="AB24" s="12" t="n"/>
      <c r="AC24" s="12" t="n"/>
      <c r="AD24" s="12" t="inlineStr">
        <is>
          <t>SEC_CPN_IVG</t>
        </is>
      </c>
      <c r="AE24" s="12" t="n"/>
      <c r="AF24" s="12" t="n"/>
      <c r="AG24" s="12" t="n"/>
      <c r="AH24" s="12" t="n"/>
      <c r="AI24" s="12" t="n"/>
      <c r="AJ24" s="12" t="n"/>
    </row>
    <row r="25" customFormat="1" s="13">
      <c r="A25" s="11" t="inlineStr">
        <is>
          <t>#</t>
        </is>
      </c>
      <c r="B25" s="19" t="inlineStr">
        <is>
          <t>POSITION_EXTERNAL</t>
        </is>
      </c>
      <c r="C25" s="12" t="inlineStr">
        <is>
          <t>LT</t>
        </is>
      </c>
      <c r="D25" s="12" t="n"/>
      <c r="E25" s="12" t="n"/>
      <c r="F25" s="12" t="n"/>
      <c r="G25" s="12" t="n"/>
      <c r="H25" s="12" t="n"/>
      <c r="I25" s="12" t="n"/>
      <c r="J25" s="12" t="inlineStr">
        <is>
          <t>AS</t>
        </is>
      </c>
      <c r="K25" s="12" t="n"/>
      <c r="L25" s="12" t="n"/>
      <c r="M25" s="12" t="n"/>
      <c r="N25" s="12" t="n"/>
      <c r="O25" s="12" t="n">
        <v>20</v>
      </c>
      <c r="P25" s="12" t="n">
        <v>20</v>
      </c>
      <c r="Q25" s="12" t="n"/>
      <c r="R25" s="12" t="inlineStr">
        <is>
          <t>BBD</t>
        </is>
      </c>
      <c r="S25" s="12" t="n"/>
      <c r="T25" s="12" t="inlineStr">
        <is>
          <t>OTHR_PEQF</t>
        </is>
      </c>
      <c r="U25" s="12" t="inlineStr">
        <is>
          <t>DER_CTY_OTLS</t>
        </is>
      </c>
      <c r="V25" s="12" t="n"/>
      <c r="W25" s="12" t="n"/>
      <c r="X25" s="12" t="n"/>
      <c r="Y25" s="12" t="n"/>
      <c r="Z25" s="12" t="n"/>
      <c r="AA25" s="12" t="n"/>
      <c r="AB25" s="12" t="n"/>
      <c r="AC25" s="12" t="n"/>
      <c r="AD25" s="12" t="inlineStr">
        <is>
          <t>SEC_CPN_NIG</t>
        </is>
      </c>
      <c r="AE25" s="12" t="n"/>
      <c r="AF25" s="12" t="n"/>
      <c r="AG25" s="12" t="n"/>
      <c r="AH25" s="12" t="n"/>
      <c r="AI25" s="12" t="n"/>
      <c r="AJ25" s="12" t="n"/>
    </row>
    <row r="26" customFormat="1" s="13">
      <c r="A26" s="11" t="inlineStr">
        <is>
          <t>#</t>
        </is>
      </c>
      <c r="B26" s="19" t="inlineStr">
        <is>
          <t>PRIME_BROKER</t>
        </is>
      </c>
      <c r="C26" s="12" t="inlineStr">
        <is>
          <t>LU</t>
        </is>
      </c>
      <c r="D26" s="12" t="n"/>
      <c r="E26" s="12" t="n"/>
      <c r="F26" s="12" t="n"/>
      <c r="G26" s="12" t="n"/>
      <c r="H26" s="12" t="n"/>
      <c r="I26" s="12" t="n"/>
      <c r="J26" s="12" t="inlineStr">
        <is>
          <t>AT</t>
        </is>
      </c>
      <c r="K26" s="12" t="n"/>
      <c r="L26" s="12" t="n"/>
      <c r="M26" s="12" t="n"/>
      <c r="N26" s="12" t="n"/>
      <c r="O26" s="12" t="n">
        <v>21</v>
      </c>
      <c r="P26" s="12" t="n">
        <v>21</v>
      </c>
      <c r="Q26" s="12" t="n"/>
      <c r="R26" s="12" t="inlineStr">
        <is>
          <t>BDT</t>
        </is>
      </c>
      <c r="S26" s="12" t="n"/>
      <c r="T26" s="12" t="inlineStr">
        <is>
          <t>RESL_REST</t>
        </is>
      </c>
      <c r="U26" s="12" t="inlineStr">
        <is>
          <t>DER_CTY_PMGD</t>
        </is>
      </c>
      <c r="V26" s="12" t="n"/>
      <c r="W26" s="12" t="n"/>
      <c r="X26" s="12" t="n"/>
      <c r="Y26" s="12" t="n"/>
      <c r="Z26" s="12" t="n"/>
      <c r="AA26" s="12" t="n"/>
      <c r="AB26" s="12" t="n"/>
      <c r="AC26" s="12" t="n"/>
      <c r="AD26" s="12" t="inlineStr">
        <is>
          <t>SEC_CSH_CSH</t>
        </is>
      </c>
      <c r="AE26" s="12" t="n"/>
      <c r="AF26" s="12" t="n"/>
      <c r="AG26" s="12" t="n"/>
      <c r="AH26" s="12" t="n"/>
      <c r="AI26" s="12" t="n"/>
      <c r="AJ26" s="12" t="n"/>
    </row>
    <row r="27" customFormat="1" s="13">
      <c r="A27" s="11" t="inlineStr">
        <is>
          <t>#</t>
        </is>
      </c>
      <c r="B27" s="19" t="inlineStr">
        <is>
          <t>RISK</t>
        </is>
      </c>
      <c r="C27" s="12" t="inlineStr">
        <is>
          <t>LV</t>
        </is>
      </c>
      <c r="D27" s="12" t="n"/>
      <c r="E27" s="12" t="n"/>
      <c r="F27" s="12" t="n"/>
      <c r="G27" s="12" t="n"/>
      <c r="H27" s="12" t="n"/>
      <c r="I27" s="12" t="n"/>
      <c r="J27" s="12" t="inlineStr">
        <is>
          <t>AU</t>
        </is>
      </c>
      <c r="K27" s="12" t="n"/>
      <c r="L27" s="12" t="n"/>
      <c r="M27" s="12" t="n"/>
      <c r="N27" s="12" t="n"/>
      <c r="O27" s="12" t="n">
        <v>22</v>
      </c>
      <c r="P27" s="12" t="n">
        <v>22</v>
      </c>
      <c r="Q27" s="12" t="n"/>
      <c r="R27" s="12" t="inlineStr">
        <is>
          <t>BGN</t>
        </is>
      </c>
      <c r="S27" s="12" t="n"/>
      <c r="T27" s="12" t="inlineStr">
        <is>
          <t>COML_REST</t>
        </is>
      </c>
      <c r="U27" s="12" t="inlineStr">
        <is>
          <t>DER_CTY_PMOT</t>
        </is>
      </c>
      <c r="V27" s="12" t="n"/>
      <c r="W27" s="12" t="n"/>
      <c r="X27" s="12" t="n"/>
      <c r="Y27" s="12" t="n"/>
      <c r="Z27" s="12" t="n"/>
      <c r="AA27" s="12" t="n"/>
      <c r="AB27" s="12" t="n"/>
      <c r="AC27" s="12" t="n"/>
      <c r="AD27" s="12" t="inlineStr">
        <is>
          <t>SEC_LEQ_LEQ</t>
        </is>
      </c>
      <c r="AE27" s="12" t="n"/>
      <c r="AF27" s="12" t="n"/>
      <c r="AG27" s="12" t="n"/>
      <c r="AH27" s="12" t="n"/>
      <c r="AI27" s="12" t="n"/>
      <c r="AJ27" s="12" t="n"/>
    </row>
    <row r="28" customFormat="1" s="13">
      <c r="A28" s="11" t="inlineStr">
        <is>
          <t>#</t>
        </is>
      </c>
      <c r="B28" s="19" t="inlineStr">
        <is>
          <t>SHARE_CLASS</t>
        </is>
      </c>
      <c r="C28" s="12" t="inlineStr">
        <is>
          <t>MT</t>
        </is>
      </c>
      <c r="D28" s="12" t="n"/>
      <c r="E28" s="12" t="n"/>
      <c r="F28" s="12" t="n"/>
      <c r="G28" s="12" t="n"/>
      <c r="H28" s="12" t="n"/>
      <c r="I28" s="12" t="n"/>
      <c r="J28" s="12" t="inlineStr">
        <is>
          <t>AW</t>
        </is>
      </c>
      <c r="K28" s="12" t="n"/>
      <c r="L28" s="12" t="n"/>
      <c r="M28" s="12" t="n"/>
      <c r="N28" s="12" t="n"/>
      <c r="O28" s="12" t="n">
        <v>23</v>
      </c>
      <c r="P28" s="12" t="n">
        <v>23</v>
      </c>
      <c r="Q28" s="12" t="n"/>
      <c r="R28" s="12" t="inlineStr">
        <is>
          <t>BHD</t>
        </is>
      </c>
      <c r="S28" s="12" t="n"/>
      <c r="T28" s="12" t="inlineStr">
        <is>
          <t>INDL_REST</t>
        </is>
      </c>
      <c r="U28" s="12" t="inlineStr">
        <is>
          <t>DER_EQD_FINI</t>
        </is>
      </c>
      <c r="V28" s="12" t="n"/>
      <c r="W28" s="12" t="n"/>
      <c r="X28" s="12" t="n"/>
      <c r="Y28" s="12" t="n"/>
      <c r="Z28" s="12" t="n"/>
      <c r="AA28" s="12" t="n"/>
      <c r="AB28" s="12" t="n"/>
      <c r="AC28" s="12" t="n"/>
      <c r="AD28" s="12" t="inlineStr">
        <is>
          <t>SEC_LON_LON</t>
        </is>
      </c>
      <c r="AE28" s="12" t="n"/>
      <c r="AF28" s="12" t="n"/>
      <c r="AG28" s="12" t="n"/>
      <c r="AH28" s="12" t="n"/>
      <c r="AI28" s="12" t="n"/>
      <c r="AJ28" s="12" t="n"/>
    </row>
    <row r="29" customFormat="1" s="13">
      <c r="A29" s="11" t="inlineStr">
        <is>
          <t>#</t>
        </is>
      </c>
      <c r="B29" s="19" t="inlineStr">
        <is>
          <t>SPECIAL_ARRANGEMENT</t>
        </is>
      </c>
      <c r="C29" s="12" t="inlineStr">
        <is>
          <t>NL</t>
        </is>
      </c>
      <c r="D29" s="12" t="n"/>
      <c r="E29" s="12" t="n"/>
      <c r="F29" s="12" t="n"/>
      <c r="G29" s="12" t="n"/>
      <c r="H29" s="12" t="n"/>
      <c r="I29" s="12" t="n"/>
      <c r="J29" s="12" t="inlineStr">
        <is>
          <t>AX</t>
        </is>
      </c>
      <c r="K29" s="12" t="n"/>
      <c r="L29" s="12" t="n"/>
      <c r="M29" s="12" t="n"/>
      <c r="N29" s="12" t="n"/>
      <c r="O29" s="12" t="n">
        <v>24</v>
      </c>
      <c r="P29" s="12" t="n">
        <v>24</v>
      </c>
      <c r="Q29" s="12" t="n"/>
      <c r="R29" s="12" t="inlineStr">
        <is>
          <t>BIF</t>
        </is>
      </c>
      <c r="S29" s="12" t="n"/>
      <c r="T29" s="12" t="inlineStr">
        <is>
          <t>OTHR_REST</t>
        </is>
      </c>
      <c r="U29" s="12" t="inlineStr">
        <is>
          <t>DER_EQD_OTHD</t>
        </is>
      </c>
      <c r="V29" s="12" t="n"/>
      <c r="W29" s="12" t="n"/>
      <c r="X29" s="12" t="n"/>
      <c r="Y29" s="12" t="n"/>
      <c r="Z29" s="12" t="n"/>
      <c r="AA29" s="12" t="n"/>
      <c r="AB29" s="12" t="n"/>
      <c r="AC29" s="12" t="n"/>
      <c r="AD29" s="12" t="inlineStr">
        <is>
          <t>SEC_MUN_MUN</t>
        </is>
      </c>
      <c r="AE29" s="12" t="n"/>
      <c r="AF29" s="12" t="n"/>
      <c r="AG29" s="12" t="n"/>
      <c r="AH29" s="12" t="n"/>
      <c r="AI29" s="12" t="n"/>
      <c r="AJ29" s="12" t="n"/>
    </row>
    <row r="30" customFormat="1" s="13">
      <c r="A30" s="11" t="inlineStr">
        <is>
          <t>#</t>
        </is>
      </c>
      <c r="B30" s="19" t="inlineStr">
        <is>
          <t>STRATEGY</t>
        </is>
      </c>
      <c r="C30" s="12" t="inlineStr">
        <is>
          <t>NO</t>
        </is>
      </c>
      <c r="D30" s="12" t="n"/>
      <c r="E30" s="12" t="n"/>
      <c r="F30" s="12" t="n"/>
      <c r="G30" s="12" t="n"/>
      <c r="H30" s="12" t="n"/>
      <c r="I30" s="12" t="n"/>
      <c r="J30" s="12" t="inlineStr">
        <is>
          <t>AZ</t>
        </is>
      </c>
      <c r="K30" s="12" t="n"/>
      <c r="L30" s="12" t="n"/>
      <c r="M30" s="12" t="n"/>
      <c r="N30" s="12" t="n"/>
      <c r="O30" s="12" t="n">
        <v>25</v>
      </c>
      <c r="P30" s="12" t="n">
        <v>25</v>
      </c>
      <c r="Q30" s="12" t="n"/>
      <c r="R30" s="12" t="inlineStr">
        <is>
          <t>BMD</t>
        </is>
      </c>
      <c r="S30" s="12" t="n"/>
      <c r="T30" s="12" t="inlineStr">
        <is>
          <t>FOFS_FHFS</t>
        </is>
      </c>
      <c r="U30" s="12" t="inlineStr">
        <is>
          <t>DER_FEX_HEDG</t>
        </is>
      </c>
      <c r="V30" s="12" t="n"/>
      <c r="W30" s="12" t="n"/>
      <c r="X30" s="12" t="n"/>
      <c r="Y30" s="12" t="n"/>
      <c r="Z30" s="12" t="n"/>
      <c r="AA30" s="12" t="n"/>
      <c r="AB30" s="12" t="n"/>
      <c r="AC30" s="12" t="n"/>
      <c r="AD30" s="15" t="inlineStr">
        <is>
          <t>SEC_SBD_EUB</t>
        </is>
      </c>
      <c r="AE30" s="12" t="n"/>
      <c r="AF30" s="12" t="n"/>
      <c r="AG30" s="12" t="n"/>
      <c r="AH30" s="12" t="n"/>
      <c r="AI30" s="12" t="n"/>
      <c r="AJ30" s="12" t="n"/>
    </row>
    <row r="31" customFormat="1" s="13">
      <c r="A31" s="11" t="inlineStr">
        <is>
          <t>#</t>
        </is>
      </c>
      <c r="B31" s="19" t="inlineStr">
        <is>
          <t>STRESS_TEST</t>
        </is>
      </c>
      <c r="C31" s="12" t="inlineStr">
        <is>
          <t>PO</t>
        </is>
      </c>
      <c r="D31" s="12" t="n"/>
      <c r="E31" s="12" t="n"/>
      <c r="F31" s="12" t="n"/>
      <c r="G31" s="12" t="n"/>
      <c r="H31" s="12" t="n"/>
      <c r="I31" s="12" t="n"/>
      <c r="J31" s="12" t="inlineStr">
        <is>
          <t>BA</t>
        </is>
      </c>
      <c r="K31" s="12" t="n"/>
      <c r="L31" s="12" t="n"/>
      <c r="M31" s="12" t="n"/>
      <c r="N31" s="12" t="n"/>
      <c r="O31" s="12" t="n"/>
      <c r="P31" s="12" t="n">
        <v>26</v>
      </c>
      <c r="Q31" s="12" t="n"/>
      <c r="R31" s="12" t="inlineStr">
        <is>
          <t>BND</t>
        </is>
      </c>
      <c r="S31" s="12" t="n"/>
      <c r="T31" s="12" t="inlineStr">
        <is>
          <t>FOFS_PRIV</t>
        </is>
      </c>
      <c r="U31" s="12" t="inlineStr">
        <is>
          <t>DER_FEX_INVT</t>
        </is>
      </c>
      <c r="V31" s="12" t="n"/>
      <c r="W31" s="12" t="n"/>
      <c r="X31" s="12" t="n"/>
      <c r="Y31" s="12" t="n"/>
      <c r="Z31" s="12" t="n"/>
      <c r="AA31" s="12" t="n"/>
      <c r="AB31" s="12" t="n"/>
      <c r="AC31" s="12" t="n"/>
      <c r="AD31" s="12" t="inlineStr">
        <is>
          <t>SEC_SBD_NEU</t>
        </is>
      </c>
      <c r="AE31" s="12" t="n"/>
      <c r="AF31" s="12" t="n"/>
      <c r="AG31" s="12" t="n"/>
      <c r="AH31" s="12" t="n"/>
      <c r="AI31" s="12" t="n"/>
      <c r="AJ31" s="12" t="n"/>
    </row>
    <row r="32" customFormat="1" s="13">
      <c r="A32" s="11" t="inlineStr">
        <is>
          <t>#</t>
        </is>
      </c>
      <c r="B32" s="19" t="inlineStr">
        <is>
          <t>TURNOVER</t>
        </is>
      </c>
      <c r="C32" s="12" t="inlineStr">
        <is>
          <t>PT</t>
        </is>
      </c>
      <c r="D32" s="12" t="n"/>
      <c r="E32" s="12" t="n"/>
      <c r="F32" s="12" t="n"/>
      <c r="G32" s="12" t="n"/>
      <c r="H32" s="12" t="n"/>
      <c r="I32" s="12" t="n"/>
      <c r="J32" s="12" t="inlineStr">
        <is>
          <t>BB</t>
        </is>
      </c>
      <c r="K32" s="12" t="n"/>
      <c r="L32" s="12" t="n"/>
      <c r="M32" s="12" t="n"/>
      <c r="N32" s="12" t="n"/>
      <c r="O32" s="12" t="n"/>
      <c r="P32" s="12" t="n">
        <v>27</v>
      </c>
      <c r="Q32" s="12" t="n"/>
      <c r="R32" s="12" t="inlineStr">
        <is>
          <t>BOB</t>
        </is>
      </c>
      <c r="S32" s="12" t="n"/>
      <c r="T32" s="12" t="inlineStr">
        <is>
          <t>OTHR_FOFS</t>
        </is>
      </c>
      <c r="U32" s="12" t="inlineStr">
        <is>
          <t>DER_FID_FIXI</t>
        </is>
      </c>
      <c r="V32" s="12" t="n"/>
      <c r="W32" s="12" t="n"/>
      <c r="X32" s="12" t="n"/>
      <c r="Y32" s="12" t="n"/>
      <c r="Z32" s="12" t="n"/>
      <c r="AA32" s="12" t="n"/>
      <c r="AB32" s="12" t="n"/>
      <c r="AC32" s="12" t="n"/>
      <c r="AD32" s="12" t="inlineStr">
        <is>
          <t>SEC_SSP_SSP</t>
        </is>
      </c>
      <c r="AE32" s="12" t="n"/>
      <c r="AF32" s="12" t="n"/>
      <c r="AG32" s="12" t="n"/>
      <c r="AH32" s="12" t="n"/>
      <c r="AI32" s="12" t="n"/>
      <c r="AJ32" s="12" t="n"/>
    </row>
    <row r="33" customFormat="1" s="13">
      <c r="A33" s="11" t="inlineStr">
        <is>
          <t>#</t>
        </is>
      </c>
      <c r="B33" s="19" t="n"/>
      <c r="C33" s="12" t="inlineStr">
        <is>
          <t>RO</t>
        </is>
      </c>
      <c r="D33" s="12" t="n"/>
      <c r="E33" s="12" t="n"/>
      <c r="F33" s="12" t="n"/>
      <c r="G33" s="12" t="n"/>
      <c r="H33" s="12" t="n"/>
      <c r="I33" s="12" t="n"/>
      <c r="J33" s="12" t="inlineStr">
        <is>
          <t>BD</t>
        </is>
      </c>
      <c r="K33" s="12" t="n"/>
      <c r="L33" s="12" t="n"/>
      <c r="M33" s="12" t="n"/>
      <c r="N33" s="12" t="n"/>
      <c r="O33" s="12" t="n"/>
      <c r="P33" s="12" t="n">
        <v>28</v>
      </c>
      <c r="Q33" s="12" t="n"/>
      <c r="R33" s="12" t="inlineStr">
        <is>
          <t>BOV</t>
        </is>
      </c>
      <c r="S33" s="12" t="n"/>
      <c r="T33" s="12" t="inlineStr">
        <is>
          <t>OTHR_COMF</t>
        </is>
      </c>
      <c r="U33" s="12" t="inlineStr">
        <is>
          <t>DER_IRD_INTR</t>
        </is>
      </c>
      <c r="V33" s="12" t="n"/>
      <c r="W33" s="12" t="n"/>
      <c r="X33" s="12" t="n"/>
      <c r="Y33" s="12" t="n"/>
      <c r="Z33" s="12" t="n"/>
      <c r="AA33" s="12" t="n"/>
      <c r="AB33" s="12" t="n"/>
      <c r="AC33" s="12" t="n"/>
      <c r="AD33" s="12" t="inlineStr">
        <is>
          <t>SEC_UEQ_UEQ</t>
        </is>
      </c>
      <c r="AE33" s="12" t="n"/>
      <c r="AF33" s="12" t="n"/>
      <c r="AG33" s="12" t="n"/>
      <c r="AH33" s="12" t="n"/>
      <c r="AI33" s="12" t="n"/>
      <c r="AJ33" s="12" t="n"/>
    </row>
    <row r="34" customFormat="1" s="13">
      <c r="A34" s="11" t="inlineStr">
        <is>
          <t>#</t>
        </is>
      </c>
      <c r="B34" s="19" t="n"/>
      <c r="C34" s="12" t="inlineStr">
        <is>
          <t>SE</t>
        </is>
      </c>
      <c r="D34" s="12" t="n"/>
      <c r="E34" s="12" t="n"/>
      <c r="F34" s="12" t="n"/>
      <c r="G34" s="12" t="n"/>
      <c r="H34" s="12" t="n"/>
      <c r="I34" s="12" t="n"/>
      <c r="J34" s="12" t="inlineStr">
        <is>
          <t>BE</t>
        </is>
      </c>
      <c r="K34" s="12" t="n"/>
      <c r="L34" s="12" t="n"/>
      <c r="M34" s="12" t="n"/>
      <c r="N34" s="12" t="n"/>
      <c r="O34" s="12" t="n"/>
      <c r="P34" s="12" t="n">
        <v>29</v>
      </c>
      <c r="Q34" s="12" t="n"/>
      <c r="R34" s="12" t="inlineStr">
        <is>
          <t>BRL</t>
        </is>
      </c>
      <c r="S34" s="12" t="n"/>
      <c r="T34" s="12" t="inlineStr">
        <is>
          <t>OTHR_EQYF</t>
        </is>
      </c>
      <c r="U34" s="12" t="inlineStr">
        <is>
          <t>DER_OTH_OTHR</t>
        </is>
      </c>
      <c r="V34" s="12" t="n"/>
      <c r="W34" s="12" t="n"/>
      <c r="X34" s="12" t="n"/>
      <c r="Y34" s="12" t="n"/>
      <c r="Z34" s="12" t="n"/>
      <c r="AA34" s="12" t="n"/>
      <c r="AB34" s="12" t="n"/>
      <c r="AC34" s="12" t="n"/>
      <c r="AD34" s="12" t="n"/>
      <c r="AE34" s="12" t="n"/>
      <c r="AF34" s="12" t="n"/>
      <c r="AG34" s="12" t="n"/>
      <c r="AH34" s="12" t="n"/>
      <c r="AI34" s="12" t="n"/>
      <c r="AJ34" s="12" t="n"/>
    </row>
    <row r="35" customFormat="1" s="13">
      <c r="A35" s="11" t="inlineStr">
        <is>
          <t>#</t>
        </is>
      </c>
      <c r="B35" s="19" t="n"/>
      <c r="C35" s="12" t="inlineStr">
        <is>
          <t>SI</t>
        </is>
      </c>
      <c r="D35" s="12" t="n"/>
      <c r="E35" s="12" t="n"/>
      <c r="F35" s="12" t="n"/>
      <c r="G35" s="12" t="n"/>
      <c r="H35" s="12" t="n"/>
      <c r="I35" s="12" t="n"/>
      <c r="J35" s="12" t="inlineStr">
        <is>
          <t>BF</t>
        </is>
      </c>
      <c r="K35" s="12" t="n"/>
      <c r="L35" s="12" t="n"/>
      <c r="M35" s="12" t="n"/>
      <c r="N35" s="12" t="n"/>
      <c r="O35" s="12" t="n"/>
      <c r="P35" s="12" t="n">
        <v>30</v>
      </c>
      <c r="Q35" s="12" t="n"/>
      <c r="R35" s="12" t="inlineStr">
        <is>
          <t>BSD</t>
        </is>
      </c>
      <c r="S35" s="12" t="n"/>
      <c r="T35" s="12" t="inlineStr">
        <is>
          <t>OTHR_FXIF</t>
        </is>
      </c>
      <c r="U35" s="12" t="inlineStr">
        <is>
          <t>OTH_OTH_OTHR</t>
        </is>
      </c>
      <c r="V35" s="12" t="n"/>
      <c r="W35" s="12" t="n"/>
      <c r="X35" s="12" t="n"/>
      <c r="Y35" s="12" t="n"/>
      <c r="Z35" s="12" t="n"/>
      <c r="AA35" s="12" t="n"/>
      <c r="AB35" s="12" t="n"/>
      <c r="AC35" s="12" t="n"/>
      <c r="AD35" s="12" t="n"/>
      <c r="AE35" s="12" t="n"/>
      <c r="AF35" s="12" t="n"/>
      <c r="AG35" s="12" t="n"/>
      <c r="AH35" s="12" t="n"/>
      <c r="AI35" s="12" t="n"/>
      <c r="AJ35" s="12" t="n"/>
    </row>
    <row r="36" customFormat="1" s="13">
      <c r="A36" s="11" t="inlineStr">
        <is>
          <t>#</t>
        </is>
      </c>
      <c r="B36" s="19" t="n"/>
      <c r="C36" s="12" t="inlineStr">
        <is>
          <t>SK</t>
        </is>
      </c>
      <c r="D36" s="12" t="n"/>
      <c r="E36" s="12" t="n"/>
      <c r="F36" s="12" t="n"/>
      <c r="G36" s="12" t="n"/>
      <c r="H36" s="12" t="n"/>
      <c r="I36" s="12" t="n"/>
      <c r="J36" s="12" t="inlineStr">
        <is>
          <t>BG</t>
        </is>
      </c>
      <c r="K36" s="12" t="n"/>
      <c r="L36" s="12" t="n"/>
      <c r="M36" s="12" t="n"/>
      <c r="N36" s="12" t="n"/>
      <c r="O36" s="12" t="n"/>
      <c r="P36" s="12" t="n">
        <v>31</v>
      </c>
      <c r="Q36" s="12" t="n"/>
      <c r="R36" s="12" t="inlineStr">
        <is>
          <t>BTN</t>
        </is>
      </c>
      <c r="S36" s="12" t="n"/>
      <c r="T36" s="12" t="inlineStr">
        <is>
          <t>OTHR_INFF</t>
        </is>
      </c>
      <c r="U36" s="12" t="inlineStr">
        <is>
          <t>PHY_ART_PART</t>
        </is>
      </c>
      <c r="V36" s="12" t="n"/>
      <c r="W36" s="12" t="n"/>
      <c r="X36" s="12" t="n"/>
      <c r="Y36" s="12" t="n"/>
      <c r="Z36" s="12" t="n"/>
      <c r="AA36" s="12" t="n"/>
      <c r="AB36" s="12" t="n"/>
      <c r="AC36" s="12" t="n"/>
      <c r="AD36" s="12" t="n"/>
      <c r="AE36" s="12" t="n"/>
      <c r="AF36" s="12" t="n"/>
      <c r="AG36" s="12" t="n"/>
      <c r="AH36" s="12" t="n"/>
      <c r="AI36" s="12" t="n"/>
      <c r="AJ36" s="12" t="n"/>
    </row>
    <row r="37" customFormat="1" s="13">
      <c r="A37" s="11" t="inlineStr">
        <is>
          <t>#</t>
        </is>
      </c>
      <c r="B37" s="19" t="n"/>
      <c r="C37" s="12" t="inlineStr">
        <is>
          <t>XS</t>
        </is>
      </c>
      <c r="D37" s="12" t="n"/>
      <c r="E37" s="12" t="n"/>
      <c r="F37" s="12" t="n"/>
      <c r="G37" s="12" t="n"/>
      <c r="H37" s="12" t="n"/>
      <c r="I37" s="12" t="n"/>
      <c r="J37" s="12" t="inlineStr">
        <is>
          <t>BH</t>
        </is>
      </c>
      <c r="K37" s="12" t="n"/>
      <c r="L37" s="12" t="n"/>
      <c r="M37" s="12" t="n"/>
      <c r="N37" s="12" t="n"/>
      <c r="O37" s="12" t="n"/>
      <c r="P37" s="12" t="n">
        <v>32</v>
      </c>
      <c r="Q37" s="12" t="n"/>
      <c r="R37" s="12" t="inlineStr">
        <is>
          <t>BWP</t>
        </is>
      </c>
      <c r="S37" s="12" t="n"/>
      <c r="T37" s="12" t="inlineStr">
        <is>
          <t>OTHR_OTHF</t>
        </is>
      </c>
      <c r="U37" s="12" t="inlineStr">
        <is>
          <t>PHY_CTY_PCTY</t>
        </is>
      </c>
      <c r="V37" s="12" t="n"/>
      <c r="W37" s="12" t="n"/>
      <c r="X37" s="12" t="n"/>
      <c r="Y37" s="12" t="n"/>
      <c r="Z37" s="12" t="n"/>
      <c r="AA37" s="12" t="n"/>
      <c r="AB37" s="12" t="n"/>
      <c r="AC37" s="12" t="n"/>
      <c r="AD37" s="12" t="n"/>
      <c r="AE37" s="12" t="n"/>
      <c r="AF37" s="12" t="n"/>
      <c r="AG37" s="12" t="n"/>
      <c r="AH37" s="12" t="n"/>
      <c r="AI37" s="12" t="n"/>
      <c r="AJ37" s="12" t="n"/>
    </row>
    <row r="38" customFormat="1" s="13">
      <c r="A38" s="11" t="inlineStr">
        <is>
          <t>#</t>
        </is>
      </c>
      <c r="B38" s="19" t="n"/>
      <c r="C38" s="12" t="n"/>
      <c r="D38" s="12" t="n"/>
      <c r="E38" s="12" t="n"/>
      <c r="F38" s="12" t="n"/>
      <c r="G38" s="12" t="n"/>
      <c r="H38" s="12" t="n"/>
      <c r="I38" s="12" t="n"/>
      <c r="J38" s="12" t="inlineStr">
        <is>
          <t>BI</t>
        </is>
      </c>
      <c r="K38" s="12" t="n"/>
      <c r="L38" s="12" t="n"/>
      <c r="M38" s="12" t="n"/>
      <c r="N38" s="12" t="n"/>
      <c r="O38" s="12" t="n"/>
      <c r="P38" s="12" t="n">
        <v>33</v>
      </c>
      <c r="Q38" s="12" t="n"/>
      <c r="R38" s="12" t="inlineStr">
        <is>
          <t>BYN</t>
        </is>
      </c>
      <c r="S38" s="12" t="n"/>
      <c r="U38" s="12" t="inlineStr">
        <is>
          <t>PHY_OTH_OTHR</t>
        </is>
      </c>
      <c r="V38" s="12" t="n"/>
      <c r="W38" s="12" t="n"/>
      <c r="X38" s="12" t="n"/>
      <c r="Y38" s="12" t="n"/>
      <c r="Z38" s="12" t="n"/>
      <c r="AA38" s="12" t="n"/>
      <c r="AB38" s="12" t="n"/>
      <c r="AC38" s="12" t="n"/>
      <c r="AD38" s="12" t="n"/>
      <c r="AE38" s="12" t="n"/>
      <c r="AF38" s="12" t="n"/>
      <c r="AG38" s="12" t="n"/>
      <c r="AH38" s="12" t="n"/>
      <c r="AI38" s="12" t="n"/>
      <c r="AJ38" s="12" t="n"/>
    </row>
    <row r="39" customFormat="1" s="13">
      <c r="A39" s="11" t="inlineStr">
        <is>
          <t>#</t>
        </is>
      </c>
      <c r="B39" s="19" t="n"/>
      <c r="C39" s="12" t="n"/>
      <c r="D39" s="12" t="n"/>
      <c r="E39" s="12" t="n"/>
      <c r="F39" s="12" t="n"/>
      <c r="G39" s="12" t="n"/>
      <c r="H39" s="12" t="n"/>
      <c r="I39" s="12" t="n"/>
      <c r="J39" s="12" t="inlineStr">
        <is>
          <t>BJ</t>
        </is>
      </c>
      <c r="K39" s="12" t="n"/>
      <c r="L39" s="12" t="n"/>
      <c r="M39" s="12" t="n"/>
      <c r="N39" s="12" t="n"/>
      <c r="O39" s="12" t="n"/>
      <c r="P39" s="12" t="n">
        <v>34</v>
      </c>
      <c r="Q39" s="12" t="n"/>
      <c r="R39" s="12" t="inlineStr">
        <is>
          <t>BZD</t>
        </is>
      </c>
      <c r="S39" s="12" t="n"/>
      <c r="U39" s="12" t="inlineStr">
        <is>
          <t>PHY_RES_COML</t>
        </is>
      </c>
      <c r="V39" s="12" t="n"/>
      <c r="W39" s="12" t="n"/>
      <c r="X39" s="12" t="n"/>
      <c r="Y39" s="12" t="n"/>
      <c r="Z39" s="12" t="n"/>
      <c r="AA39" s="12" t="n"/>
      <c r="AB39" s="12" t="n"/>
      <c r="AC39" s="12" t="n"/>
      <c r="AD39" s="12" t="n"/>
      <c r="AE39" s="12" t="n"/>
      <c r="AF39" s="12" t="n"/>
      <c r="AG39" s="12" t="n"/>
      <c r="AH39" s="12" t="n"/>
      <c r="AI39" s="12" t="n"/>
      <c r="AJ39" s="12" t="n"/>
    </row>
    <row r="40" customFormat="1" s="13">
      <c r="A40" s="11" t="inlineStr">
        <is>
          <t>#</t>
        </is>
      </c>
      <c r="B40" s="19" t="n"/>
      <c r="C40" s="12" t="n"/>
      <c r="D40" s="12" t="n"/>
      <c r="E40" s="12" t="n"/>
      <c r="F40" s="12" t="n"/>
      <c r="G40" s="12" t="n"/>
      <c r="H40" s="12" t="n"/>
      <c r="I40" s="12" t="n"/>
      <c r="J40" s="12" t="inlineStr">
        <is>
          <t>BL</t>
        </is>
      </c>
      <c r="K40" s="12" t="n"/>
      <c r="L40" s="12" t="n"/>
      <c r="M40" s="12" t="n"/>
      <c r="N40" s="12" t="n"/>
      <c r="O40" s="12" t="n"/>
      <c r="P40" s="12" t="n">
        <v>35</v>
      </c>
      <c r="Q40" s="12" t="n"/>
      <c r="R40" s="12" t="inlineStr">
        <is>
          <t>CAD</t>
        </is>
      </c>
      <c r="S40" s="12" t="n"/>
      <c r="U40" s="12" t="inlineStr">
        <is>
          <t>PHY_RES_OTHR</t>
        </is>
      </c>
      <c r="V40" s="12" t="n"/>
      <c r="W40" s="12" t="n"/>
      <c r="X40" s="12" t="n"/>
      <c r="Y40" s="12" t="n"/>
      <c r="Z40" s="12" t="n"/>
      <c r="AA40" s="12" t="n"/>
      <c r="AB40" s="12" t="n"/>
      <c r="AC40" s="12" t="n"/>
      <c r="AD40" s="12" t="n"/>
      <c r="AE40" s="12" t="n"/>
      <c r="AF40" s="12" t="n"/>
      <c r="AG40" s="12" t="n"/>
      <c r="AH40" s="12" t="n"/>
      <c r="AI40" s="12" t="n"/>
      <c r="AJ40" s="12" t="n"/>
    </row>
    <row r="41" customFormat="1" s="13">
      <c r="A41" s="11" t="inlineStr">
        <is>
          <t>#</t>
        </is>
      </c>
      <c r="B41" s="19" t="n"/>
      <c r="C41" s="12" t="n"/>
      <c r="D41" s="12" t="n"/>
      <c r="E41" s="12" t="n"/>
      <c r="F41" s="12" t="n"/>
      <c r="G41" s="12" t="n"/>
      <c r="H41" s="12" t="n"/>
      <c r="I41" s="12" t="n"/>
      <c r="J41" s="12" t="inlineStr">
        <is>
          <t>BM</t>
        </is>
      </c>
      <c r="K41" s="12" t="n"/>
      <c r="L41" s="12" t="n"/>
      <c r="M41" s="12" t="n"/>
      <c r="N41" s="12" t="n"/>
      <c r="O41" s="12" t="n"/>
      <c r="P41" s="12" t="n">
        <v>36</v>
      </c>
      <c r="Q41" s="12" t="n"/>
      <c r="R41" s="12" t="inlineStr">
        <is>
          <t>CDF</t>
        </is>
      </c>
      <c r="S41" s="12" t="n"/>
      <c r="U41" s="12" t="inlineStr">
        <is>
          <t>PHY_RES_RESL</t>
        </is>
      </c>
      <c r="V41" s="12" t="n"/>
      <c r="W41" s="12" t="n"/>
      <c r="X41" s="12" t="n"/>
      <c r="Y41" s="12" t="n"/>
      <c r="Z41" s="12" t="n"/>
      <c r="AA41" s="12" t="n"/>
      <c r="AB41" s="12" t="n"/>
      <c r="AC41" s="12" t="n"/>
      <c r="AD41" s="12" t="n"/>
      <c r="AE41" s="12" t="n"/>
      <c r="AF41" s="12" t="n"/>
      <c r="AG41" s="12" t="n"/>
      <c r="AH41" s="12" t="n"/>
      <c r="AI41" s="12" t="n"/>
      <c r="AJ41" s="12" t="n"/>
    </row>
    <row r="42" customFormat="1" s="13">
      <c r="A42" s="11" t="inlineStr">
        <is>
          <t>#</t>
        </is>
      </c>
      <c r="B42" s="19" t="n"/>
      <c r="C42" s="12" t="n"/>
      <c r="D42" s="12" t="n"/>
      <c r="E42" s="12" t="n"/>
      <c r="F42" s="12" t="n"/>
      <c r="G42" s="12" t="n"/>
      <c r="H42" s="12" t="n"/>
      <c r="I42" s="12" t="n"/>
      <c r="J42" s="12" t="inlineStr">
        <is>
          <t>BN</t>
        </is>
      </c>
      <c r="K42" s="12" t="n"/>
      <c r="L42" s="12" t="n"/>
      <c r="M42" s="12" t="n"/>
      <c r="N42" s="12" t="n"/>
      <c r="O42" s="12" t="n"/>
      <c r="P42" s="12" t="n">
        <v>37</v>
      </c>
      <c r="Q42" s="12" t="n"/>
      <c r="R42" s="12" t="inlineStr">
        <is>
          <t>CHE</t>
        </is>
      </c>
      <c r="S42" s="12" t="n"/>
      <c r="T42" s="12" t="n"/>
      <c r="U42" s="12" t="inlineStr">
        <is>
          <t>PHY_TIM_PTIM</t>
        </is>
      </c>
      <c r="V42" s="12" t="n"/>
      <c r="W42" s="12" t="n"/>
      <c r="X42" s="12" t="n"/>
      <c r="Y42" s="12" t="n"/>
      <c r="Z42" s="12" t="n"/>
      <c r="AA42" s="12" t="n"/>
      <c r="AB42" s="12" t="n"/>
      <c r="AC42" s="12" t="n"/>
      <c r="AD42" s="12" t="n"/>
      <c r="AE42" s="12" t="n"/>
      <c r="AF42" s="12" t="n"/>
      <c r="AG42" s="12" t="n"/>
      <c r="AH42" s="12" t="n"/>
      <c r="AI42" s="12" t="n"/>
      <c r="AJ42" s="12" t="n"/>
    </row>
    <row r="43" customFormat="1" s="13">
      <c r="A43" s="11" t="inlineStr">
        <is>
          <t>#</t>
        </is>
      </c>
      <c r="B43" s="19" t="n"/>
      <c r="C43" s="12" t="n"/>
      <c r="D43" s="12" t="n"/>
      <c r="E43" s="12" t="n"/>
      <c r="F43" s="12" t="n"/>
      <c r="G43" s="12" t="n"/>
      <c r="H43" s="12" t="n"/>
      <c r="I43" s="12" t="n"/>
      <c r="J43" s="12" t="inlineStr">
        <is>
          <t>BO</t>
        </is>
      </c>
      <c r="K43" s="12" t="n"/>
      <c r="L43" s="12" t="n"/>
      <c r="M43" s="12" t="n"/>
      <c r="N43" s="12" t="n"/>
      <c r="O43" s="12" t="n"/>
      <c r="P43" s="12" t="n">
        <v>38</v>
      </c>
      <c r="Q43" s="12" t="n"/>
      <c r="R43" s="12" t="inlineStr">
        <is>
          <t>CHF</t>
        </is>
      </c>
      <c r="S43" s="12" t="n"/>
      <c r="T43" s="12" t="n"/>
      <c r="U43" s="12" t="inlineStr">
        <is>
          <t>PHY_TPT_PTPT</t>
        </is>
      </c>
      <c r="V43" s="12" t="n"/>
      <c r="W43" s="12" t="n"/>
      <c r="X43" s="12" t="n"/>
      <c r="Y43" s="12" t="n"/>
      <c r="Z43" s="12" t="n"/>
      <c r="AA43" s="12" t="n"/>
      <c r="AB43" s="12" t="n"/>
      <c r="AC43" s="12" t="n"/>
      <c r="AD43" s="12" t="n"/>
      <c r="AE43" s="12" t="n"/>
      <c r="AF43" s="12" t="n"/>
      <c r="AG43" s="12" t="n"/>
      <c r="AH43" s="12" t="n"/>
      <c r="AI43" s="12" t="n"/>
      <c r="AJ43" s="12" t="n"/>
    </row>
    <row r="44" customFormat="1" s="13">
      <c r="A44" s="11" t="inlineStr">
        <is>
          <t>#</t>
        </is>
      </c>
      <c r="B44" s="19" t="n"/>
      <c r="C44" s="12" t="n"/>
      <c r="D44" s="12" t="n"/>
      <c r="E44" s="12" t="n"/>
      <c r="F44" s="12" t="n"/>
      <c r="G44" s="12" t="n"/>
      <c r="H44" s="12" t="n"/>
      <c r="I44" s="12" t="n"/>
      <c r="J44" s="12" t="inlineStr">
        <is>
          <t>BR</t>
        </is>
      </c>
      <c r="K44" s="12" t="n"/>
      <c r="L44" s="12" t="n"/>
      <c r="M44" s="12" t="n"/>
      <c r="N44" s="12" t="n"/>
      <c r="O44" s="12" t="n"/>
      <c r="P44" s="12" t="n">
        <v>39</v>
      </c>
      <c r="Q44" s="12" t="n"/>
      <c r="R44" s="12" t="inlineStr">
        <is>
          <t>CHW</t>
        </is>
      </c>
      <c r="S44" s="12" t="n"/>
      <c r="T44" s="12" t="n"/>
      <c r="U44" s="12" t="inlineStr">
        <is>
          <t>SEC_CBI_INVG</t>
        </is>
      </c>
      <c r="V44" s="12" t="n"/>
      <c r="W44" s="12" t="n"/>
      <c r="X44" s="12" t="n"/>
      <c r="Y44" s="12" t="n"/>
      <c r="Z44" s="12" t="n"/>
      <c r="AA44" s="12" t="n"/>
      <c r="AB44" s="12" t="n"/>
      <c r="AC44" s="12" t="n"/>
      <c r="AD44" s="12" t="n"/>
      <c r="AE44" s="12" t="n"/>
      <c r="AF44" s="12" t="n"/>
      <c r="AG44" s="12" t="n"/>
      <c r="AH44" s="12" t="n"/>
      <c r="AI44" s="12" t="n"/>
      <c r="AJ44" s="12" t="n"/>
    </row>
    <row r="45" customFormat="1" s="13">
      <c r="A45" s="11" t="inlineStr">
        <is>
          <t>#</t>
        </is>
      </c>
      <c r="B45" s="19" t="n"/>
      <c r="C45" s="12" t="n"/>
      <c r="D45" s="12" t="n"/>
      <c r="E45" s="12" t="n"/>
      <c r="F45" s="12" t="n"/>
      <c r="G45" s="12" t="n"/>
      <c r="H45" s="12" t="n"/>
      <c r="I45" s="12" t="n"/>
      <c r="J45" s="12" t="inlineStr">
        <is>
          <t>BS</t>
        </is>
      </c>
      <c r="K45" s="12" t="n"/>
      <c r="L45" s="12" t="n"/>
      <c r="M45" s="12" t="n"/>
      <c r="N45" s="12" t="n"/>
      <c r="O45" s="12" t="n"/>
      <c r="P45" s="12" t="n">
        <v>40</v>
      </c>
      <c r="Q45" s="12" t="n"/>
      <c r="R45" s="12" t="inlineStr">
        <is>
          <t>CLF</t>
        </is>
      </c>
      <c r="S45" s="12" t="n"/>
      <c r="T45" s="12" t="n"/>
      <c r="U45" s="12" t="inlineStr">
        <is>
          <t>SEC_CBI_NIVG</t>
        </is>
      </c>
      <c r="V45" s="12" t="n"/>
      <c r="W45" s="12" t="n"/>
      <c r="X45" s="12" t="n"/>
      <c r="Y45" s="12" t="n"/>
      <c r="Z45" s="12" t="n"/>
      <c r="AA45" s="12" t="n"/>
      <c r="AB45" s="12" t="n"/>
      <c r="AC45" s="12" t="n"/>
      <c r="AD45" s="12" t="n"/>
      <c r="AE45" s="12" t="n"/>
      <c r="AF45" s="12" t="n"/>
      <c r="AG45" s="12" t="n"/>
      <c r="AH45" s="12" t="n"/>
      <c r="AI45" s="12" t="n"/>
      <c r="AJ45" s="12" t="n"/>
    </row>
    <row r="46" customFormat="1" s="13">
      <c r="A46" s="11" t="inlineStr">
        <is>
          <t>#</t>
        </is>
      </c>
      <c r="B46" s="19" t="n"/>
      <c r="C46" s="12" t="n"/>
      <c r="D46" s="12" t="n"/>
      <c r="E46" s="12" t="n"/>
      <c r="F46" s="12" t="n"/>
      <c r="G46" s="12" t="n"/>
      <c r="H46" s="12" t="n"/>
      <c r="I46" s="12" t="n"/>
      <c r="J46" s="12" t="inlineStr">
        <is>
          <t>BT</t>
        </is>
      </c>
      <c r="K46" s="12" t="n"/>
      <c r="L46" s="12" t="n"/>
      <c r="M46" s="12" t="n"/>
      <c r="N46" s="12" t="n"/>
      <c r="O46" s="12" t="n"/>
      <c r="P46" s="12" t="n">
        <v>41</v>
      </c>
      <c r="Q46" s="12" t="n"/>
      <c r="R46" s="12" t="inlineStr">
        <is>
          <t>CLP</t>
        </is>
      </c>
      <c r="S46" s="12" t="n"/>
      <c r="T46" s="12" t="n"/>
      <c r="U46" s="12" t="inlineStr">
        <is>
          <t>SEC_CBN_INVG</t>
        </is>
      </c>
      <c r="V46" s="12" t="n"/>
      <c r="W46" s="12" t="n"/>
      <c r="X46" s="12" t="n"/>
      <c r="Y46" s="12" t="n"/>
      <c r="Z46" s="12" t="n"/>
      <c r="AA46" s="12" t="n"/>
      <c r="AB46" s="12" t="n"/>
      <c r="AC46" s="12" t="n"/>
      <c r="AD46" s="12" t="n"/>
      <c r="AE46" s="12" t="n"/>
      <c r="AF46" s="12" t="n"/>
      <c r="AG46" s="12" t="n"/>
      <c r="AH46" s="12" t="n"/>
      <c r="AI46" s="12" t="n"/>
      <c r="AJ46" s="12" t="n"/>
    </row>
    <row r="47" customFormat="1" s="13">
      <c r="A47" s="11" t="inlineStr">
        <is>
          <t>#</t>
        </is>
      </c>
      <c r="B47" s="19" t="n"/>
      <c r="C47" s="12" t="n"/>
      <c r="D47" s="12" t="n"/>
      <c r="E47" s="12" t="n"/>
      <c r="F47" s="12" t="n"/>
      <c r="G47" s="12" t="n"/>
      <c r="H47" s="12" t="n"/>
      <c r="I47" s="12" t="n"/>
      <c r="J47" s="12" t="inlineStr">
        <is>
          <t>BV</t>
        </is>
      </c>
      <c r="K47" s="12" t="n"/>
      <c r="L47" s="12" t="n"/>
      <c r="M47" s="12" t="n"/>
      <c r="N47" s="12" t="n"/>
      <c r="O47" s="12" t="n"/>
      <c r="P47" s="12" t="n">
        <v>42</v>
      </c>
      <c r="Q47" s="12" t="n"/>
      <c r="R47" s="12" t="inlineStr">
        <is>
          <t>CNY</t>
        </is>
      </c>
      <c r="S47" s="12" t="n"/>
      <c r="U47" s="12" t="inlineStr">
        <is>
          <t>SEC_CBN_NIVG</t>
        </is>
      </c>
      <c r="V47" s="12" t="n"/>
      <c r="W47" s="12" t="n"/>
      <c r="X47" s="12" t="n"/>
      <c r="Y47" s="12" t="n"/>
      <c r="Z47" s="12" t="n"/>
      <c r="AA47" s="12" t="n"/>
      <c r="AB47" s="12" t="n"/>
      <c r="AC47" s="12" t="n"/>
      <c r="AD47" s="12" t="n"/>
      <c r="AE47" s="12" t="n"/>
      <c r="AF47" s="12" t="n"/>
      <c r="AG47" s="12" t="n"/>
      <c r="AH47" s="12" t="n"/>
      <c r="AI47" s="12" t="n"/>
      <c r="AJ47" s="12" t="n"/>
    </row>
    <row r="48" customFormat="1" s="13">
      <c r="A48" s="11" t="inlineStr">
        <is>
          <t>#</t>
        </is>
      </c>
      <c r="B48" s="19" t="n"/>
      <c r="C48" s="12" t="n"/>
      <c r="D48" s="12" t="n"/>
      <c r="E48" s="12" t="n"/>
      <c r="F48" s="12" t="n"/>
      <c r="G48" s="12" t="n"/>
      <c r="H48" s="12" t="n"/>
      <c r="I48" s="12" t="n"/>
      <c r="J48" s="12" t="inlineStr">
        <is>
          <t>BW</t>
        </is>
      </c>
      <c r="K48" s="12" t="n"/>
      <c r="L48" s="12" t="n"/>
      <c r="M48" s="12" t="n"/>
      <c r="N48" s="12" t="n"/>
      <c r="O48" s="12" t="n"/>
      <c r="P48" s="12" t="n">
        <v>43</v>
      </c>
      <c r="Q48" s="12" t="n"/>
      <c r="R48" s="12" t="inlineStr">
        <is>
          <t>COP</t>
        </is>
      </c>
      <c r="S48" s="12" t="n"/>
      <c r="T48" s="12" t="n"/>
      <c r="U48" s="12" t="inlineStr">
        <is>
          <t>SEC_CPI_INVG</t>
        </is>
      </c>
      <c r="V48" s="12" t="n"/>
      <c r="W48" s="12" t="n"/>
      <c r="X48" s="12" t="n"/>
      <c r="Y48" s="12" t="n"/>
      <c r="Z48" s="12" t="n"/>
      <c r="AA48" s="12" t="n"/>
      <c r="AB48" s="12" t="n"/>
      <c r="AC48" s="12" t="n"/>
      <c r="AD48" s="12" t="n"/>
      <c r="AE48" s="12" t="n"/>
      <c r="AF48" s="12" t="n"/>
      <c r="AG48" s="12" t="n"/>
      <c r="AH48" s="12" t="n"/>
      <c r="AI48" s="12" t="n"/>
      <c r="AJ48" s="12" t="n"/>
    </row>
    <row r="49" customFormat="1" s="13">
      <c r="A49" s="11" t="inlineStr">
        <is>
          <t>#</t>
        </is>
      </c>
      <c r="B49" s="19" t="n"/>
      <c r="C49" s="12" t="n"/>
      <c r="D49" s="12" t="n"/>
      <c r="E49" s="12" t="n"/>
      <c r="F49" s="12" t="n"/>
      <c r="G49" s="12" t="n"/>
      <c r="H49" s="12" t="n"/>
      <c r="I49" s="12" t="n"/>
      <c r="J49" s="12" t="inlineStr">
        <is>
          <t>BY</t>
        </is>
      </c>
      <c r="K49" s="12" t="n"/>
      <c r="L49" s="12" t="n"/>
      <c r="M49" s="12" t="n"/>
      <c r="N49" s="12" t="n"/>
      <c r="O49" s="12" t="n"/>
      <c r="P49" s="12" t="n">
        <v>44</v>
      </c>
      <c r="Q49" s="12" t="n"/>
      <c r="R49" s="12" t="inlineStr">
        <is>
          <t>COU</t>
        </is>
      </c>
      <c r="S49" s="12" t="n"/>
      <c r="T49" s="12" t="n"/>
      <c r="U49" s="12" t="inlineStr">
        <is>
          <t>SEC_CPI_NIVG</t>
        </is>
      </c>
      <c r="V49" s="12" t="n"/>
      <c r="W49" s="12" t="n"/>
      <c r="X49" s="12" t="n"/>
      <c r="Y49" s="12" t="n"/>
      <c r="Z49" s="12" t="n"/>
      <c r="AA49" s="12" t="n"/>
      <c r="AB49" s="12" t="n"/>
      <c r="AC49" s="12" t="n"/>
      <c r="AD49" s="12" t="n"/>
      <c r="AE49" s="12" t="n"/>
      <c r="AF49" s="12" t="n"/>
      <c r="AG49" s="12" t="n"/>
      <c r="AH49" s="12" t="n"/>
      <c r="AI49" s="12" t="n"/>
      <c r="AJ49" s="12" t="n"/>
    </row>
    <row r="50" customFormat="1" s="13">
      <c r="A50" s="11" t="inlineStr">
        <is>
          <t>#</t>
        </is>
      </c>
      <c r="B50" s="19" t="n"/>
      <c r="C50" s="12" t="n"/>
      <c r="D50" s="12" t="n"/>
      <c r="E50" s="12" t="n"/>
      <c r="F50" s="12" t="n"/>
      <c r="G50" s="12" t="n"/>
      <c r="H50" s="12" t="n"/>
      <c r="I50" s="12" t="n"/>
      <c r="J50" s="12" t="inlineStr">
        <is>
          <t>BZ</t>
        </is>
      </c>
      <c r="K50" s="12" t="n"/>
      <c r="L50" s="12" t="n"/>
      <c r="M50" s="12" t="n"/>
      <c r="N50" s="12" t="n"/>
      <c r="O50" s="12" t="n"/>
      <c r="P50" s="12" t="n">
        <v>45</v>
      </c>
      <c r="Q50" s="12" t="n"/>
      <c r="R50" s="12" t="inlineStr">
        <is>
          <t>CRC</t>
        </is>
      </c>
      <c r="S50" s="12" t="n"/>
      <c r="T50" s="12" t="n"/>
      <c r="U50" s="12" t="inlineStr">
        <is>
          <t>SEC_CPN_INVG</t>
        </is>
      </c>
      <c r="V50" s="12" t="n"/>
      <c r="W50" s="12" t="n"/>
      <c r="X50" s="12" t="n"/>
      <c r="Y50" s="12" t="n"/>
      <c r="Z50" s="12" t="n"/>
      <c r="AA50" s="12" t="n"/>
      <c r="AB50" s="12" t="n"/>
      <c r="AC50" s="12" t="n"/>
      <c r="AD50" s="12" t="n"/>
      <c r="AE50" s="12" t="n"/>
      <c r="AF50" s="12" t="n"/>
      <c r="AG50" s="12" t="n"/>
      <c r="AH50" s="12" t="n"/>
      <c r="AI50" s="12" t="n"/>
      <c r="AJ50" s="12" t="n"/>
    </row>
    <row r="51" customFormat="1" s="13">
      <c r="A51" s="11" t="inlineStr">
        <is>
          <t>#</t>
        </is>
      </c>
      <c r="B51" s="19" t="n"/>
      <c r="C51" s="12" t="n"/>
      <c r="D51" s="12" t="n"/>
      <c r="E51" s="12" t="n"/>
      <c r="F51" s="12" t="n"/>
      <c r="G51" s="12" t="n"/>
      <c r="H51" s="12" t="n"/>
      <c r="I51" s="12" t="n"/>
      <c r="J51" s="12" t="inlineStr">
        <is>
          <t>CA</t>
        </is>
      </c>
      <c r="K51" s="12" t="n"/>
      <c r="L51" s="12" t="n"/>
      <c r="M51" s="12" t="n"/>
      <c r="N51" s="12" t="n"/>
      <c r="O51" s="12" t="n"/>
      <c r="P51" s="12" t="n"/>
      <c r="Q51" s="12" t="n"/>
      <c r="R51" s="12" t="inlineStr">
        <is>
          <t>CUC</t>
        </is>
      </c>
      <c r="S51" s="12" t="n"/>
      <c r="T51" s="12" t="n"/>
      <c r="U51" s="12" t="inlineStr">
        <is>
          <t>SEC_CPN_NIVG</t>
        </is>
      </c>
      <c r="V51" s="12" t="n"/>
      <c r="W51" s="12" t="n"/>
      <c r="X51" s="12" t="n"/>
      <c r="Y51" s="12" t="n"/>
      <c r="Z51" s="12" t="n"/>
      <c r="AA51" s="12" t="n"/>
      <c r="AB51" s="12" t="n"/>
      <c r="AC51" s="12" t="n"/>
      <c r="AD51" s="12" t="n"/>
      <c r="AE51" s="12" t="n"/>
      <c r="AF51" s="12" t="n"/>
      <c r="AG51" s="12" t="n"/>
      <c r="AH51" s="12" t="n"/>
      <c r="AI51" s="12" t="n"/>
      <c r="AJ51" s="12" t="n"/>
    </row>
    <row r="52" customFormat="1" s="13">
      <c r="A52" s="11" t="inlineStr">
        <is>
          <t>#</t>
        </is>
      </c>
      <c r="B52" s="19" t="n"/>
      <c r="C52" s="12" t="n"/>
      <c r="D52" s="12" t="n"/>
      <c r="E52" s="12" t="n"/>
      <c r="F52" s="12" t="n"/>
      <c r="G52" s="12" t="n"/>
      <c r="H52" s="12" t="n"/>
      <c r="I52" s="12" t="n"/>
      <c r="J52" s="12" t="inlineStr">
        <is>
          <t>CC</t>
        </is>
      </c>
      <c r="K52" s="12" t="n"/>
      <c r="L52" s="12" t="n"/>
      <c r="M52" s="12" t="n"/>
      <c r="N52" s="12" t="n"/>
      <c r="O52" s="12" t="n"/>
      <c r="P52" s="12" t="n"/>
      <c r="Q52" s="12" t="n"/>
      <c r="R52" s="12" t="inlineStr">
        <is>
          <t>CUP</t>
        </is>
      </c>
      <c r="S52" s="12" t="n"/>
      <c r="T52" s="12" t="n"/>
      <c r="U52" s="12" t="inlineStr">
        <is>
          <t>SEC_CSH_CODP</t>
        </is>
      </c>
      <c r="V52" s="12" t="n"/>
      <c r="W52" s="12" t="n"/>
      <c r="X52" s="12" t="n"/>
      <c r="Y52" s="12" t="n"/>
      <c r="Z52" s="12" t="n"/>
      <c r="AA52" s="12" t="n"/>
      <c r="AB52" s="12" t="n"/>
      <c r="AC52" s="12" t="n"/>
      <c r="AD52" s="12" t="n"/>
      <c r="AE52" s="12" t="n"/>
      <c r="AF52" s="12" t="n"/>
      <c r="AG52" s="12" t="n"/>
      <c r="AH52" s="12" t="n"/>
      <c r="AI52" s="12" t="n"/>
      <c r="AJ52" s="12" t="n"/>
    </row>
    <row r="53" customFormat="1" s="13">
      <c r="A53" s="11" t="inlineStr">
        <is>
          <t>#</t>
        </is>
      </c>
      <c r="B53" s="19" t="n"/>
      <c r="C53" s="12" t="n"/>
      <c r="D53" s="12" t="n"/>
      <c r="E53" s="12" t="n"/>
      <c r="F53" s="12" t="n"/>
      <c r="G53" s="12" t="n"/>
      <c r="H53" s="12" t="n"/>
      <c r="I53" s="12" t="n"/>
      <c r="J53" s="12" t="inlineStr">
        <is>
          <t>CD</t>
        </is>
      </c>
      <c r="K53" s="12" t="n"/>
      <c r="L53" s="12" t="n"/>
      <c r="M53" s="12" t="n"/>
      <c r="N53" s="12" t="n"/>
      <c r="O53" s="12" t="n"/>
      <c r="P53" s="12" t="n"/>
      <c r="Q53" s="12" t="n"/>
      <c r="R53" s="12" t="inlineStr">
        <is>
          <t>CVE</t>
        </is>
      </c>
      <c r="S53" s="12" t="n"/>
      <c r="T53" s="12" t="n"/>
      <c r="U53" s="12" t="inlineStr">
        <is>
          <t>SEC_CSH_COMP</t>
        </is>
      </c>
      <c r="V53" s="12" t="n"/>
      <c r="W53" s="12" t="n"/>
      <c r="X53" s="12" t="n"/>
      <c r="Y53" s="12" t="n"/>
      <c r="Z53" s="12" t="n"/>
      <c r="AA53" s="12" t="n"/>
      <c r="AB53" s="12" t="n"/>
      <c r="AC53" s="12" t="n"/>
      <c r="AD53" s="12" t="n"/>
      <c r="AE53" s="12" t="n"/>
      <c r="AF53" s="12" t="n"/>
      <c r="AG53" s="12" t="n"/>
      <c r="AH53" s="12" t="n"/>
      <c r="AI53" s="12" t="n"/>
      <c r="AJ53" s="12" t="n"/>
    </row>
    <row r="54" customFormat="1" s="13">
      <c r="A54" s="11" t="inlineStr">
        <is>
          <t>#</t>
        </is>
      </c>
      <c r="B54" s="19" t="n"/>
      <c r="C54" s="12" t="n"/>
      <c r="D54" s="12" t="n"/>
      <c r="E54" s="12" t="n"/>
      <c r="F54" s="12" t="n"/>
      <c r="G54" s="12" t="n"/>
      <c r="H54" s="12" t="n"/>
      <c r="I54" s="12" t="n"/>
      <c r="J54" s="12" t="inlineStr">
        <is>
          <t>CF</t>
        </is>
      </c>
      <c r="K54" s="12" t="n"/>
      <c r="L54" s="12" t="n"/>
      <c r="M54" s="12" t="n"/>
      <c r="N54" s="12" t="n"/>
      <c r="O54" s="12" t="n"/>
      <c r="P54" s="12" t="n"/>
      <c r="Q54" s="12" t="n"/>
      <c r="R54" s="12" t="inlineStr">
        <is>
          <t>CZK</t>
        </is>
      </c>
      <c r="S54" s="12" t="n"/>
      <c r="T54" s="12" t="n"/>
      <c r="U54" s="12" t="inlineStr">
        <is>
          <t>SEC_CSH_OTHC</t>
        </is>
      </c>
      <c r="V54" s="12" t="n"/>
      <c r="W54" s="12" t="n"/>
      <c r="X54" s="12" t="n"/>
      <c r="Y54" s="12" t="n"/>
      <c r="Z54" s="12" t="n"/>
      <c r="AA54" s="12" t="n"/>
      <c r="AB54" s="12" t="n"/>
      <c r="AC54" s="12" t="n"/>
      <c r="AD54" s="12" t="n"/>
      <c r="AE54" s="12" t="n"/>
      <c r="AF54" s="12" t="n"/>
      <c r="AG54" s="12" t="n"/>
      <c r="AH54" s="12" t="n"/>
      <c r="AI54" s="12" t="n"/>
      <c r="AJ54" s="12" t="n"/>
    </row>
    <row r="55" customFormat="1" s="13">
      <c r="A55" s="11" t="inlineStr">
        <is>
          <t>#</t>
        </is>
      </c>
      <c r="B55" s="19" t="n"/>
      <c r="C55" s="12" t="n"/>
      <c r="D55" s="12" t="n"/>
      <c r="E55" s="12" t="n"/>
      <c r="F55" s="12" t="n"/>
      <c r="G55" s="12" t="n"/>
      <c r="H55" s="12" t="n"/>
      <c r="I55" s="12" t="n"/>
      <c r="J55" s="12" t="inlineStr">
        <is>
          <t>CG</t>
        </is>
      </c>
      <c r="K55" s="12" t="n"/>
      <c r="L55" s="12" t="n"/>
      <c r="M55" s="12" t="n"/>
      <c r="N55" s="12" t="n"/>
      <c r="O55" s="12" t="n"/>
      <c r="P55" s="12" t="n"/>
      <c r="Q55" s="12" t="n"/>
      <c r="R55" s="12" t="inlineStr">
        <is>
          <t>DJF</t>
        </is>
      </c>
      <c r="S55" s="12" t="n"/>
      <c r="T55" s="12" t="n"/>
      <c r="U55" s="12" t="inlineStr">
        <is>
          <t>SEC_CSH_OTHD</t>
        </is>
      </c>
      <c r="V55" s="12" t="n"/>
      <c r="W55" s="12" t="n"/>
      <c r="X55" s="12" t="n"/>
      <c r="Y55" s="12" t="n"/>
      <c r="Z55" s="12" t="n"/>
      <c r="AA55" s="12" t="n"/>
      <c r="AB55" s="12" t="n"/>
      <c r="AC55" s="12" t="n"/>
      <c r="AD55" s="12" t="n"/>
      <c r="AE55" s="12" t="n"/>
      <c r="AF55" s="12" t="n"/>
      <c r="AG55" s="12" t="n"/>
      <c r="AH55" s="12" t="n"/>
      <c r="AI55" s="12" t="n"/>
      <c r="AJ55" s="12" t="n"/>
    </row>
    <row r="56" customFormat="1" s="13">
      <c r="A56" s="11" t="inlineStr">
        <is>
          <t>#</t>
        </is>
      </c>
      <c r="B56" s="19" t="n"/>
      <c r="C56" s="12" t="n"/>
      <c r="D56" s="12" t="n"/>
      <c r="E56" s="12" t="n"/>
      <c r="F56" s="12" t="n"/>
      <c r="G56" s="12" t="n"/>
      <c r="H56" s="12" t="n"/>
      <c r="I56" s="12" t="n"/>
      <c r="J56" s="12" t="inlineStr">
        <is>
          <t>CH</t>
        </is>
      </c>
      <c r="K56" s="12" t="n"/>
      <c r="L56" s="12" t="n"/>
      <c r="M56" s="12" t="n"/>
      <c r="N56" s="12" t="n"/>
      <c r="O56" s="12" t="n"/>
      <c r="P56" s="12" t="n"/>
      <c r="Q56" s="12" t="n"/>
      <c r="R56" s="12" t="inlineStr">
        <is>
          <t>DKK</t>
        </is>
      </c>
      <c r="S56" s="12" t="n"/>
      <c r="T56" s="12" t="n"/>
      <c r="U56" s="12" t="inlineStr">
        <is>
          <t>SEC_LEQ_IFIN</t>
        </is>
      </c>
      <c r="V56" s="12" t="n"/>
      <c r="W56" s="12" t="n"/>
      <c r="X56" s="12" t="n"/>
      <c r="Y56" s="12" t="n"/>
      <c r="Z56" s="12" t="n"/>
      <c r="AA56" s="12" t="n"/>
      <c r="AB56" s="12" t="n"/>
      <c r="AC56" s="12" t="n"/>
      <c r="AD56" s="12" t="n"/>
      <c r="AE56" s="12" t="n"/>
      <c r="AF56" s="12" t="n"/>
      <c r="AG56" s="12" t="n"/>
      <c r="AH56" s="12" t="n"/>
      <c r="AI56" s="12" t="n"/>
      <c r="AJ56" s="12" t="n"/>
    </row>
    <row r="57" customFormat="1" s="13">
      <c r="A57" s="11" t="inlineStr">
        <is>
          <t>#</t>
        </is>
      </c>
      <c r="B57" s="19" t="n"/>
      <c r="C57" s="12" t="n"/>
      <c r="D57" s="12" t="n"/>
      <c r="E57" s="12" t="n"/>
      <c r="F57" s="12" t="n"/>
      <c r="G57" s="12" t="n"/>
      <c r="H57" s="12" t="n"/>
      <c r="I57" s="12" t="n"/>
      <c r="J57" s="12" t="inlineStr">
        <is>
          <t>CI</t>
        </is>
      </c>
      <c r="K57" s="12" t="n"/>
      <c r="L57" s="12" t="n"/>
      <c r="M57" s="12" t="n"/>
      <c r="N57" s="12" t="n"/>
      <c r="O57" s="12" t="n"/>
      <c r="P57" s="12" t="n"/>
      <c r="Q57" s="12" t="n"/>
      <c r="R57" s="12" t="inlineStr">
        <is>
          <t>DOP</t>
        </is>
      </c>
      <c r="S57" s="12" t="n"/>
      <c r="T57" s="12" t="n"/>
      <c r="U57" s="12" t="inlineStr">
        <is>
          <t>SEC_LEQ_OTHR</t>
        </is>
      </c>
      <c r="V57" s="12" t="n"/>
      <c r="W57" s="12" t="n"/>
      <c r="X57" s="12" t="n"/>
      <c r="Y57" s="12" t="n"/>
      <c r="Z57" s="12" t="n"/>
      <c r="AA57" s="12" t="n"/>
      <c r="AB57" s="12" t="n"/>
      <c r="AC57" s="12" t="n"/>
      <c r="AD57" s="12" t="n"/>
      <c r="AE57" s="12" t="n"/>
      <c r="AF57" s="12" t="n"/>
      <c r="AG57" s="12" t="n"/>
      <c r="AH57" s="12" t="n"/>
      <c r="AI57" s="12" t="n"/>
      <c r="AJ57" s="12" t="n"/>
    </row>
    <row r="58" customFormat="1" s="13">
      <c r="A58" s="11" t="inlineStr">
        <is>
          <t>#</t>
        </is>
      </c>
      <c r="B58" s="19" t="n"/>
      <c r="C58" s="12" t="n"/>
      <c r="D58" s="12" t="n"/>
      <c r="E58" s="12" t="n"/>
      <c r="F58" s="12" t="n"/>
      <c r="G58" s="12" t="n"/>
      <c r="H58" s="12" t="n"/>
      <c r="I58" s="12" t="n"/>
      <c r="J58" s="12" t="inlineStr">
        <is>
          <t>CK</t>
        </is>
      </c>
      <c r="K58" s="12" t="n"/>
      <c r="L58" s="12" t="n"/>
      <c r="M58" s="12" t="n"/>
      <c r="N58" s="12" t="n"/>
      <c r="O58" s="12" t="n"/>
      <c r="P58" s="12" t="n"/>
      <c r="Q58" s="12" t="n"/>
      <c r="R58" s="12" t="inlineStr">
        <is>
          <t>DZD</t>
        </is>
      </c>
      <c r="S58" s="12" t="n"/>
      <c r="T58" s="12" t="n"/>
      <c r="U58" s="12" t="inlineStr">
        <is>
          <t>SEC_LON_LEVL</t>
        </is>
      </c>
      <c r="V58" s="12" t="n"/>
      <c r="W58" s="12" t="n"/>
      <c r="X58" s="12" t="n"/>
      <c r="Y58" s="12" t="n"/>
      <c r="Z58" s="12" t="n"/>
      <c r="AA58" s="12" t="n"/>
      <c r="AB58" s="12" t="n"/>
      <c r="AC58" s="12" t="n"/>
      <c r="AD58" s="12" t="n"/>
      <c r="AE58" s="12" t="n"/>
      <c r="AF58" s="12" t="n"/>
      <c r="AG58" s="12" t="n"/>
      <c r="AH58" s="12" t="n"/>
      <c r="AI58" s="12" t="n"/>
      <c r="AJ58" s="12" t="n"/>
    </row>
    <row r="59" customFormat="1" s="13">
      <c r="A59" s="11" t="inlineStr">
        <is>
          <t>#</t>
        </is>
      </c>
      <c r="B59" s="19" t="n"/>
      <c r="C59" s="12" t="n"/>
      <c r="D59" s="12" t="n"/>
      <c r="E59" s="12" t="n"/>
      <c r="F59" s="12" t="n"/>
      <c r="G59" s="12" t="n"/>
      <c r="H59" s="12" t="n"/>
      <c r="I59" s="12" t="n"/>
      <c r="J59" s="12" t="inlineStr">
        <is>
          <t>CL</t>
        </is>
      </c>
      <c r="K59" s="12" t="n"/>
      <c r="L59" s="12" t="n"/>
      <c r="M59" s="12" t="n"/>
      <c r="N59" s="12" t="n"/>
      <c r="O59" s="12" t="n"/>
      <c r="P59" s="12" t="n"/>
      <c r="Q59" s="12" t="n"/>
      <c r="R59" s="12" t="inlineStr">
        <is>
          <t>EGP</t>
        </is>
      </c>
      <c r="S59" s="12" t="n"/>
      <c r="T59" s="12" t="n"/>
      <c r="U59" s="12" t="inlineStr">
        <is>
          <t>SEC_LON_OTHL</t>
        </is>
      </c>
      <c r="V59" s="12" t="n"/>
      <c r="W59" s="12" t="n"/>
      <c r="X59" s="12" t="n"/>
      <c r="Y59" s="12" t="n"/>
      <c r="Z59" s="12" t="n"/>
      <c r="AA59" s="12" t="n"/>
      <c r="AB59" s="12" t="n"/>
      <c r="AC59" s="12" t="n"/>
      <c r="AD59" s="12" t="n"/>
      <c r="AE59" s="12" t="n"/>
      <c r="AF59" s="12" t="n"/>
      <c r="AG59" s="12" t="n"/>
      <c r="AH59" s="12" t="n"/>
      <c r="AI59" s="12" t="n"/>
      <c r="AJ59" s="12" t="n"/>
    </row>
    <row r="60" customFormat="1" s="13">
      <c r="A60" s="11" t="inlineStr">
        <is>
          <t>#</t>
        </is>
      </c>
      <c r="B60" s="19" t="n"/>
      <c r="C60" s="12" t="n"/>
      <c r="D60" s="12" t="n"/>
      <c r="E60" s="12" t="n"/>
      <c r="F60" s="12" t="n"/>
      <c r="G60" s="12" t="n"/>
      <c r="H60" s="12" t="n"/>
      <c r="I60" s="12" t="n"/>
      <c r="J60" s="12" t="inlineStr">
        <is>
          <t>CM</t>
        </is>
      </c>
      <c r="K60" s="12" t="n"/>
      <c r="L60" s="12" t="n"/>
      <c r="M60" s="12" t="n"/>
      <c r="N60" s="12" t="n"/>
      <c r="O60" s="12" t="n"/>
      <c r="P60" s="12" t="n"/>
      <c r="Q60" s="12" t="n"/>
      <c r="R60" s="12" t="inlineStr">
        <is>
          <t>ERN</t>
        </is>
      </c>
      <c r="S60" s="12" t="n"/>
      <c r="T60" s="12" t="n"/>
      <c r="U60" s="12" t="inlineStr">
        <is>
          <t>SEC_MBN_MNPL</t>
        </is>
      </c>
      <c r="V60" s="12" t="n"/>
      <c r="W60" s="12" t="n"/>
      <c r="X60" s="12" t="n"/>
      <c r="Y60" s="12" t="n"/>
      <c r="Z60" s="12" t="n"/>
      <c r="AA60" s="12" t="n"/>
      <c r="AB60" s="12" t="n"/>
      <c r="AC60" s="12" t="n"/>
      <c r="AD60" s="12" t="n"/>
      <c r="AE60" s="12" t="n"/>
      <c r="AF60" s="12" t="n"/>
      <c r="AG60" s="12" t="n"/>
      <c r="AH60" s="12" t="n"/>
      <c r="AI60" s="12" t="n"/>
      <c r="AJ60" s="12" t="n"/>
    </row>
    <row r="61" customFormat="1" s="13">
      <c r="A61" s="11" t="inlineStr">
        <is>
          <t>#</t>
        </is>
      </c>
      <c r="B61" s="19" t="n"/>
      <c r="C61" s="12" t="n"/>
      <c r="D61" s="12" t="n"/>
      <c r="E61" s="12" t="n"/>
      <c r="F61" s="12" t="n"/>
      <c r="G61" s="12" t="n"/>
      <c r="H61" s="12" t="n"/>
      <c r="I61" s="12" t="n"/>
      <c r="J61" s="12" t="inlineStr">
        <is>
          <t>CN</t>
        </is>
      </c>
      <c r="K61" s="12" t="n"/>
      <c r="L61" s="12" t="n"/>
      <c r="M61" s="12" t="n"/>
      <c r="N61" s="12" t="n"/>
      <c r="O61" s="12" t="n"/>
      <c r="P61" s="12" t="n"/>
      <c r="Q61" s="12" t="n"/>
      <c r="R61" s="12" t="inlineStr">
        <is>
          <t>ETB</t>
        </is>
      </c>
      <c r="S61" s="12" t="n"/>
      <c r="T61" s="12" t="n"/>
      <c r="U61" s="12" t="inlineStr">
        <is>
          <t>SEC_SBD_EUBM</t>
        </is>
      </c>
      <c r="V61" s="12" t="n"/>
      <c r="W61" s="12" t="n"/>
      <c r="X61" s="12" t="n"/>
      <c r="Y61" s="12" t="n"/>
      <c r="Z61" s="12" t="n"/>
      <c r="AA61" s="12" t="n"/>
      <c r="AB61" s="12" t="n"/>
      <c r="AC61" s="12" t="n"/>
      <c r="AD61" s="12" t="n"/>
      <c r="AE61" s="12" t="n"/>
      <c r="AF61" s="12" t="n"/>
      <c r="AG61" s="12" t="n"/>
      <c r="AH61" s="12" t="n"/>
      <c r="AI61" s="12" t="n"/>
      <c r="AJ61" s="12" t="n"/>
    </row>
    <row r="62" customFormat="1" s="13">
      <c r="A62" s="11" t="inlineStr">
        <is>
          <t>#</t>
        </is>
      </c>
      <c r="B62" s="19" t="n"/>
      <c r="C62" s="12" t="n"/>
      <c r="D62" s="12" t="n"/>
      <c r="E62" s="12" t="n"/>
      <c r="F62" s="12" t="n"/>
      <c r="G62" s="12" t="n"/>
      <c r="H62" s="12" t="n"/>
      <c r="I62" s="12" t="n"/>
      <c r="J62" s="12" t="inlineStr">
        <is>
          <t>CO</t>
        </is>
      </c>
      <c r="K62" s="12" t="n"/>
      <c r="L62" s="12" t="n"/>
      <c r="M62" s="12" t="n"/>
      <c r="N62" s="12" t="n"/>
      <c r="O62" s="12" t="n"/>
      <c r="P62" s="12" t="n"/>
      <c r="Q62" s="12" t="n"/>
      <c r="R62" s="12" t="inlineStr">
        <is>
          <t>EUR</t>
        </is>
      </c>
      <c r="S62" s="12" t="n"/>
      <c r="T62" s="12" t="n"/>
      <c r="U62" s="12" t="inlineStr">
        <is>
          <t>SEC_SBD_EUBY</t>
        </is>
      </c>
      <c r="V62" s="12" t="n"/>
      <c r="W62" s="12" t="n"/>
      <c r="X62" s="12" t="n"/>
      <c r="Y62" s="12" t="n"/>
      <c r="Z62" s="12" t="n"/>
      <c r="AA62" s="12" t="n"/>
      <c r="AB62" s="12" t="n"/>
      <c r="AC62" s="12" t="n"/>
      <c r="AD62" s="12" t="n"/>
      <c r="AE62" s="12" t="n"/>
      <c r="AF62" s="12" t="n"/>
      <c r="AG62" s="12" t="n"/>
      <c r="AH62" s="12" t="n"/>
      <c r="AI62" s="12" t="n"/>
      <c r="AJ62" s="12" t="n"/>
    </row>
    <row r="63" customFormat="1" s="13">
      <c r="A63" s="11" t="inlineStr">
        <is>
          <t>#</t>
        </is>
      </c>
      <c r="B63" s="19" t="n"/>
      <c r="C63" s="12" t="n"/>
      <c r="D63" s="12" t="n"/>
      <c r="E63" s="12" t="n"/>
      <c r="F63" s="12" t="n"/>
      <c r="G63" s="12" t="n"/>
      <c r="H63" s="12" t="n"/>
      <c r="I63" s="12" t="n"/>
      <c r="J63" s="12" t="inlineStr">
        <is>
          <t>CR</t>
        </is>
      </c>
      <c r="K63" s="12" t="n"/>
      <c r="L63" s="12" t="n"/>
      <c r="M63" s="12" t="n"/>
      <c r="N63" s="12" t="n"/>
      <c r="O63" s="12" t="n"/>
      <c r="P63" s="12" t="n"/>
      <c r="Q63" s="12" t="n"/>
      <c r="R63" s="12" t="inlineStr">
        <is>
          <t>FJD</t>
        </is>
      </c>
      <c r="S63" s="12" t="n"/>
      <c r="T63" s="12" t="n"/>
      <c r="U63" s="12" t="inlineStr">
        <is>
          <t>SEC_SBD_EUGM</t>
        </is>
      </c>
      <c r="V63" s="12" t="n"/>
      <c r="W63" s="12" t="n"/>
      <c r="X63" s="12" t="n"/>
      <c r="Y63" s="12" t="n"/>
      <c r="Z63" s="12" t="n"/>
      <c r="AA63" s="12" t="n"/>
      <c r="AB63" s="12" t="n"/>
      <c r="AC63" s="12" t="n"/>
      <c r="AD63" s="12" t="n"/>
      <c r="AE63" s="12" t="n"/>
      <c r="AF63" s="12" t="n"/>
      <c r="AG63" s="12" t="n"/>
      <c r="AH63" s="12" t="n"/>
      <c r="AI63" s="12" t="n"/>
      <c r="AJ63" s="12" t="n"/>
    </row>
    <row r="64" customFormat="1" s="13">
      <c r="A64" s="11" t="inlineStr">
        <is>
          <t>#</t>
        </is>
      </c>
      <c r="B64" s="19" t="n"/>
      <c r="C64" s="12" t="n"/>
      <c r="D64" s="12" t="n"/>
      <c r="E64" s="12" t="n"/>
      <c r="F64" s="12" t="n"/>
      <c r="G64" s="12" t="n"/>
      <c r="H64" s="12" t="n"/>
      <c r="I64" s="12" t="n"/>
      <c r="J64" s="12" t="inlineStr">
        <is>
          <t>CU</t>
        </is>
      </c>
      <c r="K64" s="12" t="n"/>
      <c r="L64" s="12" t="n"/>
      <c r="M64" s="12" t="n"/>
      <c r="N64" s="12" t="n"/>
      <c r="O64" s="12" t="n"/>
      <c r="P64" s="12" t="n"/>
      <c r="Q64" s="12" t="n"/>
      <c r="R64" s="12" t="inlineStr">
        <is>
          <t>FKP</t>
        </is>
      </c>
      <c r="S64" s="12" t="n"/>
      <c r="T64" s="12" t="n"/>
      <c r="U64" s="12" t="inlineStr">
        <is>
          <t>SEC_SBD_EUGY</t>
        </is>
      </c>
      <c r="V64" s="12" t="n"/>
      <c r="W64" s="12" t="n"/>
      <c r="X64" s="12" t="n"/>
      <c r="Y64" s="12" t="n"/>
      <c r="Z64" s="12" t="n"/>
      <c r="AA64" s="12" t="n"/>
      <c r="AB64" s="12" t="n"/>
      <c r="AC64" s="12" t="n"/>
      <c r="AD64" s="12" t="n"/>
      <c r="AE64" s="12" t="n"/>
      <c r="AF64" s="12" t="n"/>
      <c r="AG64" s="12" t="n"/>
      <c r="AH64" s="12" t="n"/>
      <c r="AI64" s="12" t="n"/>
      <c r="AJ64" s="12" t="n"/>
    </row>
    <row r="65" customFormat="1" s="13">
      <c r="A65" s="11" t="inlineStr">
        <is>
          <t>#</t>
        </is>
      </c>
      <c r="B65" s="19" t="n"/>
      <c r="C65" s="12" t="n"/>
      <c r="D65" s="12" t="n"/>
      <c r="E65" s="12" t="n"/>
      <c r="F65" s="12" t="n"/>
      <c r="G65" s="12" t="n"/>
      <c r="H65" s="12" t="n"/>
      <c r="I65" s="12" t="n"/>
      <c r="J65" s="12" t="inlineStr">
        <is>
          <t>CV</t>
        </is>
      </c>
      <c r="K65" s="12" t="n"/>
      <c r="L65" s="12" t="n"/>
      <c r="M65" s="12" t="n"/>
      <c r="N65" s="12" t="n"/>
      <c r="O65" s="12" t="n"/>
      <c r="P65" s="12" t="n"/>
      <c r="Q65" s="12" t="n"/>
      <c r="R65" s="12" t="inlineStr">
        <is>
          <t>GBP</t>
        </is>
      </c>
      <c r="S65" s="12" t="n"/>
      <c r="T65" s="12" t="n"/>
      <c r="U65" s="12" t="inlineStr">
        <is>
          <t>SEC_SBD_NOGM</t>
        </is>
      </c>
      <c r="V65" s="12" t="n"/>
      <c r="W65" s="12" t="n"/>
      <c r="X65" s="12" t="n"/>
      <c r="Y65" s="12" t="n"/>
      <c r="Z65" s="12" t="n"/>
      <c r="AA65" s="12" t="n"/>
      <c r="AB65" s="12" t="n"/>
      <c r="AC65" s="12" t="n"/>
      <c r="AD65" s="12" t="n"/>
      <c r="AE65" s="12" t="n"/>
      <c r="AF65" s="12" t="n"/>
      <c r="AG65" s="12" t="n"/>
      <c r="AH65" s="12" t="n"/>
      <c r="AI65" s="12" t="n"/>
      <c r="AJ65" s="12" t="n"/>
    </row>
    <row r="66" customFormat="1" s="13">
      <c r="A66" s="11" t="inlineStr">
        <is>
          <t>#</t>
        </is>
      </c>
      <c r="B66" s="19" t="n"/>
      <c r="C66" s="12" t="n"/>
      <c r="D66" s="12" t="n"/>
      <c r="E66" s="12" t="n"/>
      <c r="F66" s="12" t="n"/>
      <c r="G66" s="12" t="n"/>
      <c r="H66" s="12" t="n"/>
      <c r="I66" s="12" t="n"/>
      <c r="J66" s="12" t="inlineStr">
        <is>
          <t>CX</t>
        </is>
      </c>
      <c r="K66" s="12" t="n"/>
      <c r="L66" s="12" t="n"/>
      <c r="M66" s="12" t="n"/>
      <c r="N66" s="12" t="n"/>
      <c r="O66" s="12" t="n"/>
      <c r="P66" s="12" t="n"/>
      <c r="Q66" s="12" t="n"/>
      <c r="R66" s="12" t="inlineStr">
        <is>
          <t>GEL</t>
        </is>
      </c>
      <c r="S66" s="12" t="n"/>
      <c r="T66" s="12" t="n"/>
      <c r="U66" s="12" t="inlineStr">
        <is>
          <t>SEC_SBD_NOGY</t>
        </is>
      </c>
      <c r="V66" s="12" t="n"/>
      <c r="W66" s="12" t="n"/>
      <c r="X66" s="12" t="n"/>
      <c r="Y66" s="12" t="n"/>
      <c r="Z66" s="12" t="n"/>
      <c r="AA66" s="12" t="n"/>
      <c r="AB66" s="12" t="n"/>
      <c r="AC66" s="12" t="n"/>
      <c r="AD66" s="12" t="n"/>
      <c r="AE66" s="12" t="n"/>
      <c r="AF66" s="12" t="n"/>
      <c r="AG66" s="12" t="n"/>
      <c r="AH66" s="12" t="n"/>
      <c r="AI66" s="12" t="n"/>
      <c r="AJ66" s="12" t="n"/>
    </row>
    <row r="67" customFormat="1" s="13">
      <c r="A67" s="11" t="inlineStr">
        <is>
          <t>#</t>
        </is>
      </c>
      <c r="B67" s="19" t="n"/>
      <c r="C67" s="12" t="n"/>
      <c r="D67" s="12" t="n"/>
      <c r="E67" s="12" t="n"/>
      <c r="F67" s="12" t="n"/>
      <c r="G67" s="12" t="n"/>
      <c r="H67" s="12" t="n"/>
      <c r="I67" s="12" t="n"/>
      <c r="J67" s="12" t="inlineStr">
        <is>
          <t>CY</t>
        </is>
      </c>
      <c r="K67" s="12" t="n"/>
      <c r="L67" s="12" t="n"/>
      <c r="M67" s="12" t="n"/>
      <c r="N67" s="12" t="n"/>
      <c r="O67" s="12" t="n"/>
      <c r="P67" s="12" t="n"/>
      <c r="Q67" s="12" t="n"/>
      <c r="R67" s="12" t="inlineStr">
        <is>
          <t>GHS</t>
        </is>
      </c>
      <c r="S67" s="12" t="n"/>
      <c r="T67" s="12" t="n"/>
      <c r="U67" s="12" t="inlineStr">
        <is>
          <t>SEC_SBD_UKBM</t>
        </is>
      </c>
      <c r="V67" s="12" t="n"/>
      <c r="W67" s="12" t="n"/>
      <c r="X67" s="12" t="n"/>
      <c r="Y67" s="12" t="n"/>
      <c r="Z67" s="12" t="n"/>
      <c r="AA67" s="12" t="n"/>
      <c r="AB67" s="12" t="n"/>
      <c r="AC67" s="12" t="n"/>
      <c r="AD67" s="12" t="n"/>
      <c r="AE67" s="12" t="n"/>
      <c r="AF67" s="12" t="n"/>
      <c r="AG67" s="12" t="n"/>
      <c r="AH67" s="12" t="n"/>
      <c r="AI67" s="12" t="n"/>
      <c r="AJ67" s="12" t="n"/>
    </row>
    <row r="68" customFormat="1" s="13">
      <c r="A68" s="11" t="inlineStr">
        <is>
          <t>#</t>
        </is>
      </c>
      <c r="B68" s="19" t="n"/>
      <c r="C68" s="12" t="n"/>
      <c r="D68" s="12" t="n"/>
      <c r="E68" s="12" t="n"/>
      <c r="F68" s="12" t="n"/>
      <c r="G68" s="12" t="n"/>
      <c r="H68" s="12" t="n"/>
      <c r="I68" s="12" t="n"/>
      <c r="J68" s="12" t="inlineStr">
        <is>
          <t>CZ</t>
        </is>
      </c>
      <c r="K68" s="12" t="n"/>
      <c r="L68" s="12" t="n"/>
      <c r="M68" s="12" t="n"/>
      <c r="N68" s="12" t="n"/>
      <c r="O68" s="12" t="n"/>
      <c r="P68" s="12" t="n"/>
      <c r="Q68" s="12" t="n"/>
      <c r="R68" s="12" t="inlineStr">
        <is>
          <t>GIP</t>
        </is>
      </c>
      <c r="S68" s="12" t="n"/>
      <c r="T68" s="12" t="n"/>
      <c r="U68" s="12" t="inlineStr">
        <is>
          <t>SEC_SBD_UKBY</t>
        </is>
      </c>
      <c r="V68" s="12" t="n"/>
      <c r="W68" s="12" t="n"/>
      <c r="X68" s="12" t="n"/>
      <c r="Y68" s="12" t="n"/>
      <c r="Z68" s="12" t="n"/>
      <c r="AA68" s="12" t="n"/>
      <c r="AB68" s="12" t="n"/>
      <c r="AC68" s="12" t="n"/>
      <c r="AD68" s="12" t="n"/>
      <c r="AE68" s="12" t="n"/>
      <c r="AF68" s="12" t="n"/>
      <c r="AG68" s="12" t="n"/>
      <c r="AH68" s="12" t="n"/>
      <c r="AI68" s="12" t="n"/>
      <c r="AJ68" s="12" t="n"/>
    </row>
    <row r="69" customFormat="1" s="13">
      <c r="A69" s="11" t="inlineStr">
        <is>
          <t>#</t>
        </is>
      </c>
      <c r="B69" s="19" t="n"/>
      <c r="C69" s="12" t="n"/>
      <c r="D69" s="12" t="n"/>
      <c r="E69" s="12" t="n"/>
      <c r="F69" s="12" t="n"/>
      <c r="G69" s="12" t="n"/>
      <c r="H69" s="12" t="n"/>
      <c r="I69" s="12" t="n"/>
      <c r="J69" s="12" t="inlineStr">
        <is>
          <t>DE</t>
        </is>
      </c>
      <c r="K69" s="12" t="n"/>
      <c r="L69" s="12" t="n"/>
      <c r="M69" s="12" t="n"/>
      <c r="N69" s="12" t="n"/>
      <c r="O69" s="12" t="n"/>
      <c r="P69" s="12" t="n"/>
      <c r="Q69" s="12" t="n"/>
      <c r="R69" s="12" t="inlineStr">
        <is>
          <t>GMD</t>
        </is>
      </c>
      <c r="S69" s="12" t="n"/>
      <c r="T69" s="12" t="n"/>
      <c r="U69" s="12" t="inlineStr">
        <is>
          <t>SEC_SSP_ABCP</t>
        </is>
      </c>
      <c r="V69" s="12" t="n"/>
      <c r="W69" s="12" t="n"/>
      <c r="X69" s="12" t="n"/>
      <c r="Y69" s="12" t="n"/>
      <c r="Z69" s="12" t="n"/>
      <c r="AA69" s="12" t="n"/>
      <c r="AB69" s="12" t="n"/>
      <c r="AC69" s="12" t="n"/>
      <c r="AD69" s="12" t="n"/>
      <c r="AE69" s="12" t="n"/>
      <c r="AF69" s="12" t="n"/>
      <c r="AG69" s="12" t="n"/>
      <c r="AH69" s="12" t="n"/>
      <c r="AI69" s="12" t="n"/>
      <c r="AJ69" s="12" t="n"/>
    </row>
    <row r="70" customFormat="1" s="13">
      <c r="A70" s="11" t="inlineStr">
        <is>
          <t>#</t>
        </is>
      </c>
      <c r="B70" s="19" t="n"/>
      <c r="C70" s="12" t="n"/>
      <c r="D70" s="12" t="n"/>
      <c r="E70" s="12" t="n"/>
      <c r="F70" s="12" t="n"/>
      <c r="G70" s="12" t="n"/>
      <c r="H70" s="12" t="n"/>
      <c r="I70" s="12" t="n"/>
      <c r="J70" s="12" t="inlineStr">
        <is>
          <t>DJ</t>
        </is>
      </c>
      <c r="K70" s="12" t="n"/>
      <c r="L70" s="12" t="n"/>
      <c r="M70" s="12" t="n"/>
      <c r="N70" s="12" t="n"/>
      <c r="O70" s="12" t="n"/>
      <c r="P70" s="12" t="n"/>
      <c r="Q70" s="12" t="n"/>
      <c r="R70" s="12" t="inlineStr">
        <is>
          <t>GNF</t>
        </is>
      </c>
      <c r="S70" s="12" t="n"/>
      <c r="T70" s="12" t="n"/>
      <c r="U70" s="12" t="inlineStr">
        <is>
          <t>SEC_SSP_AMBS</t>
        </is>
      </c>
      <c r="V70" s="12" t="n"/>
      <c r="W70" s="12" t="n"/>
      <c r="X70" s="12" t="n"/>
      <c r="Y70" s="12" t="n"/>
      <c r="Z70" s="12" t="n"/>
      <c r="AA70" s="12" t="n"/>
      <c r="AB70" s="12" t="n"/>
      <c r="AC70" s="12" t="n"/>
      <c r="AD70" s="12" t="n"/>
      <c r="AE70" s="12" t="n"/>
      <c r="AF70" s="12" t="n"/>
      <c r="AG70" s="12" t="n"/>
      <c r="AH70" s="12" t="n"/>
      <c r="AI70" s="12" t="n"/>
      <c r="AJ70" s="12" t="n"/>
    </row>
    <row r="71" customFormat="1" s="13">
      <c r="A71" s="11" t="inlineStr">
        <is>
          <t>#</t>
        </is>
      </c>
      <c r="B71" s="19" t="n"/>
      <c r="C71" s="12" t="n"/>
      <c r="D71" s="12" t="n"/>
      <c r="E71" s="12" t="n"/>
      <c r="F71" s="12" t="n"/>
      <c r="G71" s="12" t="n"/>
      <c r="H71" s="12" t="n"/>
      <c r="I71" s="12" t="n"/>
      <c r="J71" s="12" t="inlineStr">
        <is>
          <t>DK</t>
        </is>
      </c>
      <c r="K71" s="12" t="n"/>
      <c r="L71" s="12" t="n"/>
      <c r="M71" s="12" t="n"/>
      <c r="N71" s="12" t="n"/>
      <c r="O71" s="12" t="n"/>
      <c r="P71" s="12" t="n"/>
      <c r="Q71" s="12" t="n"/>
      <c r="R71" s="12" t="inlineStr">
        <is>
          <t>GTQ</t>
        </is>
      </c>
      <c r="S71" s="12" t="n"/>
      <c r="T71" s="12" t="n"/>
      <c r="U71" s="12" t="inlineStr">
        <is>
          <t>SEC_SSP_CDOC</t>
        </is>
      </c>
      <c r="V71" s="12" t="n"/>
      <c r="W71" s="12" t="n"/>
      <c r="X71" s="12" t="n"/>
      <c r="Y71" s="12" t="n"/>
      <c r="Z71" s="12" t="n"/>
      <c r="AA71" s="12" t="n"/>
      <c r="AB71" s="12" t="n"/>
      <c r="AC71" s="12" t="n"/>
      <c r="AD71" s="12" t="n"/>
      <c r="AE71" s="12" t="n"/>
      <c r="AF71" s="12" t="n"/>
      <c r="AG71" s="12" t="n"/>
      <c r="AH71" s="12" t="n"/>
      <c r="AI71" s="12" t="n"/>
      <c r="AJ71" s="12" t="n"/>
    </row>
    <row r="72" customFormat="1" s="13">
      <c r="A72" s="11" t="inlineStr">
        <is>
          <t>#</t>
        </is>
      </c>
      <c r="B72" s="19" t="n"/>
      <c r="C72" s="12" t="n"/>
      <c r="D72" s="12" t="n"/>
      <c r="E72" s="12" t="n"/>
      <c r="F72" s="12" t="n"/>
      <c r="G72" s="12" t="n"/>
      <c r="H72" s="12" t="n"/>
      <c r="I72" s="12" t="n"/>
      <c r="J72" s="12" t="inlineStr">
        <is>
          <t>DM</t>
        </is>
      </c>
      <c r="K72" s="12" t="n"/>
      <c r="L72" s="12" t="n"/>
      <c r="M72" s="12" t="n"/>
      <c r="N72" s="12" t="n"/>
      <c r="O72" s="12" t="n"/>
      <c r="P72" s="12" t="n"/>
      <c r="Q72" s="12" t="n"/>
      <c r="R72" s="12" t="inlineStr">
        <is>
          <t>GYD</t>
        </is>
      </c>
      <c r="S72" s="12" t="n"/>
      <c r="T72" s="12" t="n"/>
      <c r="U72" s="12" t="inlineStr">
        <is>
          <t>SEC_SSP_CMBS</t>
        </is>
      </c>
      <c r="V72" s="12" t="n"/>
      <c r="W72" s="12" t="n"/>
      <c r="X72" s="12" t="n"/>
      <c r="Y72" s="12" t="n"/>
      <c r="Z72" s="12" t="n"/>
      <c r="AA72" s="12" t="n"/>
      <c r="AB72" s="12" t="n"/>
      <c r="AC72" s="12" t="n"/>
      <c r="AD72" s="12" t="n"/>
      <c r="AE72" s="12" t="n"/>
      <c r="AF72" s="12" t="n"/>
      <c r="AG72" s="12" t="n"/>
      <c r="AH72" s="12" t="n"/>
      <c r="AI72" s="12" t="n"/>
      <c r="AJ72" s="12" t="n"/>
    </row>
    <row r="73" customFormat="1" s="13">
      <c r="A73" s="11" t="inlineStr">
        <is>
          <t>#</t>
        </is>
      </c>
      <c r="B73" s="19" t="n"/>
      <c r="C73" s="12" t="n"/>
      <c r="D73" s="12" t="n"/>
      <c r="E73" s="12" t="n"/>
      <c r="F73" s="12" t="n"/>
      <c r="G73" s="12" t="n"/>
      <c r="H73" s="12" t="n"/>
      <c r="I73" s="12" t="n"/>
      <c r="J73" s="12" t="inlineStr">
        <is>
          <t>DO</t>
        </is>
      </c>
      <c r="K73" s="12" t="n"/>
      <c r="L73" s="12" t="n"/>
      <c r="M73" s="12" t="n"/>
      <c r="N73" s="12" t="n"/>
      <c r="O73" s="12" t="n"/>
      <c r="P73" s="12" t="n"/>
      <c r="Q73" s="12" t="n"/>
      <c r="R73" s="12" t="inlineStr">
        <is>
          <t>HKD</t>
        </is>
      </c>
      <c r="S73" s="12" t="n"/>
      <c r="T73" s="12" t="n"/>
      <c r="U73" s="12" t="inlineStr">
        <is>
          <t>SEC_SSP_OTHS</t>
        </is>
      </c>
      <c r="V73" s="12" t="n"/>
      <c r="W73" s="12" t="n"/>
      <c r="X73" s="12" t="n"/>
      <c r="Y73" s="12" t="n"/>
      <c r="Z73" s="12" t="n"/>
      <c r="AA73" s="12" t="n"/>
      <c r="AB73" s="12" t="n"/>
      <c r="AC73" s="12" t="n"/>
      <c r="AD73" s="12" t="n"/>
      <c r="AE73" s="12" t="n"/>
      <c r="AF73" s="12" t="n"/>
      <c r="AG73" s="12" t="n"/>
      <c r="AH73" s="12" t="n"/>
      <c r="AI73" s="12" t="n"/>
      <c r="AJ73" s="12" t="n"/>
    </row>
    <row r="74" customFormat="1" s="13">
      <c r="A74" s="11" t="inlineStr">
        <is>
          <t>#</t>
        </is>
      </c>
      <c r="B74" s="19" t="n"/>
      <c r="C74" s="12" t="n"/>
      <c r="D74" s="12" t="n"/>
      <c r="E74" s="12" t="n"/>
      <c r="F74" s="12" t="n"/>
      <c r="G74" s="12" t="n"/>
      <c r="H74" s="12" t="n"/>
      <c r="I74" s="12" t="n"/>
      <c r="J74" s="12" t="inlineStr">
        <is>
          <t>DZ</t>
        </is>
      </c>
      <c r="K74" s="12" t="n"/>
      <c r="L74" s="12" t="n"/>
      <c r="M74" s="12" t="n"/>
      <c r="N74" s="12" t="n"/>
      <c r="O74" s="12" t="n"/>
      <c r="P74" s="12" t="n"/>
      <c r="Q74" s="12" t="n"/>
      <c r="R74" s="12" t="inlineStr">
        <is>
          <t>HNL</t>
        </is>
      </c>
      <c r="S74" s="12" t="n"/>
      <c r="T74" s="12" t="n"/>
      <c r="U74" s="12" t="inlineStr">
        <is>
          <t>SEC_SSP_RMBS</t>
        </is>
      </c>
      <c r="V74" s="12" t="n"/>
      <c r="W74" s="12" t="n"/>
      <c r="X74" s="12" t="n"/>
      <c r="Y74" s="12" t="n"/>
      <c r="Z74" s="12" t="n"/>
      <c r="AA74" s="12" t="n"/>
      <c r="AB74" s="12" t="n"/>
      <c r="AC74" s="12" t="n"/>
      <c r="AD74" s="12" t="n"/>
      <c r="AE74" s="12" t="n"/>
      <c r="AF74" s="12" t="n"/>
      <c r="AG74" s="12" t="n"/>
      <c r="AH74" s="12" t="n"/>
      <c r="AI74" s="12" t="n"/>
      <c r="AJ74" s="12" t="n"/>
    </row>
    <row r="75" customFormat="1" s="13">
      <c r="A75" s="11" t="inlineStr">
        <is>
          <t>#</t>
        </is>
      </c>
      <c r="B75" s="19" t="n"/>
      <c r="C75" s="12" t="n"/>
      <c r="D75" s="12" t="n"/>
      <c r="E75" s="12" t="n"/>
      <c r="F75" s="12" t="n"/>
      <c r="G75" s="12" t="n"/>
      <c r="H75" s="12" t="n"/>
      <c r="I75" s="12" t="n"/>
      <c r="J75" s="12" t="inlineStr">
        <is>
          <t>EC</t>
        </is>
      </c>
      <c r="K75" s="12" t="n"/>
      <c r="L75" s="12" t="n"/>
      <c r="M75" s="12" t="n"/>
      <c r="N75" s="12" t="n"/>
      <c r="O75" s="12" t="n"/>
      <c r="P75" s="12" t="n"/>
      <c r="Q75" s="12" t="n"/>
      <c r="R75" s="12" t="inlineStr">
        <is>
          <t>HRK</t>
        </is>
      </c>
      <c r="S75" s="12" t="n"/>
      <c r="T75" s="12" t="n"/>
      <c r="U75" s="12" t="inlineStr">
        <is>
          <t>SEC_SSP_SABS</t>
        </is>
      </c>
      <c r="V75" s="12" t="n"/>
      <c r="W75" s="12" t="n"/>
      <c r="X75" s="12" t="n"/>
      <c r="Y75" s="12" t="n"/>
      <c r="Z75" s="12" t="n"/>
      <c r="AA75" s="12" t="n"/>
      <c r="AB75" s="12" t="n"/>
      <c r="AC75" s="12" t="n"/>
      <c r="AD75" s="12" t="n"/>
      <c r="AE75" s="12" t="n"/>
      <c r="AF75" s="12" t="n"/>
      <c r="AG75" s="12" t="n"/>
      <c r="AH75" s="12" t="n"/>
      <c r="AI75" s="12" t="n"/>
      <c r="AJ75" s="12" t="n"/>
    </row>
    <row r="76" customFormat="1" s="13">
      <c r="A76" s="11" t="inlineStr">
        <is>
          <t>#</t>
        </is>
      </c>
      <c r="B76" s="19" t="n"/>
      <c r="C76" s="12" t="n"/>
      <c r="D76" s="12" t="n"/>
      <c r="E76" s="12" t="n"/>
      <c r="F76" s="12" t="n"/>
      <c r="G76" s="12" t="n"/>
      <c r="H76" s="12" t="n"/>
      <c r="I76" s="12" t="n"/>
      <c r="J76" s="12" t="inlineStr">
        <is>
          <t>EE</t>
        </is>
      </c>
      <c r="K76" s="12" t="n"/>
      <c r="L76" s="12" t="n"/>
      <c r="M76" s="12" t="n"/>
      <c r="N76" s="12" t="n"/>
      <c r="O76" s="12" t="n"/>
      <c r="P76" s="12" t="n"/>
      <c r="Q76" s="12" t="n"/>
      <c r="R76" s="12" t="inlineStr">
        <is>
          <t>HTG</t>
        </is>
      </c>
      <c r="S76" s="12" t="n"/>
      <c r="T76" s="12" t="n"/>
      <c r="U76" s="12" t="inlineStr">
        <is>
          <t>SEC_SSP_SETP</t>
        </is>
      </c>
      <c r="V76" s="12" t="n"/>
      <c r="W76" s="12" t="n"/>
      <c r="X76" s="12" t="n"/>
      <c r="Y76" s="12" t="n"/>
      <c r="Z76" s="12" t="n"/>
      <c r="AA76" s="12" t="n"/>
      <c r="AB76" s="12" t="n"/>
      <c r="AC76" s="12" t="n"/>
      <c r="AD76" s="12" t="n"/>
      <c r="AE76" s="12" t="n"/>
      <c r="AF76" s="12" t="n"/>
      <c r="AG76" s="12" t="n"/>
      <c r="AH76" s="12" t="n"/>
      <c r="AI76" s="12" t="n"/>
      <c r="AJ76" s="12" t="n"/>
    </row>
    <row r="77" customFormat="1" s="13">
      <c r="A77" s="11" t="inlineStr">
        <is>
          <t>#</t>
        </is>
      </c>
      <c r="B77" s="19" t="n"/>
      <c r="C77" s="12" t="n"/>
      <c r="D77" s="12" t="n"/>
      <c r="E77" s="12" t="n"/>
      <c r="F77" s="12" t="n"/>
      <c r="G77" s="12" t="n"/>
      <c r="H77" s="12" t="n"/>
      <c r="I77" s="12" t="n"/>
      <c r="J77" s="12" t="inlineStr">
        <is>
          <t>EG</t>
        </is>
      </c>
      <c r="K77" s="12" t="n"/>
      <c r="L77" s="12" t="n"/>
      <c r="M77" s="12" t="n"/>
      <c r="N77" s="12" t="n"/>
      <c r="O77" s="12" t="n"/>
      <c r="P77" s="12" t="n"/>
      <c r="Q77" s="12" t="n"/>
      <c r="R77" s="12" t="inlineStr">
        <is>
          <t>HUF</t>
        </is>
      </c>
      <c r="S77" s="12" t="n"/>
      <c r="T77" s="12" t="n"/>
      <c r="U77" s="12" t="inlineStr">
        <is>
          <t>SEC_SSP_STRC</t>
        </is>
      </c>
      <c r="V77" s="12" t="n"/>
      <c r="W77" s="12" t="n"/>
      <c r="X77" s="12" t="n"/>
      <c r="Y77" s="12" t="n"/>
      <c r="Z77" s="12" t="n"/>
      <c r="AA77" s="12" t="n"/>
      <c r="AB77" s="12" t="n"/>
      <c r="AC77" s="12" t="n"/>
      <c r="AD77" s="12" t="n"/>
      <c r="AE77" s="12" t="n"/>
      <c r="AF77" s="12" t="n"/>
      <c r="AG77" s="12" t="n"/>
      <c r="AH77" s="12" t="n"/>
      <c r="AI77" s="12" t="n"/>
      <c r="AJ77" s="12" t="n"/>
    </row>
    <row r="78" customFormat="1" s="13">
      <c r="A78" s="11" t="inlineStr">
        <is>
          <t>#</t>
        </is>
      </c>
      <c r="B78" s="19" t="n"/>
      <c r="C78" s="12" t="n"/>
      <c r="D78" s="12" t="n"/>
      <c r="E78" s="12" t="n"/>
      <c r="F78" s="12" t="n"/>
      <c r="G78" s="12" t="n"/>
      <c r="H78" s="12" t="n"/>
      <c r="I78" s="12" t="n"/>
      <c r="J78" s="12" t="inlineStr">
        <is>
          <t>EH</t>
        </is>
      </c>
      <c r="K78" s="12" t="n"/>
      <c r="L78" s="12" t="n"/>
      <c r="M78" s="12" t="n"/>
      <c r="N78" s="12" t="n"/>
      <c r="O78" s="12" t="n"/>
      <c r="P78" s="12" t="n"/>
      <c r="Q78" s="12" t="n"/>
      <c r="R78" s="12" t="inlineStr">
        <is>
          <t>IDR</t>
        </is>
      </c>
      <c r="S78" s="12" t="n"/>
      <c r="T78" s="12" t="n"/>
      <c r="U78" s="15" t="inlineStr">
        <is>
          <t>SEC_UEQ_UEQY</t>
        </is>
      </c>
      <c r="V78" s="15" t="n"/>
      <c r="W78" s="12" t="n"/>
      <c r="X78" s="12" t="n"/>
      <c r="Y78" s="12" t="n"/>
      <c r="Z78" s="12" t="n"/>
      <c r="AA78" s="12" t="n"/>
      <c r="AB78" s="12" t="n"/>
      <c r="AC78" s="12" t="n"/>
      <c r="AD78" s="12" t="n"/>
      <c r="AE78" s="12" t="n"/>
      <c r="AF78" s="12" t="n"/>
      <c r="AG78" s="12" t="n"/>
      <c r="AH78" s="12" t="n"/>
      <c r="AI78" s="12" t="n"/>
      <c r="AJ78" s="12" t="n"/>
    </row>
    <row r="79" customFormat="1" s="13">
      <c r="A79" s="11" t="inlineStr">
        <is>
          <t>#</t>
        </is>
      </c>
      <c r="B79" s="19" t="n"/>
      <c r="C79" s="12" t="n"/>
      <c r="D79" s="12" t="n"/>
      <c r="E79" s="12" t="n"/>
      <c r="F79" s="12" t="n"/>
      <c r="G79" s="12" t="n"/>
      <c r="H79" s="12" t="n"/>
      <c r="I79" s="12" t="n"/>
      <c r="J79" s="12" t="inlineStr">
        <is>
          <t>ER</t>
        </is>
      </c>
      <c r="K79" s="12" t="n"/>
      <c r="L79" s="12" t="n"/>
      <c r="M79" s="12" t="n"/>
      <c r="N79" s="12" t="n"/>
      <c r="O79" s="12" t="n"/>
      <c r="P79" s="12" t="n"/>
      <c r="Q79" s="12" t="n"/>
      <c r="R79" s="12" t="inlineStr">
        <is>
          <t>ILS</t>
        </is>
      </c>
      <c r="S79" s="12" t="n"/>
      <c r="T79" s="12" t="n"/>
      <c r="W79" s="12" t="n"/>
      <c r="X79" s="12" t="n"/>
      <c r="Y79" s="12" t="n"/>
      <c r="Z79" s="12" t="n"/>
      <c r="AA79" s="12" t="n"/>
      <c r="AB79" s="12" t="n"/>
      <c r="AC79" s="12" t="n"/>
      <c r="AD79" s="12" t="n"/>
      <c r="AE79" s="12" t="n"/>
      <c r="AF79" s="12" t="n"/>
      <c r="AG79" s="12" t="n"/>
      <c r="AH79" s="12" t="n"/>
      <c r="AI79" s="12" t="n"/>
      <c r="AJ79" s="12" t="n"/>
    </row>
    <row r="80" customFormat="1" s="13">
      <c r="A80" s="11" t="inlineStr">
        <is>
          <t>#</t>
        </is>
      </c>
      <c r="B80" s="19" t="n"/>
      <c r="C80" s="12" t="n"/>
      <c r="D80" s="12" t="n"/>
      <c r="E80" s="12" t="n"/>
      <c r="F80" s="12" t="n"/>
      <c r="G80" s="12" t="n"/>
      <c r="H80" s="12" t="n"/>
      <c r="I80" s="12" t="n"/>
      <c r="J80" s="12" t="inlineStr">
        <is>
          <t>ES</t>
        </is>
      </c>
      <c r="K80" s="12" t="n"/>
      <c r="L80" s="12" t="n"/>
      <c r="M80" s="12" t="n"/>
      <c r="N80" s="12" t="n"/>
      <c r="O80" s="12" t="n"/>
      <c r="P80" s="12" t="n"/>
      <c r="Q80" s="12" t="n"/>
      <c r="R80" s="12" t="inlineStr">
        <is>
          <t>INR</t>
        </is>
      </c>
      <c r="S80" s="12" t="n"/>
      <c r="T80" s="12" t="n"/>
      <c r="U80" s="12" t="n"/>
      <c r="V80" s="12" t="n"/>
      <c r="W80" s="12" t="n"/>
      <c r="X80" s="12" t="n"/>
      <c r="Y80" s="12" t="n"/>
      <c r="Z80" s="12" t="n"/>
      <c r="AA80" s="12" t="n"/>
      <c r="AB80" s="12" t="n"/>
      <c r="AC80" s="12" t="n"/>
      <c r="AD80" s="12" t="n"/>
      <c r="AE80" s="12" t="n"/>
      <c r="AF80" s="12" t="n"/>
      <c r="AG80" s="12" t="n"/>
      <c r="AH80" s="12" t="n"/>
      <c r="AI80" s="12" t="n"/>
      <c r="AJ80" s="12" t="n"/>
    </row>
    <row r="81" customFormat="1" s="13">
      <c r="A81" s="11" t="inlineStr">
        <is>
          <t>#</t>
        </is>
      </c>
      <c r="B81" s="19" t="n"/>
      <c r="C81" s="12" t="n"/>
      <c r="D81" s="12" t="n"/>
      <c r="E81" s="12" t="n"/>
      <c r="F81" s="12" t="n"/>
      <c r="G81" s="12" t="n"/>
      <c r="H81" s="12" t="n"/>
      <c r="I81" s="12" t="n"/>
      <c r="J81" s="12" t="inlineStr">
        <is>
          <t>ET</t>
        </is>
      </c>
      <c r="K81" s="12" t="n"/>
      <c r="L81" s="12" t="n"/>
      <c r="M81" s="12" t="n"/>
      <c r="N81" s="12" t="n"/>
      <c r="O81" s="12" t="n"/>
      <c r="P81" s="12" t="n"/>
      <c r="Q81" s="12" t="n"/>
      <c r="R81" s="12" t="inlineStr">
        <is>
          <t>IQD</t>
        </is>
      </c>
      <c r="S81" s="12" t="n"/>
      <c r="T81" s="12" t="n"/>
      <c r="U81" s="12" t="n"/>
      <c r="V81" s="12" t="n"/>
      <c r="W81" s="12" t="n"/>
      <c r="X81" s="12" t="n"/>
      <c r="Y81" s="12" t="n"/>
      <c r="Z81" s="12" t="n"/>
      <c r="AA81" s="12" t="n"/>
      <c r="AB81" s="12" t="n"/>
      <c r="AC81" s="12" t="n"/>
      <c r="AD81" s="12" t="n"/>
      <c r="AE81" s="12" t="n"/>
      <c r="AF81" s="12" t="n"/>
      <c r="AG81" s="12" t="n"/>
      <c r="AH81" s="12" t="n"/>
      <c r="AI81" s="12" t="n"/>
      <c r="AJ81" s="12" t="n"/>
    </row>
    <row r="82" customFormat="1" s="13">
      <c r="A82" s="11" t="inlineStr">
        <is>
          <t>#</t>
        </is>
      </c>
      <c r="B82" s="19" t="n"/>
      <c r="C82" s="12" t="n"/>
      <c r="D82" s="12" t="n"/>
      <c r="E82" s="12" t="n"/>
      <c r="F82" s="12" t="n"/>
      <c r="G82" s="12" t="n"/>
      <c r="H82" s="12" t="n"/>
      <c r="I82" s="12" t="n"/>
      <c r="J82" s="12" t="inlineStr">
        <is>
          <t>FI</t>
        </is>
      </c>
      <c r="K82" s="12" t="n"/>
      <c r="L82" s="12" t="n"/>
      <c r="M82" s="12" t="n"/>
      <c r="N82" s="12" t="n"/>
      <c r="O82" s="12" t="n"/>
      <c r="P82" s="12" t="n"/>
      <c r="Q82" s="12" t="n"/>
      <c r="R82" s="12" t="inlineStr">
        <is>
          <t>IRR</t>
        </is>
      </c>
      <c r="S82" s="12" t="n"/>
      <c r="T82" s="12" t="n"/>
      <c r="U82" s="12" t="n"/>
      <c r="V82" s="12" t="n"/>
      <c r="W82" s="12" t="n"/>
      <c r="X82" s="12" t="n"/>
      <c r="Y82" s="12" t="n"/>
      <c r="Z82" s="12" t="n"/>
      <c r="AA82" s="12" t="n"/>
      <c r="AB82" s="12" t="n"/>
      <c r="AC82" s="12" t="n"/>
      <c r="AD82" s="12" t="n"/>
      <c r="AE82" s="12" t="n"/>
      <c r="AF82" s="12" t="n"/>
      <c r="AG82" s="12" t="n"/>
      <c r="AH82" s="12" t="n"/>
      <c r="AI82" s="12" t="n"/>
      <c r="AJ82" s="12" t="n"/>
    </row>
    <row r="83" customFormat="1" s="13">
      <c r="A83" s="11" t="inlineStr">
        <is>
          <t>#</t>
        </is>
      </c>
      <c r="B83" s="19" t="n"/>
      <c r="C83" s="12" t="n"/>
      <c r="D83" s="12" t="n"/>
      <c r="E83" s="12" t="n"/>
      <c r="F83" s="12" t="n"/>
      <c r="G83" s="12" t="n"/>
      <c r="H83" s="12" t="n"/>
      <c r="I83" s="12" t="n"/>
      <c r="J83" s="12" t="inlineStr">
        <is>
          <t>FJ</t>
        </is>
      </c>
      <c r="K83" s="12" t="n"/>
      <c r="L83" s="12" t="n"/>
      <c r="M83" s="12" t="n"/>
      <c r="N83" s="12" t="n"/>
      <c r="O83" s="12" t="n"/>
      <c r="P83" s="12" t="n"/>
      <c r="Q83" s="12" t="n"/>
      <c r="R83" s="12" t="inlineStr">
        <is>
          <t>ISK</t>
        </is>
      </c>
      <c r="S83" s="12" t="n"/>
      <c r="T83" s="12" t="n"/>
      <c r="U83" s="12" t="n"/>
      <c r="V83" s="12" t="n"/>
      <c r="W83" s="12" t="n"/>
      <c r="X83" s="12" t="n"/>
      <c r="Y83" s="12" t="n"/>
      <c r="Z83" s="12" t="n"/>
      <c r="AA83" s="12" t="n"/>
      <c r="AB83" s="12" t="n"/>
      <c r="AC83" s="12" t="n"/>
      <c r="AD83" s="12" t="n"/>
      <c r="AE83" s="12" t="n"/>
      <c r="AF83" s="12" t="n"/>
      <c r="AG83" s="12" t="n"/>
      <c r="AH83" s="12" t="n"/>
      <c r="AI83" s="12" t="n"/>
      <c r="AJ83" s="12" t="n"/>
    </row>
    <row r="84" customFormat="1" s="13">
      <c r="A84" s="11" t="inlineStr">
        <is>
          <t>#</t>
        </is>
      </c>
      <c r="B84" s="19" t="n"/>
      <c r="C84" s="12" t="n"/>
      <c r="D84" s="12" t="n"/>
      <c r="E84" s="12" t="n"/>
      <c r="F84" s="12" t="n"/>
      <c r="G84" s="12" t="n"/>
      <c r="H84" s="12" t="n"/>
      <c r="I84" s="12" t="n"/>
      <c r="J84" s="12" t="inlineStr">
        <is>
          <t>FK</t>
        </is>
      </c>
      <c r="K84" s="12" t="n"/>
      <c r="L84" s="12" t="n"/>
      <c r="M84" s="12" t="n"/>
      <c r="N84" s="12" t="n"/>
      <c r="O84" s="12" t="n"/>
      <c r="P84" s="12" t="n"/>
      <c r="Q84" s="12" t="n"/>
      <c r="R84" s="12" t="inlineStr">
        <is>
          <t>JMD</t>
        </is>
      </c>
      <c r="S84" s="12" t="n"/>
      <c r="T84" s="12" t="n"/>
      <c r="U84" s="12" t="n"/>
      <c r="V84" s="12" t="n"/>
      <c r="W84" s="12" t="n"/>
      <c r="X84" s="12" t="n"/>
      <c r="Y84" s="12" t="n"/>
      <c r="Z84" s="12" t="n"/>
      <c r="AA84" s="12" t="n"/>
      <c r="AB84" s="12" t="n"/>
      <c r="AC84" s="12" t="n"/>
      <c r="AD84" s="12" t="n"/>
      <c r="AE84" s="12" t="n"/>
      <c r="AF84" s="12" t="n"/>
      <c r="AG84" s="12" t="n"/>
      <c r="AH84" s="12" t="n"/>
      <c r="AI84" s="12" t="n"/>
      <c r="AJ84" s="12" t="n"/>
    </row>
    <row r="85" customFormat="1" s="13">
      <c r="A85" s="11" t="inlineStr">
        <is>
          <t>#</t>
        </is>
      </c>
      <c r="B85" s="19" t="n"/>
      <c r="C85" s="12" t="n"/>
      <c r="D85" s="12" t="n"/>
      <c r="E85" s="12" t="n"/>
      <c r="F85" s="12" t="n"/>
      <c r="G85" s="12" t="n"/>
      <c r="H85" s="12" t="n"/>
      <c r="I85" s="12" t="n"/>
      <c r="J85" s="12" t="inlineStr">
        <is>
          <t>FM</t>
        </is>
      </c>
      <c r="K85" s="12" t="n"/>
      <c r="L85" s="12" t="n"/>
      <c r="M85" s="12" t="n"/>
      <c r="N85" s="12" t="n"/>
      <c r="O85" s="12" t="n"/>
      <c r="P85" s="12" t="n"/>
      <c r="Q85" s="12" t="n"/>
      <c r="R85" s="12" t="inlineStr">
        <is>
          <t>JOD</t>
        </is>
      </c>
      <c r="S85" s="12" t="n"/>
      <c r="T85" s="12" t="n"/>
      <c r="U85" s="12" t="n"/>
      <c r="V85" s="12" t="n"/>
      <c r="W85" s="12" t="n"/>
      <c r="X85" s="12" t="n"/>
      <c r="Y85" s="12" t="n"/>
      <c r="Z85" s="12" t="n"/>
      <c r="AA85" s="12" t="n"/>
      <c r="AB85" s="12" t="n"/>
      <c r="AC85" s="12" t="n"/>
      <c r="AD85" s="12" t="n"/>
      <c r="AE85" s="12" t="n"/>
      <c r="AF85" s="12" t="n"/>
      <c r="AG85" s="12" t="n"/>
      <c r="AH85" s="12" t="n"/>
      <c r="AI85" s="12" t="n"/>
      <c r="AJ85" s="12" t="n"/>
    </row>
    <row r="86" customFormat="1" s="13">
      <c r="A86" s="11" t="inlineStr">
        <is>
          <t>#</t>
        </is>
      </c>
      <c r="B86" s="19" t="n"/>
      <c r="C86" s="12" t="n"/>
      <c r="D86" s="12" t="n"/>
      <c r="E86" s="12" t="n"/>
      <c r="F86" s="12" t="n"/>
      <c r="G86" s="12" t="n"/>
      <c r="H86" s="12" t="n"/>
      <c r="I86" s="12" t="n"/>
      <c r="J86" s="12" t="inlineStr">
        <is>
          <t>FO</t>
        </is>
      </c>
      <c r="K86" s="12" t="n"/>
      <c r="L86" s="12" t="n"/>
      <c r="M86" s="12" t="n"/>
      <c r="N86" s="12" t="n"/>
      <c r="O86" s="12" t="n"/>
      <c r="P86" s="12" t="n"/>
      <c r="Q86" s="12" t="n"/>
      <c r="R86" s="12" t="inlineStr">
        <is>
          <t>JPY</t>
        </is>
      </c>
      <c r="S86" s="12" t="n"/>
      <c r="T86" s="12" t="n"/>
      <c r="U86" s="12" t="n"/>
      <c r="V86" s="12" t="n"/>
      <c r="W86" s="12" t="n"/>
      <c r="X86" s="12" t="n"/>
      <c r="Y86" s="12" t="n"/>
      <c r="Z86" s="12" t="n"/>
      <c r="AA86" s="12" t="n"/>
      <c r="AB86" s="12" t="n"/>
      <c r="AC86" s="12" t="n"/>
      <c r="AD86" s="12" t="n"/>
      <c r="AE86" s="12" t="n"/>
      <c r="AF86" s="12" t="n"/>
      <c r="AG86" s="12" t="n"/>
      <c r="AH86" s="12" t="n"/>
      <c r="AI86" s="12" t="n"/>
      <c r="AJ86" s="12" t="n"/>
    </row>
    <row r="87" customFormat="1" s="13">
      <c r="A87" s="11" t="inlineStr">
        <is>
          <t>#</t>
        </is>
      </c>
      <c r="B87" s="19" t="n"/>
      <c r="C87" s="12" t="n"/>
      <c r="D87" s="12" t="n"/>
      <c r="E87" s="12" t="n"/>
      <c r="F87" s="12" t="n"/>
      <c r="G87" s="12" t="n"/>
      <c r="H87" s="12" t="n"/>
      <c r="I87" s="12" t="n"/>
      <c r="J87" s="12" t="inlineStr">
        <is>
          <t>FR</t>
        </is>
      </c>
      <c r="K87" s="12" t="n"/>
      <c r="L87" s="12" t="n"/>
      <c r="M87" s="12" t="n"/>
      <c r="N87" s="12" t="n"/>
      <c r="O87" s="12" t="n"/>
      <c r="P87" s="12" t="n"/>
      <c r="Q87" s="12" t="n"/>
      <c r="R87" s="12" t="inlineStr">
        <is>
          <t>KES</t>
        </is>
      </c>
      <c r="S87" s="12" t="n"/>
      <c r="T87" s="12" t="n"/>
      <c r="U87" s="12" t="n"/>
      <c r="V87" s="12" t="n"/>
      <c r="W87" s="12" t="n"/>
      <c r="X87" s="12" t="n"/>
      <c r="Y87" s="12" t="n"/>
      <c r="Z87" s="12" t="n"/>
      <c r="AA87" s="12" t="n"/>
      <c r="AB87" s="12" t="n"/>
      <c r="AC87" s="12" t="n"/>
      <c r="AD87" s="12" t="n"/>
      <c r="AE87" s="12" t="n"/>
      <c r="AF87" s="12" t="n"/>
      <c r="AG87" s="12" t="n"/>
      <c r="AH87" s="12" t="n"/>
      <c r="AI87" s="12" t="n"/>
      <c r="AJ87" s="12" t="n"/>
    </row>
    <row r="88" customFormat="1" s="13">
      <c r="A88" s="11" t="inlineStr">
        <is>
          <t>#</t>
        </is>
      </c>
      <c r="B88" s="19" t="n"/>
      <c r="C88" s="12" t="n"/>
      <c r="D88" s="12" t="n"/>
      <c r="E88" s="12" t="n"/>
      <c r="F88" s="12" t="n"/>
      <c r="G88" s="12" t="n"/>
      <c r="H88" s="12" t="n"/>
      <c r="I88" s="12" t="n"/>
      <c r="J88" s="12" t="inlineStr">
        <is>
          <t>GA</t>
        </is>
      </c>
      <c r="K88" s="12" t="n"/>
      <c r="L88" s="12" t="n"/>
      <c r="M88" s="12" t="n"/>
      <c r="N88" s="12" t="n"/>
      <c r="O88" s="12" t="n"/>
      <c r="P88" s="12" t="n"/>
      <c r="Q88" s="12" t="n"/>
      <c r="R88" s="12" t="inlineStr">
        <is>
          <t>KGS</t>
        </is>
      </c>
      <c r="S88" s="12" t="n"/>
      <c r="T88" s="12" t="n"/>
      <c r="U88" s="12" t="n"/>
      <c r="V88" s="12" t="n"/>
      <c r="W88" s="12" t="n"/>
      <c r="X88" s="12" t="n"/>
      <c r="Y88" s="12" t="n"/>
      <c r="Z88" s="12" t="n"/>
      <c r="AA88" s="12" t="n"/>
      <c r="AB88" s="12" t="n"/>
      <c r="AC88" s="12" t="n"/>
      <c r="AD88" s="12" t="n"/>
      <c r="AE88" s="12" t="n"/>
      <c r="AF88" s="12" t="n"/>
      <c r="AG88" s="12" t="n"/>
      <c r="AH88" s="12" t="n"/>
      <c r="AI88" s="12" t="n"/>
      <c r="AJ88" s="12" t="n"/>
    </row>
    <row r="89" customFormat="1" s="13">
      <c r="A89" s="11" t="inlineStr">
        <is>
          <t>#</t>
        </is>
      </c>
      <c r="B89" s="19" t="n"/>
      <c r="C89" s="12" t="n"/>
      <c r="D89" s="12" t="n"/>
      <c r="E89" s="12" t="n"/>
      <c r="F89" s="12" t="n"/>
      <c r="G89" s="12" t="n"/>
      <c r="H89" s="12" t="n"/>
      <c r="I89" s="12" t="n"/>
      <c r="J89" s="12" t="inlineStr">
        <is>
          <t>GB</t>
        </is>
      </c>
      <c r="K89" s="12" t="n"/>
      <c r="L89" s="12" t="n"/>
      <c r="M89" s="12" t="n"/>
      <c r="N89" s="12" t="n"/>
      <c r="O89" s="12" t="n"/>
      <c r="P89" s="12" t="n"/>
      <c r="Q89" s="12" t="n"/>
      <c r="R89" s="12" t="inlineStr">
        <is>
          <t>KHR</t>
        </is>
      </c>
      <c r="S89" s="12" t="n"/>
      <c r="T89" s="12" t="n"/>
      <c r="U89" s="12" t="n"/>
      <c r="V89" s="12" t="n"/>
      <c r="W89" s="12" t="n"/>
      <c r="X89" s="12" t="n"/>
      <c r="Y89" s="12" t="n"/>
      <c r="Z89" s="12" t="n"/>
      <c r="AA89" s="12" t="n"/>
      <c r="AB89" s="12" t="n"/>
      <c r="AC89" s="12" t="n"/>
      <c r="AD89" s="12" t="n"/>
      <c r="AE89" s="12" t="n"/>
      <c r="AF89" s="12" t="n"/>
      <c r="AG89" s="12" t="n"/>
      <c r="AH89" s="12" t="n"/>
      <c r="AI89" s="12" t="n"/>
      <c r="AJ89" s="12" t="n"/>
    </row>
    <row r="90" customFormat="1" s="13">
      <c r="A90" s="11" t="inlineStr">
        <is>
          <t>#</t>
        </is>
      </c>
      <c r="B90" s="19" t="n"/>
      <c r="C90" s="12" t="n"/>
      <c r="D90" s="12" t="n"/>
      <c r="E90" s="12" t="n"/>
      <c r="F90" s="12" t="n"/>
      <c r="G90" s="12" t="n"/>
      <c r="H90" s="12" t="n"/>
      <c r="I90" s="12" t="n"/>
      <c r="J90" s="12" t="inlineStr">
        <is>
          <t>GD</t>
        </is>
      </c>
      <c r="K90" s="12" t="n"/>
      <c r="L90" s="12" t="n"/>
      <c r="M90" s="12" t="n"/>
      <c r="N90" s="12" t="n"/>
      <c r="O90" s="12" t="n"/>
      <c r="P90" s="12" t="n"/>
      <c r="Q90" s="12" t="n"/>
      <c r="R90" s="12" t="inlineStr">
        <is>
          <t>KMF</t>
        </is>
      </c>
      <c r="S90" s="12" t="n"/>
      <c r="T90" s="12" t="n"/>
      <c r="U90" s="12" t="n"/>
      <c r="V90" s="12" t="n"/>
      <c r="W90" s="12" t="n"/>
      <c r="X90" s="12" t="n"/>
      <c r="Y90" s="12" t="n"/>
      <c r="Z90" s="12" t="n"/>
      <c r="AA90" s="12" t="n"/>
      <c r="AB90" s="12" t="n"/>
      <c r="AC90" s="12" t="n"/>
      <c r="AD90" s="12" t="n"/>
      <c r="AE90" s="12" t="n"/>
      <c r="AF90" s="12" t="n"/>
      <c r="AG90" s="12" t="n"/>
      <c r="AH90" s="12" t="n"/>
      <c r="AI90" s="12" t="n"/>
      <c r="AJ90" s="12" t="n"/>
    </row>
    <row r="91" customFormat="1" s="13">
      <c r="A91" s="11" t="inlineStr">
        <is>
          <t>#</t>
        </is>
      </c>
      <c r="B91" s="19" t="n"/>
      <c r="C91" s="12" t="n"/>
      <c r="D91" s="12" t="n"/>
      <c r="E91" s="12" t="n"/>
      <c r="F91" s="12" t="n"/>
      <c r="G91" s="12" t="n"/>
      <c r="H91" s="12" t="n"/>
      <c r="I91" s="12" t="n"/>
      <c r="J91" s="12" t="inlineStr">
        <is>
          <t>GE</t>
        </is>
      </c>
      <c r="K91" s="12" t="n"/>
      <c r="L91" s="12" t="n"/>
      <c r="M91" s="12" t="n"/>
      <c r="N91" s="12" t="n"/>
      <c r="O91" s="12" t="n"/>
      <c r="P91" s="12" t="n"/>
      <c r="Q91" s="12" t="n"/>
      <c r="R91" s="12" t="inlineStr">
        <is>
          <t>KPW</t>
        </is>
      </c>
      <c r="S91" s="12" t="n"/>
      <c r="T91" s="12" t="n"/>
      <c r="U91" s="12" t="n"/>
      <c r="V91" s="12" t="n"/>
      <c r="W91" s="12" t="n"/>
      <c r="X91" s="12" t="n"/>
      <c r="Y91" s="12" t="n"/>
      <c r="Z91" s="12" t="n"/>
      <c r="AA91" s="12" t="n"/>
      <c r="AB91" s="12" t="n"/>
      <c r="AC91" s="12" t="n"/>
      <c r="AD91" s="12" t="n"/>
      <c r="AE91" s="12" t="n"/>
      <c r="AF91" s="12" t="n"/>
      <c r="AG91" s="12" t="n"/>
      <c r="AH91" s="12" t="n"/>
      <c r="AI91" s="12" t="n"/>
      <c r="AJ91" s="12" t="n"/>
    </row>
    <row r="92" customFormat="1" s="13">
      <c r="A92" s="11" t="inlineStr">
        <is>
          <t>#</t>
        </is>
      </c>
      <c r="B92" s="19" t="n"/>
      <c r="C92" s="12" t="n"/>
      <c r="D92" s="12" t="n"/>
      <c r="E92" s="12" t="n"/>
      <c r="F92" s="12" t="n"/>
      <c r="G92" s="12" t="n"/>
      <c r="H92" s="12" t="n"/>
      <c r="I92" s="12" t="n"/>
      <c r="J92" s="12" t="inlineStr">
        <is>
          <t>GF</t>
        </is>
      </c>
      <c r="K92" s="12" t="n"/>
      <c r="L92" s="12" t="n"/>
      <c r="M92" s="12" t="n"/>
      <c r="N92" s="12" t="n"/>
      <c r="O92" s="12" t="n"/>
      <c r="P92" s="12" t="n"/>
      <c r="Q92" s="12" t="n"/>
      <c r="R92" s="12" t="inlineStr">
        <is>
          <t>KRW</t>
        </is>
      </c>
      <c r="S92" s="12" t="n"/>
      <c r="T92" s="12" t="n"/>
      <c r="U92" s="12" t="n"/>
      <c r="V92" s="12" t="n"/>
      <c r="W92" s="12" t="n"/>
      <c r="X92" s="12" t="n"/>
      <c r="Y92" s="12" t="n"/>
      <c r="Z92" s="12" t="n"/>
      <c r="AA92" s="12" t="n"/>
      <c r="AB92" s="12" t="n"/>
      <c r="AC92" s="12" t="n"/>
      <c r="AD92" s="12" t="n"/>
      <c r="AE92" s="12" t="n"/>
      <c r="AF92" s="12" t="n"/>
      <c r="AG92" s="12" t="n"/>
      <c r="AH92" s="12" t="n"/>
      <c r="AI92" s="12" t="n"/>
      <c r="AJ92" s="12" t="n"/>
    </row>
    <row r="93" customFormat="1" s="13">
      <c r="A93" s="11" t="inlineStr">
        <is>
          <t>#</t>
        </is>
      </c>
      <c r="B93" s="19" t="n"/>
      <c r="C93" s="12" t="n"/>
      <c r="D93" s="12" t="n"/>
      <c r="E93" s="12" t="n"/>
      <c r="F93" s="12" t="n"/>
      <c r="G93" s="12" t="n"/>
      <c r="H93" s="12" t="n"/>
      <c r="I93" s="12" t="n"/>
      <c r="J93" s="12" t="inlineStr">
        <is>
          <t>GG</t>
        </is>
      </c>
      <c r="K93" s="12" t="n"/>
      <c r="L93" s="12" t="n"/>
      <c r="M93" s="12" t="n"/>
      <c r="N93" s="12" t="n"/>
      <c r="O93" s="12" t="n"/>
      <c r="P93" s="12" t="n"/>
      <c r="Q93" s="12" t="n"/>
      <c r="R93" s="12" t="inlineStr">
        <is>
          <t>KWD</t>
        </is>
      </c>
      <c r="S93" s="12" t="n"/>
      <c r="T93" s="12" t="n"/>
      <c r="U93" s="12" t="n"/>
      <c r="V93" s="12" t="n"/>
      <c r="W93" s="12" t="n"/>
      <c r="X93" s="12" t="n"/>
      <c r="Y93" s="12" t="n"/>
      <c r="Z93" s="12" t="n"/>
      <c r="AA93" s="12" t="n"/>
      <c r="AB93" s="12" t="n"/>
      <c r="AC93" s="12" t="n"/>
      <c r="AD93" s="12" t="n"/>
      <c r="AE93" s="12" t="n"/>
      <c r="AF93" s="12" t="n"/>
      <c r="AG93" s="12" t="n"/>
      <c r="AH93" s="12" t="n"/>
      <c r="AI93" s="12" t="n"/>
      <c r="AJ93" s="12" t="n"/>
    </row>
    <row r="94" customFormat="1" s="13">
      <c r="A94" s="11" t="inlineStr">
        <is>
          <t>#</t>
        </is>
      </c>
      <c r="B94" s="19" t="n"/>
      <c r="C94" s="12" t="n"/>
      <c r="D94" s="12" t="n"/>
      <c r="E94" s="12" t="n"/>
      <c r="F94" s="12" t="n"/>
      <c r="G94" s="12" t="n"/>
      <c r="H94" s="12" t="n"/>
      <c r="I94" s="12" t="n"/>
      <c r="J94" s="12" t="inlineStr">
        <is>
          <t>GH</t>
        </is>
      </c>
      <c r="K94" s="12" t="n"/>
      <c r="L94" s="12" t="n"/>
      <c r="M94" s="12" t="n"/>
      <c r="N94" s="12" t="n"/>
      <c r="O94" s="12" t="n"/>
      <c r="P94" s="12" t="n"/>
      <c r="Q94" s="12" t="n"/>
      <c r="R94" s="12" t="inlineStr">
        <is>
          <t>KYD</t>
        </is>
      </c>
      <c r="S94" s="12" t="n"/>
      <c r="T94" s="12" t="n"/>
      <c r="U94" s="12" t="n"/>
      <c r="V94" s="12" t="n"/>
      <c r="W94" s="12" t="n"/>
      <c r="X94" s="12" t="n"/>
      <c r="Y94" s="12" t="n"/>
      <c r="Z94" s="12" t="n"/>
      <c r="AA94" s="12" t="n"/>
      <c r="AB94" s="12" t="n"/>
      <c r="AC94" s="12" t="n"/>
      <c r="AD94" s="12" t="n"/>
      <c r="AE94" s="12" t="n"/>
      <c r="AF94" s="12" t="n"/>
      <c r="AG94" s="12" t="n"/>
      <c r="AH94" s="12" t="n"/>
      <c r="AI94" s="12" t="n"/>
      <c r="AJ94" s="12" t="n"/>
    </row>
    <row r="95" customFormat="1" s="13">
      <c r="A95" s="11" t="inlineStr">
        <is>
          <t>#</t>
        </is>
      </c>
      <c r="B95" s="19" t="n"/>
      <c r="C95" s="12" t="n"/>
      <c r="D95" s="12" t="n"/>
      <c r="E95" s="12" t="n"/>
      <c r="F95" s="12" t="n"/>
      <c r="G95" s="12" t="n"/>
      <c r="H95" s="12" t="n"/>
      <c r="I95" s="12" t="n"/>
      <c r="J95" s="12" t="inlineStr">
        <is>
          <t>GI</t>
        </is>
      </c>
      <c r="K95" s="12" t="n"/>
      <c r="L95" s="12" t="n"/>
      <c r="M95" s="12" t="n"/>
      <c r="N95" s="12" t="n"/>
      <c r="O95" s="12" t="n"/>
      <c r="P95" s="12" t="n"/>
      <c r="Q95" s="12" t="n"/>
      <c r="R95" s="12" t="inlineStr">
        <is>
          <t>KZT</t>
        </is>
      </c>
      <c r="S95" s="12" t="n"/>
      <c r="T95" s="12" t="n"/>
      <c r="U95" s="12" t="n"/>
      <c r="V95" s="12" t="n"/>
      <c r="W95" s="12" t="n"/>
      <c r="X95" s="12" t="n"/>
      <c r="Y95" s="12" t="n"/>
      <c r="Z95" s="12" t="n"/>
      <c r="AA95" s="12" t="n"/>
      <c r="AB95" s="12" t="n"/>
      <c r="AC95" s="12" t="n"/>
      <c r="AD95" s="12" t="n"/>
      <c r="AE95" s="12" t="n"/>
      <c r="AF95" s="12" t="n"/>
      <c r="AG95" s="12" t="n"/>
      <c r="AH95" s="12" t="n"/>
      <c r="AI95" s="12" t="n"/>
      <c r="AJ95" s="12" t="n"/>
    </row>
    <row r="96" customFormat="1" s="13">
      <c r="A96" s="11" t="inlineStr">
        <is>
          <t>#</t>
        </is>
      </c>
      <c r="B96" s="19" t="n"/>
      <c r="C96" s="12" t="n"/>
      <c r="D96" s="12" t="n"/>
      <c r="E96" s="12" t="n"/>
      <c r="F96" s="12" t="n"/>
      <c r="G96" s="12" t="n"/>
      <c r="H96" s="12" t="n"/>
      <c r="I96" s="12" t="n"/>
      <c r="J96" s="12" t="inlineStr">
        <is>
          <t>GL</t>
        </is>
      </c>
      <c r="K96" s="12" t="n"/>
      <c r="L96" s="12" t="n"/>
      <c r="M96" s="12" t="n"/>
      <c r="N96" s="12" t="n"/>
      <c r="O96" s="12" t="n"/>
      <c r="P96" s="12" t="n"/>
      <c r="Q96" s="12" t="n"/>
      <c r="R96" s="12" t="inlineStr">
        <is>
          <t>LAK</t>
        </is>
      </c>
      <c r="S96" s="12" t="n"/>
      <c r="T96" s="12" t="n"/>
      <c r="U96" s="12" t="n"/>
      <c r="V96" s="12" t="n"/>
      <c r="W96" s="12" t="n"/>
      <c r="X96" s="12" t="n"/>
      <c r="Y96" s="12" t="n"/>
      <c r="Z96" s="12" t="n"/>
      <c r="AA96" s="12" t="n"/>
      <c r="AB96" s="12" t="n"/>
      <c r="AC96" s="12" t="n"/>
      <c r="AD96" s="12" t="n"/>
      <c r="AE96" s="12" t="n"/>
      <c r="AF96" s="12" t="n"/>
      <c r="AG96" s="12" t="n"/>
      <c r="AH96" s="12" t="n"/>
      <c r="AI96" s="12" t="n"/>
      <c r="AJ96" s="12" t="n"/>
    </row>
    <row r="97" customFormat="1" s="13">
      <c r="A97" s="11" t="inlineStr">
        <is>
          <t>#</t>
        </is>
      </c>
      <c r="B97" s="19" t="n"/>
      <c r="C97" s="12" t="n"/>
      <c r="D97" s="12" t="n"/>
      <c r="E97" s="12" t="n"/>
      <c r="F97" s="12" t="n"/>
      <c r="G97" s="12" t="n"/>
      <c r="H97" s="12" t="n"/>
      <c r="I97" s="12" t="n"/>
      <c r="J97" s="12" t="inlineStr">
        <is>
          <t>GM</t>
        </is>
      </c>
      <c r="K97" s="12" t="n"/>
      <c r="L97" s="12" t="n"/>
      <c r="M97" s="12" t="n"/>
      <c r="N97" s="12" t="n"/>
      <c r="O97" s="12" t="n"/>
      <c r="P97" s="12" t="n"/>
      <c r="Q97" s="12" t="n"/>
      <c r="R97" s="12" t="inlineStr">
        <is>
          <t>LBP</t>
        </is>
      </c>
      <c r="S97" s="12" t="n"/>
      <c r="T97" s="12" t="n"/>
      <c r="U97" s="12" t="n"/>
      <c r="V97" s="12" t="n"/>
      <c r="W97" s="12" t="n"/>
      <c r="X97" s="12" t="n"/>
      <c r="Y97" s="12" t="n"/>
      <c r="Z97" s="12" t="n"/>
      <c r="AA97" s="12" t="n"/>
      <c r="AB97" s="12" t="n"/>
      <c r="AC97" s="12" t="n"/>
      <c r="AD97" s="12" t="n"/>
      <c r="AE97" s="12" t="n"/>
      <c r="AF97" s="12" t="n"/>
      <c r="AG97" s="12" t="n"/>
      <c r="AH97" s="12" t="n"/>
      <c r="AI97" s="12" t="n"/>
      <c r="AJ97" s="12" t="n"/>
    </row>
    <row r="98" customFormat="1" s="13">
      <c r="A98" s="11" t="inlineStr">
        <is>
          <t>#</t>
        </is>
      </c>
      <c r="B98" s="19" t="n"/>
      <c r="C98" s="12" t="n"/>
      <c r="D98" s="12" t="n"/>
      <c r="E98" s="12" t="n"/>
      <c r="F98" s="12" t="n"/>
      <c r="G98" s="12" t="n"/>
      <c r="H98" s="12" t="n"/>
      <c r="I98" s="12" t="n"/>
      <c r="J98" s="12" t="inlineStr">
        <is>
          <t>GN</t>
        </is>
      </c>
      <c r="K98" s="12" t="n"/>
      <c r="L98" s="12" t="n"/>
      <c r="M98" s="12" t="n"/>
      <c r="N98" s="12" t="n"/>
      <c r="O98" s="12" t="n"/>
      <c r="P98" s="12" t="n"/>
      <c r="Q98" s="12" t="n"/>
      <c r="R98" s="12" t="inlineStr">
        <is>
          <t>LKR</t>
        </is>
      </c>
      <c r="S98" s="12" t="n"/>
      <c r="T98" s="12" t="n"/>
      <c r="U98" s="12" t="n"/>
      <c r="V98" s="12" t="n"/>
      <c r="W98" s="12" t="n"/>
      <c r="X98" s="12" t="n"/>
      <c r="Y98" s="12" t="n"/>
      <c r="Z98" s="12" t="n"/>
      <c r="AA98" s="12" t="n"/>
      <c r="AB98" s="12" t="n"/>
      <c r="AC98" s="12" t="n"/>
      <c r="AD98" s="12" t="n"/>
      <c r="AE98" s="12" t="n"/>
      <c r="AF98" s="12" t="n"/>
      <c r="AG98" s="12" t="n"/>
      <c r="AH98" s="12" t="n"/>
      <c r="AI98" s="12" t="n"/>
      <c r="AJ98" s="12" t="n"/>
    </row>
    <row r="99" customFormat="1" s="13">
      <c r="A99" s="11" t="inlineStr">
        <is>
          <t>#</t>
        </is>
      </c>
      <c r="B99" s="19" t="n"/>
      <c r="C99" s="12" t="n"/>
      <c r="D99" s="12" t="n"/>
      <c r="E99" s="12" t="n"/>
      <c r="F99" s="12" t="n"/>
      <c r="G99" s="12" t="n"/>
      <c r="H99" s="12" t="n"/>
      <c r="I99" s="12" t="n"/>
      <c r="J99" s="12" t="inlineStr">
        <is>
          <t>GP</t>
        </is>
      </c>
      <c r="K99" s="12" t="n"/>
      <c r="L99" s="12" t="n"/>
      <c r="M99" s="12" t="n"/>
      <c r="N99" s="12" t="n"/>
      <c r="O99" s="12" t="n"/>
      <c r="P99" s="12" t="n"/>
      <c r="Q99" s="12" t="n"/>
      <c r="R99" s="12" t="inlineStr">
        <is>
          <t>LRD</t>
        </is>
      </c>
      <c r="S99" s="12" t="n"/>
      <c r="T99" s="12" t="n"/>
      <c r="U99" s="12" t="n"/>
      <c r="V99" s="12" t="n"/>
      <c r="W99" s="12" t="n"/>
      <c r="X99" s="12" t="n"/>
      <c r="Y99" s="12" t="n"/>
      <c r="Z99" s="12" t="n"/>
      <c r="AA99" s="12" t="n"/>
      <c r="AB99" s="12" t="n"/>
      <c r="AC99" s="12" t="n"/>
      <c r="AD99" s="12" t="n"/>
      <c r="AE99" s="12" t="n"/>
      <c r="AF99" s="12" t="n"/>
      <c r="AG99" s="12" t="n"/>
      <c r="AH99" s="12" t="n"/>
      <c r="AI99" s="12" t="n"/>
      <c r="AJ99" s="12" t="n"/>
    </row>
    <row r="100" customFormat="1" s="13">
      <c r="A100" s="11" t="inlineStr">
        <is>
          <t>#</t>
        </is>
      </c>
      <c r="B100" s="19" t="n"/>
      <c r="C100" s="12" t="n"/>
      <c r="D100" s="12" t="n"/>
      <c r="E100" s="12" t="n"/>
      <c r="F100" s="12" t="n"/>
      <c r="G100" s="12" t="n"/>
      <c r="H100" s="12" t="n"/>
      <c r="I100" s="12" t="n"/>
      <c r="J100" s="12" t="inlineStr">
        <is>
          <t>GQ</t>
        </is>
      </c>
      <c r="K100" s="12" t="n"/>
      <c r="L100" s="12" t="n"/>
      <c r="M100" s="12" t="n"/>
      <c r="N100" s="12" t="n"/>
      <c r="O100" s="12" t="n"/>
      <c r="P100" s="12" t="n"/>
      <c r="Q100" s="12" t="n"/>
      <c r="R100" s="12" t="inlineStr">
        <is>
          <t>LSL</t>
        </is>
      </c>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row>
    <row r="101" customFormat="1" s="13">
      <c r="A101" s="11" t="inlineStr">
        <is>
          <t>#</t>
        </is>
      </c>
      <c r="B101" s="19" t="n"/>
      <c r="C101" s="12" t="n"/>
      <c r="D101" s="12" t="n"/>
      <c r="E101" s="12" t="n"/>
      <c r="F101" s="12" t="n"/>
      <c r="G101" s="12" t="n"/>
      <c r="H101" s="12" t="n"/>
      <c r="I101" s="12" t="n"/>
      <c r="J101" s="12" t="inlineStr">
        <is>
          <t>GR</t>
        </is>
      </c>
      <c r="K101" s="12" t="n"/>
      <c r="L101" s="12" t="n"/>
      <c r="M101" s="12" t="n"/>
      <c r="N101" s="12" t="n"/>
      <c r="O101" s="12" t="n"/>
      <c r="P101" s="12" t="n"/>
      <c r="Q101" s="12" t="n"/>
      <c r="R101" s="12" t="inlineStr">
        <is>
          <t>LYD</t>
        </is>
      </c>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row>
    <row r="102" customFormat="1" s="13">
      <c r="A102" s="11" t="inlineStr">
        <is>
          <t>#</t>
        </is>
      </c>
      <c r="B102" s="19" t="n"/>
      <c r="C102" s="12" t="n"/>
      <c r="D102" s="12" t="n"/>
      <c r="E102" s="12" t="n"/>
      <c r="F102" s="12" t="n"/>
      <c r="G102" s="12" t="n"/>
      <c r="H102" s="12" t="n"/>
      <c r="I102" s="12" t="n"/>
      <c r="J102" s="12" t="inlineStr">
        <is>
          <t>GS</t>
        </is>
      </c>
      <c r="K102" s="12" t="n"/>
      <c r="L102" s="12" t="n"/>
      <c r="M102" s="12" t="n"/>
      <c r="N102" s="12" t="n"/>
      <c r="O102" s="12" t="n"/>
      <c r="P102" s="12" t="n"/>
      <c r="Q102" s="12" t="n"/>
      <c r="R102" s="12" t="inlineStr">
        <is>
          <t>MAD</t>
        </is>
      </c>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row>
    <row r="103" customFormat="1" s="13">
      <c r="A103" s="11" t="inlineStr">
        <is>
          <t>#</t>
        </is>
      </c>
      <c r="B103" s="19" t="n"/>
      <c r="C103" s="12" t="n"/>
      <c r="D103" s="12" t="n"/>
      <c r="E103" s="12" t="n"/>
      <c r="F103" s="12" t="n"/>
      <c r="G103" s="12" t="n"/>
      <c r="H103" s="12" t="n"/>
      <c r="I103" s="12" t="n"/>
      <c r="J103" s="12" t="inlineStr">
        <is>
          <t>GT</t>
        </is>
      </c>
      <c r="K103" s="12" t="n"/>
      <c r="L103" s="12" t="n"/>
      <c r="M103" s="12" t="n"/>
      <c r="N103" s="12" t="n"/>
      <c r="O103" s="12" t="n"/>
      <c r="P103" s="12" t="n"/>
      <c r="Q103" s="12" t="n"/>
      <c r="R103" s="12" t="inlineStr">
        <is>
          <t>MDL</t>
        </is>
      </c>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row>
    <row r="104" customFormat="1" s="13">
      <c r="A104" s="11" t="inlineStr">
        <is>
          <t>#</t>
        </is>
      </c>
      <c r="B104" s="19" t="n"/>
      <c r="C104" s="12" t="n"/>
      <c r="D104" s="12" t="n"/>
      <c r="E104" s="12" t="n"/>
      <c r="F104" s="12" t="n"/>
      <c r="G104" s="12" t="n"/>
      <c r="H104" s="12" t="n"/>
      <c r="I104" s="12" t="n"/>
      <c r="J104" s="12" t="inlineStr">
        <is>
          <t>GU</t>
        </is>
      </c>
      <c r="K104" s="12" t="n"/>
      <c r="L104" s="12" t="n"/>
      <c r="M104" s="12" t="n"/>
      <c r="N104" s="12" t="n"/>
      <c r="O104" s="12" t="n"/>
      <c r="P104" s="12" t="n"/>
      <c r="Q104" s="12" t="n"/>
      <c r="R104" s="12" t="inlineStr">
        <is>
          <t>MGA</t>
        </is>
      </c>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row>
    <row r="105" customFormat="1" s="13">
      <c r="A105" s="11" t="inlineStr">
        <is>
          <t>#</t>
        </is>
      </c>
      <c r="B105" s="19" t="n"/>
      <c r="C105" s="12" t="n"/>
      <c r="D105" s="12" t="n"/>
      <c r="E105" s="12" t="n"/>
      <c r="F105" s="12" t="n"/>
      <c r="G105" s="12" t="n"/>
      <c r="H105" s="12" t="n"/>
      <c r="I105" s="12" t="n"/>
      <c r="J105" s="12" t="inlineStr">
        <is>
          <t>GW</t>
        </is>
      </c>
      <c r="K105" s="12" t="n"/>
      <c r="L105" s="12" t="n"/>
      <c r="M105" s="12" t="n"/>
      <c r="N105" s="12" t="n"/>
      <c r="O105" s="12" t="n"/>
      <c r="P105" s="12" t="n"/>
      <c r="Q105" s="12" t="n"/>
      <c r="R105" s="12" t="inlineStr">
        <is>
          <t>MKD</t>
        </is>
      </c>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row>
    <row r="106" customFormat="1" s="13">
      <c r="A106" s="11" t="inlineStr">
        <is>
          <t>#</t>
        </is>
      </c>
      <c r="B106" s="19" t="n"/>
      <c r="C106" s="12" t="n"/>
      <c r="D106" s="12" t="n"/>
      <c r="E106" s="12" t="n"/>
      <c r="F106" s="12" t="n"/>
      <c r="G106" s="12" t="n"/>
      <c r="H106" s="12" t="n"/>
      <c r="I106" s="12" t="n"/>
      <c r="J106" s="12" t="inlineStr">
        <is>
          <t>GY</t>
        </is>
      </c>
      <c r="K106" s="12" t="n"/>
      <c r="L106" s="12" t="n"/>
      <c r="M106" s="12" t="n"/>
      <c r="N106" s="12" t="n"/>
      <c r="O106" s="12" t="n"/>
      <c r="P106" s="12" t="n"/>
      <c r="Q106" s="12" t="n"/>
      <c r="R106" s="12" t="inlineStr">
        <is>
          <t>MMK</t>
        </is>
      </c>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row>
    <row r="107" customFormat="1" s="13">
      <c r="A107" s="11" t="inlineStr">
        <is>
          <t>#</t>
        </is>
      </c>
      <c r="B107" s="19" t="n"/>
      <c r="C107" s="12" t="n"/>
      <c r="D107" s="12" t="n"/>
      <c r="E107" s="12" t="n"/>
      <c r="F107" s="12" t="n"/>
      <c r="G107" s="12" t="n"/>
      <c r="H107" s="12" t="n"/>
      <c r="I107" s="12" t="n"/>
      <c r="J107" s="12" t="inlineStr">
        <is>
          <t>HK</t>
        </is>
      </c>
      <c r="K107" s="12" t="n"/>
      <c r="L107" s="12" t="n"/>
      <c r="M107" s="12" t="n"/>
      <c r="N107" s="12" t="n"/>
      <c r="O107" s="12" t="n"/>
      <c r="P107" s="12" t="n"/>
      <c r="Q107" s="12" t="n"/>
      <c r="R107" s="12" t="inlineStr">
        <is>
          <t>MNT</t>
        </is>
      </c>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row>
    <row r="108" customFormat="1" s="13">
      <c r="A108" s="11" t="inlineStr">
        <is>
          <t>#</t>
        </is>
      </c>
      <c r="B108" s="19" t="n"/>
      <c r="C108" s="12" t="n"/>
      <c r="D108" s="12" t="n"/>
      <c r="E108" s="12" t="n"/>
      <c r="F108" s="12" t="n"/>
      <c r="G108" s="12" t="n"/>
      <c r="H108" s="12" t="n"/>
      <c r="I108" s="12" t="n"/>
      <c r="J108" s="12" t="inlineStr">
        <is>
          <t>HM</t>
        </is>
      </c>
      <c r="K108" s="12" t="n"/>
      <c r="L108" s="12" t="n"/>
      <c r="M108" s="12" t="n"/>
      <c r="N108" s="12" t="n"/>
      <c r="O108" s="12" t="n"/>
      <c r="P108" s="12" t="n"/>
      <c r="Q108" s="12" t="n"/>
      <c r="R108" s="12" t="inlineStr">
        <is>
          <t>MOP</t>
        </is>
      </c>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row>
    <row r="109" customFormat="1" s="13">
      <c r="A109" s="11" t="inlineStr">
        <is>
          <t>#</t>
        </is>
      </c>
      <c r="B109" s="19" t="n"/>
      <c r="C109" s="12" t="n"/>
      <c r="D109" s="12" t="n"/>
      <c r="E109" s="12" t="n"/>
      <c r="F109" s="12" t="n"/>
      <c r="G109" s="12" t="n"/>
      <c r="H109" s="12" t="n"/>
      <c r="I109" s="12" t="n"/>
      <c r="J109" s="12" t="inlineStr">
        <is>
          <t>HN</t>
        </is>
      </c>
      <c r="K109" s="12" t="n"/>
      <c r="L109" s="12" t="n"/>
      <c r="M109" s="12" t="n"/>
      <c r="N109" s="12" t="n"/>
      <c r="O109" s="12" t="n"/>
      <c r="P109" s="12" t="n"/>
      <c r="Q109" s="12" t="n"/>
      <c r="R109" s="12" t="inlineStr">
        <is>
          <t>MRU</t>
        </is>
      </c>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row>
    <row r="110" customFormat="1" s="13">
      <c r="A110" s="11" t="inlineStr">
        <is>
          <t>#</t>
        </is>
      </c>
      <c r="B110" s="19" t="n"/>
      <c r="C110" s="12" t="n"/>
      <c r="D110" s="12" t="n"/>
      <c r="E110" s="12" t="n"/>
      <c r="F110" s="12" t="n"/>
      <c r="G110" s="12" t="n"/>
      <c r="H110" s="12" t="n"/>
      <c r="I110" s="12" t="n"/>
      <c r="J110" s="12" t="inlineStr">
        <is>
          <t>HR</t>
        </is>
      </c>
      <c r="K110" s="12" t="n"/>
      <c r="L110" s="12" t="n"/>
      <c r="M110" s="12" t="n"/>
      <c r="N110" s="12" t="n"/>
      <c r="O110" s="12" t="n"/>
      <c r="P110" s="12" t="n"/>
      <c r="Q110" s="12" t="n"/>
      <c r="R110" s="12" t="inlineStr">
        <is>
          <t>MUR</t>
        </is>
      </c>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row>
    <row r="111" customFormat="1" s="13">
      <c r="A111" s="11" t="inlineStr">
        <is>
          <t>#</t>
        </is>
      </c>
      <c r="B111" s="19" t="n"/>
      <c r="C111" s="12" t="n"/>
      <c r="D111" s="12" t="n"/>
      <c r="E111" s="12" t="n"/>
      <c r="F111" s="12" t="n"/>
      <c r="G111" s="12" t="n"/>
      <c r="H111" s="12" t="n"/>
      <c r="I111" s="12" t="n"/>
      <c r="J111" s="12" t="inlineStr">
        <is>
          <t>HT</t>
        </is>
      </c>
      <c r="K111" s="12" t="n"/>
      <c r="L111" s="12" t="n"/>
      <c r="M111" s="12" t="n"/>
      <c r="N111" s="12" t="n"/>
      <c r="O111" s="12" t="n"/>
      <c r="P111" s="12" t="n"/>
      <c r="Q111" s="12" t="n"/>
      <c r="R111" s="12" t="inlineStr">
        <is>
          <t>MVR</t>
        </is>
      </c>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row>
    <row r="112" customFormat="1" s="13">
      <c r="A112" s="11" t="inlineStr">
        <is>
          <t>#</t>
        </is>
      </c>
      <c r="B112" s="19" t="n"/>
      <c r="C112" s="12" t="n"/>
      <c r="D112" s="12" t="n"/>
      <c r="E112" s="12" t="n"/>
      <c r="F112" s="12" t="n"/>
      <c r="G112" s="12" t="n"/>
      <c r="H112" s="12" t="n"/>
      <c r="I112" s="12" t="n"/>
      <c r="J112" s="12" t="inlineStr">
        <is>
          <t>HU</t>
        </is>
      </c>
      <c r="K112" s="12" t="n"/>
      <c r="L112" s="12" t="n"/>
      <c r="M112" s="12" t="n"/>
      <c r="N112" s="12" t="n"/>
      <c r="O112" s="12" t="n"/>
      <c r="P112" s="12" t="n"/>
      <c r="Q112" s="12" t="n"/>
      <c r="R112" s="12" t="inlineStr">
        <is>
          <t>MWK</t>
        </is>
      </c>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row>
    <row r="113" customFormat="1" s="13">
      <c r="A113" s="11" t="inlineStr">
        <is>
          <t>#</t>
        </is>
      </c>
      <c r="B113" s="19" t="n"/>
      <c r="C113" s="12" t="n"/>
      <c r="D113" s="12" t="n"/>
      <c r="E113" s="12" t="n"/>
      <c r="F113" s="12" t="n"/>
      <c r="G113" s="12" t="n"/>
      <c r="H113" s="12" t="n"/>
      <c r="I113" s="12" t="n"/>
      <c r="J113" s="12" t="inlineStr">
        <is>
          <t>ID</t>
        </is>
      </c>
      <c r="K113" s="12" t="n"/>
      <c r="L113" s="12" t="n"/>
      <c r="M113" s="12" t="n"/>
      <c r="N113" s="12" t="n"/>
      <c r="O113" s="12" t="n"/>
      <c r="P113" s="12" t="n"/>
      <c r="Q113" s="12" t="n"/>
      <c r="R113" s="12" t="inlineStr">
        <is>
          <t>MXN</t>
        </is>
      </c>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row>
    <row r="114" customFormat="1" s="13">
      <c r="A114" s="11" t="inlineStr">
        <is>
          <t>#</t>
        </is>
      </c>
      <c r="B114" s="19" t="n"/>
      <c r="C114" s="12" t="n"/>
      <c r="D114" s="12" t="n"/>
      <c r="E114" s="12" t="n"/>
      <c r="F114" s="12" t="n"/>
      <c r="G114" s="12" t="n"/>
      <c r="H114" s="12" t="n"/>
      <c r="I114" s="12" t="n"/>
      <c r="J114" s="12" t="inlineStr">
        <is>
          <t>IE</t>
        </is>
      </c>
      <c r="K114" s="12" t="n"/>
      <c r="L114" s="12" t="n"/>
      <c r="M114" s="12" t="n"/>
      <c r="N114" s="12" t="n"/>
      <c r="O114" s="12" t="n"/>
      <c r="P114" s="12" t="n"/>
      <c r="Q114" s="12" t="n"/>
      <c r="R114" s="12" t="inlineStr">
        <is>
          <t>MXV</t>
        </is>
      </c>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row>
    <row r="115" customFormat="1" s="13">
      <c r="A115" s="11" t="inlineStr">
        <is>
          <t>#</t>
        </is>
      </c>
      <c r="B115" s="19" t="n"/>
      <c r="C115" s="12" t="n"/>
      <c r="D115" s="12" t="n"/>
      <c r="E115" s="12" t="n"/>
      <c r="F115" s="12" t="n"/>
      <c r="G115" s="12" t="n"/>
      <c r="H115" s="12" t="n"/>
      <c r="I115" s="12" t="n"/>
      <c r="J115" s="12" t="inlineStr">
        <is>
          <t>IL</t>
        </is>
      </c>
      <c r="K115" s="12" t="n"/>
      <c r="L115" s="12" t="n"/>
      <c r="M115" s="12" t="n"/>
      <c r="N115" s="12" t="n"/>
      <c r="O115" s="12" t="n"/>
      <c r="P115" s="12" t="n"/>
      <c r="Q115" s="12" t="n"/>
      <c r="R115" s="12" t="inlineStr">
        <is>
          <t>MYR</t>
        </is>
      </c>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row>
    <row r="116" customFormat="1" s="13">
      <c r="A116" s="11" t="inlineStr">
        <is>
          <t>#</t>
        </is>
      </c>
      <c r="B116" s="19" t="n"/>
      <c r="C116" s="12" t="n"/>
      <c r="D116" s="12" t="n"/>
      <c r="E116" s="12" t="n"/>
      <c r="F116" s="12" t="n"/>
      <c r="G116" s="12" t="n"/>
      <c r="H116" s="12" t="n"/>
      <c r="I116" s="12" t="n"/>
      <c r="J116" s="12" t="inlineStr">
        <is>
          <t>IM</t>
        </is>
      </c>
      <c r="K116" s="12" t="n"/>
      <c r="L116" s="12" t="n"/>
      <c r="M116" s="12" t="n"/>
      <c r="N116" s="12" t="n"/>
      <c r="O116" s="12" t="n"/>
      <c r="P116" s="12" t="n"/>
      <c r="Q116" s="12" t="n"/>
      <c r="R116" s="12" t="inlineStr">
        <is>
          <t>MZN</t>
        </is>
      </c>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row>
    <row r="117" customFormat="1" s="13">
      <c r="A117" s="11" t="inlineStr">
        <is>
          <t>#</t>
        </is>
      </c>
      <c r="B117" s="19" t="n"/>
      <c r="C117" s="12" t="n"/>
      <c r="D117" s="12" t="n"/>
      <c r="E117" s="12" t="n"/>
      <c r="F117" s="12" t="n"/>
      <c r="G117" s="12" t="n"/>
      <c r="H117" s="12" t="n"/>
      <c r="I117" s="12" t="n"/>
      <c r="J117" s="12" t="inlineStr">
        <is>
          <t>IN</t>
        </is>
      </c>
      <c r="K117" s="12" t="n"/>
      <c r="L117" s="12" t="n"/>
      <c r="M117" s="12" t="n"/>
      <c r="N117" s="12" t="n"/>
      <c r="O117" s="12" t="n"/>
      <c r="P117" s="12" t="n"/>
      <c r="Q117" s="12" t="n"/>
      <c r="R117" s="12" t="inlineStr">
        <is>
          <t>NAD</t>
        </is>
      </c>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row>
    <row r="118" customFormat="1" s="13">
      <c r="A118" s="11" t="inlineStr">
        <is>
          <t>#</t>
        </is>
      </c>
      <c r="B118" s="19" t="n"/>
      <c r="C118" s="12" t="n"/>
      <c r="D118" s="12" t="n"/>
      <c r="E118" s="12" t="n"/>
      <c r="F118" s="12" t="n"/>
      <c r="G118" s="12" t="n"/>
      <c r="H118" s="12" t="n"/>
      <c r="I118" s="12" t="n"/>
      <c r="J118" s="12" t="inlineStr">
        <is>
          <t>IO</t>
        </is>
      </c>
      <c r="K118" s="12" t="n"/>
      <c r="L118" s="12" t="n"/>
      <c r="M118" s="12" t="n"/>
      <c r="N118" s="12" t="n"/>
      <c r="O118" s="12" t="n"/>
      <c r="P118" s="12" t="n"/>
      <c r="Q118" s="12" t="n"/>
      <c r="R118" s="12" t="inlineStr">
        <is>
          <t>NGN</t>
        </is>
      </c>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row>
    <row r="119" customFormat="1" s="13">
      <c r="A119" s="11" t="inlineStr">
        <is>
          <t>#</t>
        </is>
      </c>
      <c r="B119" s="19" t="n"/>
      <c r="C119" s="12" t="n"/>
      <c r="D119" s="12" t="n"/>
      <c r="E119" s="12" t="n"/>
      <c r="F119" s="12" t="n"/>
      <c r="G119" s="12" t="n"/>
      <c r="H119" s="12" t="n"/>
      <c r="I119" s="12" t="n"/>
      <c r="J119" s="12" t="inlineStr">
        <is>
          <t>IQ</t>
        </is>
      </c>
      <c r="K119" s="12" t="n"/>
      <c r="L119" s="12" t="n"/>
      <c r="M119" s="12" t="n"/>
      <c r="N119" s="12" t="n"/>
      <c r="O119" s="12" t="n"/>
      <c r="P119" s="12" t="n"/>
      <c r="Q119" s="12" t="n"/>
      <c r="R119" s="12" t="inlineStr">
        <is>
          <t>NIO</t>
        </is>
      </c>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row>
    <row r="120" customFormat="1" s="13">
      <c r="A120" s="11" t="inlineStr">
        <is>
          <t>#</t>
        </is>
      </c>
      <c r="B120" s="19" t="n"/>
      <c r="C120" s="12" t="n"/>
      <c r="D120" s="12" t="n"/>
      <c r="E120" s="12" t="n"/>
      <c r="F120" s="12" t="n"/>
      <c r="G120" s="12" t="n"/>
      <c r="H120" s="12" t="n"/>
      <c r="I120" s="12" t="n"/>
      <c r="J120" s="12" t="inlineStr">
        <is>
          <t>IR</t>
        </is>
      </c>
      <c r="K120" s="12" t="n"/>
      <c r="L120" s="12" t="n"/>
      <c r="M120" s="12" t="n"/>
      <c r="N120" s="12" t="n"/>
      <c r="O120" s="12" t="n"/>
      <c r="P120" s="12" t="n"/>
      <c r="Q120" s="12" t="n"/>
      <c r="R120" s="12" t="inlineStr">
        <is>
          <t>NOK</t>
        </is>
      </c>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row>
    <row r="121" customFormat="1" s="13">
      <c r="A121" s="11" t="inlineStr">
        <is>
          <t>#</t>
        </is>
      </c>
      <c r="B121" s="19" t="n"/>
      <c r="C121" s="12" t="n"/>
      <c r="D121" s="12" t="n"/>
      <c r="E121" s="12" t="n"/>
      <c r="F121" s="12" t="n"/>
      <c r="G121" s="12" t="n"/>
      <c r="H121" s="12" t="n"/>
      <c r="I121" s="12" t="n"/>
      <c r="J121" s="12" t="inlineStr">
        <is>
          <t>IS</t>
        </is>
      </c>
      <c r="K121" s="12" t="n"/>
      <c r="L121" s="12" t="n"/>
      <c r="M121" s="12" t="n"/>
      <c r="N121" s="12" t="n"/>
      <c r="O121" s="12" t="n"/>
      <c r="P121" s="12" t="n"/>
      <c r="Q121" s="12" t="n"/>
      <c r="R121" s="12" t="inlineStr">
        <is>
          <t>NPR</t>
        </is>
      </c>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row>
    <row r="122" customFormat="1" s="13">
      <c r="A122" s="11" t="inlineStr">
        <is>
          <t>#</t>
        </is>
      </c>
      <c r="B122" s="19" t="n"/>
      <c r="C122" s="12" t="n"/>
      <c r="D122" s="12" t="n"/>
      <c r="E122" s="12" t="n"/>
      <c r="F122" s="12" t="n"/>
      <c r="G122" s="12" t="n"/>
      <c r="H122" s="12" t="n"/>
      <c r="I122" s="12" t="n"/>
      <c r="J122" s="12" t="inlineStr">
        <is>
          <t>IT</t>
        </is>
      </c>
      <c r="K122" s="12" t="n"/>
      <c r="L122" s="12" t="n"/>
      <c r="M122" s="12" t="n"/>
      <c r="N122" s="12" t="n"/>
      <c r="O122" s="12" t="n"/>
      <c r="P122" s="12" t="n"/>
      <c r="Q122" s="12" t="n"/>
      <c r="R122" s="12" t="inlineStr">
        <is>
          <t>NZD</t>
        </is>
      </c>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row>
    <row r="123" customFormat="1" s="13">
      <c r="A123" s="11" t="inlineStr">
        <is>
          <t>#</t>
        </is>
      </c>
      <c r="B123" s="19" t="n"/>
      <c r="C123" s="12" t="n"/>
      <c r="D123" s="12" t="n"/>
      <c r="E123" s="12" t="n"/>
      <c r="F123" s="12" t="n"/>
      <c r="G123" s="12" t="n"/>
      <c r="H123" s="12" t="n"/>
      <c r="I123" s="12" t="n"/>
      <c r="J123" s="12" t="inlineStr">
        <is>
          <t>JE</t>
        </is>
      </c>
      <c r="K123" s="12" t="n"/>
      <c r="L123" s="12" t="n"/>
      <c r="M123" s="12" t="n"/>
      <c r="N123" s="12" t="n"/>
      <c r="O123" s="12" t="n"/>
      <c r="P123" s="12" t="n"/>
      <c r="Q123" s="12" t="n"/>
      <c r="R123" s="12" t="inlineStr">
        <is>
          <t>OMR</t>
        </is>
      </c>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row>
    <row r="124" customFormat="1" s="13">
      <c r="A124" s="11" t="inlineStr">
        <is>
          <t>#</t>
        </is>
      </c>
      <c r="B124" s="19" t="n"/>
      <c r="C124" s="12" t="n"/>
      <c r="D124" s="12" t="n"/>
      <c r="E124" s="12" t="n"/>
      <c r="F124" s="12" t="n"/>
      <c r="G124" s="12" t="n"/>
      <c r="H124" s="12" t="n"/>
      <c r="I124" s="12" t="n"/>
      <c r="J124" s="12" t="inlineStr">
        <is>
          <t>JM</t>
        </is>
      </c>
      <c r="K124" s="12" t="n"/>
      <c r="L124" s="12" t="n"/>
      <c r="M124" s="12" t="n"/>
      <c r="N124" s="12" t="n"/>
      <c r="O124" s="12" t="n"/>
      <c r="P124" s="12" t="n"/>
      <c r="Q124" s="12" t="n"/>
      <c r="R124" s="12" t="inlineStr">
        <is>
          <t>PAB</t>
        </is>
      </c>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row>
    <row r="125" customFormat="1" s="13">
      <c r="A125" s="11" t="inlineStr">
        <is>
          <t>#</t>
        </is>
      </c>
      <c r="B125" s="19" t="n"/>
      <c r="C125" s="12" t="n"/>
      <c r="D125" s="12" t="n"/>
      <c r="E125" s="12" t="n"/>
      <c r="F125" s="12" t="n"/>
      <c r="G125" s="12" t="n"/>
      <c r="H125" s="12" t="n"/>
      <c r="I125" s="12" t="n"/>
      <c r="J125" s="12" t="inlineStr">
        <is>
          <t>JO</t>
        </is>
      </c>
      <c r="K125" s="12" t="n"/>
      <c r="L125" s="12" t="n"/>
      <c r="M125" s="12" t="n"/>
      <c r="N125" s="12" t="n"/>
      <c r="O125" s="12" t="n"/>
      <c r="P125" s="12" t="n"/>
      <c r="Q125" s="12" t="n"/>
      <c r="R125" s="12" t="inlineStr">
        <is>
          <t>PEN</t>
        </is>
      </c>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row>
    <row r="126" customFormat="1" s="13">
      <c r="A126" s="11" t="inlineStr">
        <is>
          <t>#</t>
        </is>
      </c>
      <c r="B126" s="19" t="n"/>
      <c r="C126" s="12" t="n"/>
      <c r="D126" s="12" t="n"/>
      <c r="E126" s="12" t="n"/>
      <c r="F126" s="12" t="n"/>
      <c r="G126" s="12" t="n"/>
      <c r="H126" s="12" t="n"/>
      <c r="I126" s="12" t="n"/>
      <c r="J126" s="12" t="inlineStr">
        <is>
          <t>JP</t>
        </is>
      </c>
      <c r="K126" s="12" t="n"/>
      <c r="L126" s="12" t="n"/>
      <c r="M126" s="12" t="n"/>
      <c r="N126" s="12" t="n"/>
      <c r="O126" s="12" t="n"/>
      <c r="P126" s="12" t="n"/>
      <c r="Q126" s="12" t="n"/>
      <c r="R126" s="12" t="inlineStr">
        <is>
          <t>PGK</t>
        </is>
      </c>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row>
    <row r="127" customFormat="1" s="13">
      <c r="A127" s="11" t="inlineStr">
        <is>
          <t>#</t>
        </is>
      </c>
      <c r="B127" s="19" t="n"/>
      <c r="C127" s="12" t="n"/>
      <c r="D127" s="12" t="n"/>
      <c r="E127" s="12" t="n"/>
      <c r="F127" s="12" t="n"/>
      <c r="G127" s="12" t="n"/>
      <c r="H127" s="12" t="n"/>
      <c r="I127" s="12" t="n"/>
      <c r="J127" s="12" t="inlineStr">
        <is>
          <t>KE</t>
        </is>
      </c>
      <c r="K127" s="12" t="n"/>
      <c r="L127" s="12" t="n"/>
      <c r="M127" s="12" t="n"/>
      <c r="N127" s="12" t="n"/>
      <c r="O127" s="12" t="n"/>
      <c r="P127" s="12" t="n"/>
      <c r="Q127" s="12" t="n"/>
      <c r="R127" s="12" t="inlineStr">
        <is>
          <t>PHP</t>
        </is>
      </c>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row>
    <row r="128" customFormat="1" s="13">
      <c r="A128" s="11" t="inlineStr">
        <is>
          <t>#</t>
        </is>
      </c>
      <c r="B128" s="19" t="n"/>
      <c r="C128" s="12" t="n"/>
      <c r="D128" s="12" t="n"/>
      <c r="E128" s="12" t="n"/>
      <c r="F128" s="12" t="n"/>
      <c r="G128" s="12" t="n"/>
      <c r="H128" s="12" t="n"/>
      <c r="I128" s="12" t="n"/>
      <c r="J128" s="12" t="inlineStr">
        <is>
          <t>KG</t>
        </is>
      </c>
      <c r="K128" s="12" t="n"/>
      <c r="L128" s="12" t="n"/>
      <c r="M128" s="12" t="n"/>
      <c r="N128" s="12" t="n"/>
      <c r="O128" s="12" t="n"/>
      <c r="P128" s="12" t="n"/>
      <c r="Q128" s="12" t="n"/>
      <c r="R128" s="12" t="inlineStr">
        <is>
          <t>PKR</t>
        </is>
      </c>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row>
    <row r="129" customFormat="1" s="13">
      <c r="A129" s="11" t="inlineStr">
        <is>
          <t>#</t>
        </is>
      </c>
      <c r="B129" s="19" t="n"/>
      <c r="C129" s="12" t="n"/>
      <c r="D129" s="12" t="n"/>
      <c r="E129" s="12" t="n"/>
      <c r="F129" s="12" t="n"/>
      <c r="G129" s="12" t="n"/>
      <c r="H129" s="12" t="n"/>
      <c r="I129" s="12" t="n"/>
      <c r="J129" s="12" t="inlineStr">
        <is>
          <t>KH</t>
        </is>
      </c>
      <c r="K129" s="12" t="n"/>
      <c r="L129" s="12" t="n"/>
      <c r="M129" s="12" t="n"/>
      <c r="N129" s="12" t="n"/>
      <c r="O129" s="12" t="n"/>
      <c r="P129" s="12" t="n"/>
      <c r="Q129" s="12" t="n"/>
      <c r="R129" s="12" t="inlineStr">
        <is>
          <t>PLN</t>
        </is>
      </c>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row>
    <row r="130" customFormat="1" s="13">
      <c r="A130" s="11" t="inlineStr">
        <is>
          <t>#</t>
        </is>
      </c>
      <c r="B130" s="19" t="n"/>
      <c r="C130" s="12" t="n"/>
      <c r="D130" s="12" t="n"/>
      <c r="E130" s="12" t="n"/>
      <c r="F130" s="12" t="n"/>
      <c r="G130" s="12" t="n"/>
      <c r="H130" s="12" t="n"/>
      <c r="I130" s="12" t="n"/>
      <c r="J130" s="12" t="inlineStr">
        <is>
          <t>KI</t>
        </is>
      </c>
      <c r="K130" s="12" t="n"/>
      <c r="L130" s="12" t="n"/>
      <c r="M130" s="12" t="n"/>
      <c r="N130" s="12" t="n"/>
      <c r="O130" s="12" t="n"/>
      <c r="P130" s="12" t="n"/>
      <c r="Q130" s="12" t="n"/>
      <c r="R130" s="12" t="inlineStr">
        <is>
          <t>PYG</t>
        </is>
      </c>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row>
    <row r="131" customFormat="1" s="13">
      <c r="A131" s="11" t="inlineStr">
        <is>
          <t>#</t>
        </is>
      </c>
      <c r="B131" s="19" t="n"/>
      <c r="C131" s="12" t="n"/>
      <c r="D131" s="12" t="n"/>
      <c r="E131" s="12" t="n"/>
      <c r="F131" s="12" t="n"/>
      <c r="G131" s="12" t="n"/>
      <c r="H131" s="12" t="n"/>
      <c r="I131" s="12" t="n"/>
      <c r="J131" s="12" t="inlineStr">
        <is>
          <t>KM</t>
        </is>
      </c>
      <c r="K131" s="12" t="n"/>
      <c r="L131" s="12" t="n"/>
      <c r="M131" s="12" t="n"/>
      <c r="N131" s="12" t="n"/>
      <c r="O131" s="12" t="n"/>
      <c r="P131" s="12" t="n"/>
      <c r="Q131" s="12" t="n"/>
      <c r="R131" s="12" t="inlineStr">
        <is>
          <t>QAR</t>
        </is>
      </c>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row>
    <row r="132" customFormat="1" s="13">
      <c r="A132" s="11" t="inlineStr">
        <is>
          <t>#</t>
        </is>
      </c>
      <c r="B132" s="19" t="n"/>
      <c r="C132" s="12" t="n"/>
      <c r="D132" s="12" t="n"/>
      <c r="E132" s="12" t="n"/>
      <c r="F132" s="12" t="n"/>
      <c r="G132" s="12" t="n"/>
      <c r="H132" s="12" t="n"/>
      <c r="I132" s="12" t="n"/>
      <c r="J132" s="12" t="inlineStr">
        <is>
          <t>KN</t>
        </is>
      </c>
      <c r="K132" s="12" t="n"/>
      <c r="L132" s="12" t="n"/>
      <c r="M132" s="12" t="n"/>
      <c r="N132" s="12" t="n"/>
      <c r="O132" s="12" t="n"/>
      <c r="P132" s="12" t="n"/>
      <c r="Q132" s="12" t="n"/>
      <c r="R132" s="12" t="inlineStr">
        <is>
          <t>RON</t>
        </is>
      </c>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row>
    <row r="133" customFormat="1" s="13">
      <c r="A133" s="11" t="inlineStr">
        <is>
          <t>#</t>
        </is>
      </c>
      <c r="B133" s="19" t="n"/>
      <c r="C133" s="12" t="n"/>
      <c r="D133" s="12" t="n"/>
      <c r="E133" s="12" t="n"/>
      <c r="F133" s="12" t="n"/>
      <c r="G133" s="12" t="n"/>
      <c r="H133" s="12" t="n"/>
      <c r="I133" s="12" t="n"/>
      <c r="J133" s="12" t="inlineStr">
        <is>
          <t>KP</t>
        </is>
      </c>
      <c r="K133" s="12" t="n"/>
      <c r="L133" s="12" t="n"/>
      <c r="M133" s="12" t="n"/>
      <c r="N133" s="12" t="n"/>
      <c r="O133" s="12" t="n"/>
      <c r="P133" s="12" t="n"/>
      <c r="Q133" s="12" t="n"/>
      <c r="R133" s="12" t="inlineStr">
        <is>
          <t>RSD</t>
        </is>
      </c>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row>
    <row r="134" customFormat="1" s="13">
      <c r="A134" s="11" t="inlineStr">
        <is>
          <t>#</t>
        </is>
      </c>
      <c r="B134" s="19" t="n"/>
      <c r="C134" s="12" t="n"/>
      <c r="D134" s="12" t="n"/>
      <c r="E134" s="12" t="n"/>
      <c r="F134" s="12" t="n"/>
      <c r="G134" s="12" t="n"/>
      <c r="H134" s="12" t="n"/>
      <c r="I134" s="12" t="n"/>
      <c r="J134" s="12" t="inlineStr">
        <is>
          <t>KR</t>
        </is>
      </c>
      <c r="K134" s="12" t="n"/>
      <c r="L134" s="12" t="n"/>
      <c r="M134" s="12" t="n"/>
      <c r="N134" s="12" t="n"/>
      <c r="O134" s="12" t="n"/>
      <c r="P134" s="12" t="n"/>
      <c r="Q134" s="12" t="n"/>
      <c r="R134" s="12" t="inlineStr">
        <is>
          <t>RUB</t>
        </is>
      </c>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row>
    <row r="135" customFormat="1" s="13">
      <c r="A135" s="11" t="inlineStr">
        <is>
          <t>#</t>
        </is>
      </c>
      <c r="B135" s="19" t="n"/>
      <c r="C135" s="12" t="n"/>
      <c r="D135" s="12" t="n"/>
      <c r="E135" s="12" t="n"/>
      <c r="F135" s="12" t="n"/>
      <c r="G135" s="12" t="n"/>
      <c r="H135" s="12" t="n"/>
      <c r="I135" s="12" t="n"/>
      <c r="J135" s="12" t="inlineStr">
        <is>
          <t>KW</t>
        </is>
      </c>
      <c r="K135" s="12" t="n"/>
      <c r="L135" s="12" t="n"/>
      <c r="M135" s="12" t="n"/>
      <c r="N135" s="12" t="n"/>
      <c r="O135" s="12" t="n"/>
      <c r="P135" s="12" t="n"/>
      <c r="Q135" s="12" t="n"/>
      <c r="R135" s="12" t="inlineStr">
        <is>
          <t>RWF</t>
        </is>
      </c>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row>
    <row r="136" customFormat="1" s="13">
      <c r="A136" s="11" t="inlineStr">
        <is>
          <t>#</t>
        </is>
      </c>
      <c r="B136" s="19" t="n"/>
      <c r="C136" s="12" t="n"/>
      <c r="D136" s="12" t="n"/>
      <c r="E136" s="12" t="n"/>
      <c r="F136" s="12" t="n"/>
      <c r="G136" s="12" t="n"/>
      <c r="H136" s="12" t="n"/>
      <c r="I136" s="12" t="n"/>
      <c r="J136" s="12" t="inlineStr">
        <is>
          <t>KY</t>
        </is>
      </c>
      <c r="K136" s="12" t="n"/>
      <c r="L136" s="12" t="n"/>
      <c r="M136" s="12" t="n"/>
      <c r="N136" s="12" t="n"/>
      <c r="O136" s="12" t="n"/>
      <c r="P136" s="12" t="n"/>
      <c r="Q136" s="12" t="n"/>
      <c r="R136" s="12" t="inlineStr">
        <is>
          <t>SAR</t>
        </is>
      </c>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row>
    <row r="137" customFormat="1" s="13">
      <c r="A137" s="11" t="inlineStr">
        <is>
          <t>#</t>
        </is>
      </c>
      <c r="B137" s="19" t="n"/>
      <c r="C137" s="12" t="n"/>
      <c r="D137" s="12" t="n"/>
      <c r="E137" s="12" t="n"/>
      <c r="F137" s="12" t="n"/>
      <c r="G137" s="12" t="n"/>
      <c r="H137" s="12" t="n"/>
      <c r="I137" s="12" t="n"/>
      <c r="J137" s="12" t="inlineStr">
        <is>
          <t>KZ</t>
        </is>
      </c>
      <c r="K137" s="12" t="n"/>
      <c r="L137" s="12" t="n"/>
      <c r="M137" s="12" t="n"/>
      <c r="N137" s="12" t="n"/>
      <c r="O137" s="12" t="n"/>
      <c r="P137" s="12" t="n"/>
      <c r="Q137" s="12" t="n"/>
      <c r="R137" s="12" t="inlineStr">
        <is>
          <t>SBD</t>
        </is>
      </c>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row>
    <row r="138" customFormat="1" s="13">
      <c r="A138" s="11" t="inlineStr">
        <is>
          <t>#</t>
        </is>
      </c>
      <c r="B138" s="19" t="n"/>
      <c r="C138" s="12" t="n"/>
      <c r="D138" s="12" t="n"/>
      <c r="E138" s="12" t="n"/>
      <c r="F138" s="12" t="n"/>
      <c r="G138" s="12" t="n"/>
      <c r="H138" s="12" t="n"/>
      <c r="I138" s="12" t="n"/>
      <c r="J138" s="12" t="inlineStr">
        <is>
          <t>LA</t>
        </is>
      </c>
      <c r="K138" s="12" t="n"/>
      <c r="L138" s="12" t="n"/>
      <c r="M138" s="12" t="n"/>
      <c r="N138" s="12" t="n"/>
      <c r="O138" s="12" t="n"/>
      <c r="P138" s="12" t="n"/>
      <c r="Q138" s="12" t="n"/>
      <c r="R138" s="12" t="inlineStr">
        <is>
          <t>SCR</t>
        </is>
      </c>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row>
    <row r="139" customFormat="1" s="13">
      <c r="A139" s="11" t="inlineStr">
        <is>
          <t>#</t>
        </is>
      </c>
      <c r="B139" s="19" t="n"/>
      <c r="C139" s="12" t="n"/>
      <c r="D139" s="12" t="n"/>
      <c r="E139" s="12" t="n"/>
      <c r="F139" s="12" t="n"/>
      <c r="G139" s="12" t="n"/>
      <c r="H139" s="12" t="n"/>
      <c r="I139" s="12" t="n"/>
      <c r="J139" s="12" t="inlineStr">
        <is>
          <t>LB</t>
        </is>
      </c>
      <c r="K139" s="12" t="n"/>
      <c r="L139" s="12" t="n"/>
      <c r="M139" s="12" t="n"/>
      <c r="N139" s="12" t="n"/>
      <c r="O139" s="12" t="n"/>
      <c r="P139" s="12" t="n"/>
      <c r="Q139" s="12" t="n"/>
      <c r="R139" s="12" t="inlineStr">
        <is>
          <t>SDG</t>
        </is>
      </c>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row>
    <row r="140" customFormat="1" s="13">
      <c r="A140" s="11" t="inlineStr">
        <is>
          <t>#</t>
        </is>
      </c>
      <c r="B140" s="19" t="n"/>
      <c r="C140" s="12" t="n"/>
      <c r="D140" s="12" t="n"/>
      <c r="E140" s="12" t="n"/>
      <c r="F140" s="12" t="n"/>
      <c r="G140" s="12" t="n"/>
      <c r="H140" s="12" t="n"/>
      <c r="I140" s="12" t="n"/>
      <c r="J140" s="12" t="inlineStr">
        <is>
          <t>LC</t>
        </is>
      </c>
      <c r="K140" s="12" t="n"/>
      <c r="L140" s="12" t="n"/>
      <c r="M140" s="12" t="n"/>
      <c r="N140" s="12" t="n"/>
      <c r="O140" s="12" t="n"/>
      <c r="P140" s="12" t="n"/>
      <c r="Q140" s="12" t="n"/>
      <c r="R140" s="12" t="inlineStr">
        <is>
          <t>SEK</t>
        </is>
      </c>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row>
    <row r="141" customFormat="1" s="13">
      <c r="A141" s="11" t="inlineStr">
        <is>
          <t>#</t>
        </is>
      </c>
      <c r="B141" s="19" t="n"/>
      <c r="C141" s="12" t="n"/>
      <c r="D141" s="12" t="n"/>
      <c r="E141" s="12" t="n"/>
      <c r="F141" s="12" t="n"/>
      <c r="G141" s="12" t="n"/>
      <c r="H141" s="12" t="n"/>
      <c r="I141" s="12" t="n"/>
      <c r="J141" s="12" t="inlineStr">
        <is>
          <t>LI</t>
        </is>
      </c>
      <c r="K141" s="12" t="n"/>
      <c r="L141" s="12" t="n"/>
      <c r="M141" s="12" t="n"/>
      <c r="N141" s="12" t="n"/>
      <c r="O141" s="12" t="n"/>
      <c r="P141" s="12" t="n"/>
      <c r="Q141" s="12" t="n"/>
      <c r="R141" s="12" t="inlineStr">
        <is>
          <t>SGD</t>
        </is>
      </c>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row>
    <row r="142" customFormat="1" s="13">
      <c r="A142" s="11" t="inlineStr">
        <is>
          <t>#</t>
        </is>
      </c>
      <c r="B142" s="19" t="n"/>
      <c r="C142" s="12" t="n"/>
      <c r="D142" s="12" t="n"/>
      <c r="E142" s="12" t="n"/>
      <c r="F142" s="12" t="n"/>
      <c r="G142" s="12" t="n"/>
      <c r="H142" s="12" t="n"/>
      <c r="I142" s="12" t="n"/>
      <c r="J142" s="12" t="inlineStr">
        <is>
          <t>LK</t>
        </is>
      </c>
      <c r="K142" s="12" t="n"/>
      <c r="L142" s="12" t="n"/>
      <c r="M142" s="12" t="n"/>
      <c r="N142" s="12" t="n"/>
      <c r="O142" s="12" t="n"/>
      <c r="P142" s="12" t="n"/>
      <c r="Q142" s="12" t="n"/>
      <c r="R142" s="12" t="inlineStr">
        <is>
          <t>SHP</t>
        </is>
      </c>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row>
    <row r="143" customFormat="1" s="13">
      <c r="A143" s="11" t="inlineStr">
        <is>
          <t>#</t>
        </is>
      </c>
      <c r="B143" s="19" t="n"/>
      <c r="C143" s="12" t="n"/>
      <c r="D143" s="12" t="n"/>
      <c r="E143" s="12" t="n"/>
      <c r="F143" s="12" t="n"/>
      <c r="G143" s="12" t="n"/>
      <c r="H143" s="12" t="n"/>
      <c r="I143" s="12" t="n"/>
      <c r="J143" s="12" t="inlineStr">
        <is>
          <t>LR</t>
        </is>
      </c>
      <c r="K143" s="12" t="n"/>
      <c r="L143" s="12" t="n"/>
      <c r="M143" s="12" t="n"/>
      <c r="N143" s="12" t="n"/>
      <c r="O143" s="12" t="n"/>
      <c r="P143" s="12" t="n"/>
      <c r="Q143" s="12" t="n"/>
      <c r="R143" s="12" t="inlineStr">
        <is>
          <t>SLL</t>
        </is>
      </c>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row>
    <row r="144" customFormat="1" s="13">
      <c r="A144" s="11" t="inlineStr">
        <is>
          <t>#</t>
        </is>
      </c>
      <c r="B144" s="19" t="n"/>
      <c r="C144" s="12" t="n"/>
      <c r="D144" s="12" t="n"/>
      <c r="E144" s="12" t="n"/>
      <c r="F144" s="12" t="n"/>
      <c r="G144" s="12" t="n"/>
      <c r="H144" s="12" t="n"/>
      <c r="I144" s="12" t="n"/>
      <c r="J144" s="12" t="inlineStr">
        <is>
          <t>LS</t>
        </is>
      </c>
      <c r="K144" s="12" t="n"/>
      <c r="L144" s="12" t="n"/>
      <c r="M144" s="12" t="n"/>
      <c r="N144" s="12" t="n"/>
      <c r="O144" s="12" t="n"/>
      <c r="P144" s="12" t="n"/>
      <c r="Q144" s="12" t="n"/>
      <c r="R144" s="12" t="inlineStr">
        <is>
          <t>SOS</t>
        </is>
      </c>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row>
    <row r="145" customFormat="1" s="13">
      <c r="A145" s="11" t="inlineStr">
        <is>
          <t>#</t>
        </is>
      </c>
      <c r="B145" s="19" t="n"/>
      <c r="C145" s="12" t="n"/>
      <c r="D145" s="12" t="n"/>
      <c r="E145" s="12" t="n"/>
      <c r="F145" s="12" t="n"/>
      <c r="G145" s="12" t="n"/>
      <c r="H145" s="12" t="n"/>
      <c r="I145" s="12" t="n"/>
      <c r="J145" s="12" t="inlineStr">
        <is>
          <t>LT</t>
        </is>
      </c>
      <c r="K145" s="12" t="n"/>
      <c r="L145" s="12" t="n"/>
      <c r="M145" s="12" t="n"/>
      <c r="N145" s="12" t="n"/>
      <c r="O145" s="12" t="n"/>
      <c r="P145" s="12" t="n"/>
      <c r="Q145" s="12" t="n"/>
      <c r="R145" s="12" t="inlineStr">
        <is>
          <t>SRD</t>
        </is>
      </c>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row>
    <row r="146" customFormat="1" s="13">
      <c r="A146" s="11" t="inlineStr">
        <is>
          <t>#</t>
        </is>
      </c>
      <c r="B146" s="19" t="n"/>
      <c r="C146" s="12" t="n"/>
      <c r="D146" s="12" t="n"/>
      <c r="E146" s="12" t="n"/>
      <c r="F146" s="12" t="n"/>
      <c r="G146" s="12" t="n"/>
      <c r="H146" s="12" t="n"/>
      <c r="I146" s="12" t="n"/>
      <c r="J146" s="12" t="inlineStr">
        <is>
          <t>LU</t>
        </is>
      </c>
      <c r="K146" s="12" t="n"/>
      <c r="L146" s="12" t="n"/>
      <c r="M146" s="12" t="n"/>
      <c r="N146" s="12" t="n"/>
      <c r="O146" s="12" t="n"/>
      <c r="P146" s="12" t="n"/>
      <c r="Q146" s="12" t="n"/>
      <c r="R146" s="12" t="inlineStr">
        <is>
          <t>SSP</t>
        </is>
      </c>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row>
    <row r="147" customFormat="1" s="13">
      <c r="A147" s="11" t="inlineStr">
        <is>
          <t>#</t>
        </is>
      </c>
      <c r="B147" s="19" t="n"/>
      <c r="C147" s="12" t="n"/>
      <c r="D147" s="12" t="n"/>
      <c r="E147" s="12" t="n"/>
      <c r="F147" s="12" t="n"/>
      <c r="G147" s="12" t="n"/>
      <c r="H147" s="12" t="n"/>
      <c r="I147" s="12" t="n"/>
      <c r="J147" s="12" t="inlineStr">
        <is>
          <t>LV</t>
        </is>
      </c>
      <c r="K147" s="12" t="n"/>
      <c r="L147" s="12" t="n"/>
      <c r="M147" s="12" t="n"/>
      <c r="N147" s="12" t="n"/>
      <c r="O147" s="12" t="n"/>
      <c r="P147" s="12" t="n"/>
      <c r="Q147" s="12" t="n"/>
      <c r="R147" s="12" t="inlineStr">
        <is>
          <t>STN</t>
        </is>
      </c>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row>
    <row r="148" customFormat="1" s="13">
      <c r="A148" s="11" t="inlineStr">
        <is>
          <t>#</t>
        </is>
      </c>
      <c r="B148" s="19" t="n"/>
      <c r="C148" s="12" t="n"/>
      <c r="D148" s="12" t="n"/>
      <c r="E148" s="12" t="n"/>
      <c r="F148" s="12" t="n"/>
      <c r="G148" s="12" t="n"/>
      <c r="H148" s="12" t="n"/>
      <c r="I148" s="12" t="n"/>
      <c r="J148" s="12" t="inlineStr">
        <is>
          <t>LY</t>
        </is>
      </c>
      <c r="K148" s="12" t="n"/>
      <c r="L148" s="12" t="n"/>
      <c r="M148" s="12" t="n"/>
      <c r="N148" s="12" t="n"/>
      <c r="O148" s="12" t="n"/>
      <c r="P148" s="12" t="n"/>
      <c r="Q148" s="12" t="n"/>
      <c r="R148" s="12" t="inlineStr">
        <is>
          <t>SVC</t>
        </is>
      </c>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row>
    <row r="149" customFormat="1" s="13">
      <c r="A149" s="11" t="inlineStr">
        <is>
          <t>#</t>
        </is>
      </c>
      <c r="B149" s="19" t="n"/>
      <c r="C149" s="12" t="n"/>
      <c r="D149" s="12" t="n"/>
      <c r="E149" s="12" t="n"/>
      <c r="F149" s="12" t="n"/>
      <c r="G149" s="12" t="n"/>
      <c r="H149" s="12" t="n"/>
      <c r="I149" s="12" t="n"/>
      <c r="J149" s="12" t="inlineStr">
        <is>
          <t>MA</t>
        </is>
      </c>
      <c r="K149" s="12" t="n"/>
      <c r="L149" s="12" t="n"/>
      <c r="M149" s="12" t="n"/>
      <c r="N149" s="12" t="n"/>
      <c r="O149" s="12" t="n"/>
      <c r="P149" s="12" t="n"/>
      <c r="Q149" s="12" t="n"/>
      <c r="R149" s="12" t="inlineStr">
        <is>
          <t>SYP</t>
        </is>
      </c>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row>
    <row r="150" customFormat="1" s="13">
      <c r="A150" s="11" t="inlineStr">
        <is>
          <t>#</t>
        </is>
      </c>
      <c r="B150" s="19" t="n"/>
      <c r="C150" s="12" t="n"/>
      <c r="D150" s="12" t="n"/>
      <c r="E150" s="12" t="n"/>
      <c r="F150" s="12" t="n"/>
      <c r="G150" s="12" t="n"/>
      <c r="H150" s="12" t="n"/>
      <c r="I150" s="12" t="n"/>
      <c r="J150" s="12" t="inlineStr">
        <is>
          <t>MC</t>
        </is>
      </c>
      <c r="K150" s="12" t="n"/>
      <c r="L150" s="12" t="n"/>
      <c r="M150" s="12" t="n"/>
      <c r="N150" s="12" t="n"/>
      <c r="O150" s="12" t="n"/>
      <c r="P150" s="12" t="n"/>
      <c r="Q150" s="12" t="n"/>
      <c r="R150" s="12" t="inlineStr">
        <is>
          <t>SZL</t>
        </is>
      </c>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row>
    <row r="151" customFormat="1" s="13">
      <c r="A151" s="11" t="inlineStr">
        <is>
          <t>#</t>
        </is>
      </c>
      <c r="B151" s="19" t="n"/>
      <c r="C151" s="12" t="n"/>
      <c r="D151" s="12" t="n"/>
      <c r="E151" s="12" t="n"/>
      <c r="F151" s="12" t="n"/>
      <c r="G151" s="12" t="n"/>
      <c r="H151" s="12" t="n"/>
      <c r="I151" s="12" t="n"/>
      <c r="J151" s="12" t="inlineStr">
        <is>
          <t>MD</t>
        </is>
      </c>
      <c r="K151" s="12" t="n"/>
      <c r="L151" s="12" t="n"/>
      <c r="M151" s="12" t="n"/>
      <c r="N151" s="12" t="n"/>
      <c r="O151" s="12" t="n"/>
      <c r="P151" s="12" t="n"/>
      <c r="Q151" s="12" t="n"/>
      <c r="R151" s="12" t="inlineStr">
        <is>
          <t>THB</t>
        </is>
      </c>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row>
    <row r="152" customFormat="1" s="13">
      <c r="A152" s="11" t="inlineStr">
        <is>
          <t>#</t>
        </is>
      </c>
      <c r="B152" s="19" t="n"/>
      <c r="C152" s="12" t="n"/>
      <c r="D152" s="12" t="n"/>
      <c r="E152" s="12" t="n"/>
      <c r="F152" s="12" t="n"/>
      <c r="G152" s="12" t="n"/>
      <c r="H152" s="12" t="n"/>
      <c r="I152" s="12" t="n"/>
      <c r="J152" s="12" t="inlineStr">
        <is>
          <t>ME</t>
        </is>
      </c>
      <c r="K152" s="12" t="n"/>
      <c r="L152" s="12" t="n"/>
      <c r="M152" s="12" t="n"/>
      <c r="N152" s="12" t="n"/>
      <c r="O152" s="12" t="n"/>
      <c r="P152" s="12" t="n"/>
      <c r="Q152" s="12" t="n"/>
      <c r="R152" s="12" t="inlineStr">
        <is>
          <t>TJS</t>
        </is>
      </c>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row>
    <row r="153" customFormat="1" s="13">
      <c r="A153" s="11" t="inlineStr">
        <is>
          <t>#</t>
        </is>
      </c>
      <c r="B153" s="19" t="n"/>
      <c r="C153" s="12" t="n"/>
      <c r="D153" s="12" t="n"/>
      <c r="E153" s="12" t="n"/>
      <c r="F153" s="12" t="n"/>
      <c r="G153" s="12" t="n"/>
      <c r="H153" s="12" t="n"/>
      <c r="I153" s="12" t="n"/>
      <c r="J153" s="12" t="inlineStr">
        <is>
          <t>MF</t>
        </is>
      </c>
      <c r="K153" s="12" t="n"/>
      <c r="L153" s="12" t="n"/>
      <c r="M153" s="12" t="n"/>
      <c r="N153" s="12" t="n"/>
      <c r="O153" s="12" t="n"/>
      <c r="P153" s="12" t="n"/>
      <c r="Q153" s="12" t="n"/>
      <c r="R153" s="12" t="inlineStr">
        <is>
          <t>TMT</t>
        </is>
      </c>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row>
    <row r="154" customFormat="1" s="13">
      <c r="A154" s="11" t="inlineStr">
        <is>
          <t>#</t>
        </is>
      </c>
      <c r="B154" s="19" t="n"/>
      <c r="C154" s="12" t="n"/>
      <c r="D154" s="12" t="n"/>
      <c r="E154" s="12" t="n"/>
      <c r="F154" s="12" t="n"/>
      <c r="G154" s="12" t="n"/>
      <c r="H154" s="12" t="n"/>
      <c r="I154" s="12" t="n"/>
      <c r="J154" s="12" t="inlineStr">
        <is>
          <t>MG</t>
        </is>
      </c>
      <c r="K154" s="12" t="n"/>
      <c r="L154" s="12" t="n"/>
      <c r="M154" s="12" t="n"/>
      <c r="N154" s="12" t="n"/>
      <c r="O154" s="12" t="n"/>
      <c r="P154" s="12" t="n"/>
      <c r="Q154" s="12" t="n"/>
      <c r="R154" s="12" t="inlineStr">
        <is>
          <t>TND</t>
        </is>
      </c>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row>
    <row r="155" customFormat="1" s="13">
      <c r="A155" s="11" t="inlineStr">
        <is>
          <t>#</t>
        </is>
      </c>
      <c r="B155" s="19" t="n"/>
      <c r="C155" s="12" t="n"/>
      <c r="D155" s="12" t="n"/>
      <c r="E155" s="12" t="n"/>
      <c r="F155" s="12" t="n"/>
      <c r="G155" s="12" t="n"/>
      <c r="H155" s="12" t="n"/>
      <c r="I155" s="12" t="n"/>
      <c r="J155" s="12" t="inlineStr">
        <is>
          <t>MH</t>
        </is>
      </c>
      <c r="K155" s="12" t="n"/>
      <c r="L155" s="12" t="n"/>
      <c r="M155" s="12" t="n"/>
      <c r="N155" s="12" t="n"/>
      <c r="O155" s="12" t="n"/>
      <c r="P155" s="12" t="n"/>
      <c r="Q155" s="12" t="n"/>
      <c r="R155" s="12" t="inlineStr">
        <is>
          <t>TOP</t>
        </is>
      </c>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row>
    <row r="156" customFormat="1" s="13">
      <c r="A156" s="11" t="inlineStr">
        <is>
          <t>#</t>
        </is>
      </c>
      <c r="B156" s="19" t="n"/>
      <c r="C156" s="12" t="n"/>
      <c r="D156" s="12" t="n"/>
      <c r="E156" s="12" t="n"/>
      <c r="F156" s="12" t="n"/>
      <c r="G156" s="12" t="n"/>
      <c r="H156" s="12" t="n"/>
      <c r="I156" s="12" t="n"/>
      <c r="J156" s="12" t="inlineStr">
        <is>
          <t>MK</t>
        </is>
      </c>
      <c r="K156" s="12" t="n"/>
      <c r="L156" s="12" t="n"/>
      <c r="M156" s="12" t="n"/>
      <c r="N156" s="12" t="n"/>
      <c r="O156" s="12" t="n"/>
      <c r="P156" s="12" t="n"/>
      <c r="Q156" s="12" t="n"/>
      <c r="R156" s="12" t="inlineStr">
        <is>
          <t>TRY</t>
        </is>
      </c>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row>
    <row r="157" customFormat="1" s="13">
      <c r="A157" s="11" t="inlineStr">
        <is>
          <t>#</t>
        </is>
      </c>
      <c r="B157" s="19" t="n"/>
      <c r="C157" s="12" t="n"/>
      <c r="D157" s="12" t="n"/>
      <c r="E157" s="12" t="n"/>
      <c r="F157" s="12" t="n"/>
      <c r="G157" s="12" t="n"/>
      <c r="H157" s="12" t="n"/>
      <c r="I157" s="12" t="n"/>
      <c r="J157" s="12" t="inlineStr">
        <is>
          <t>ML</t>
        </is>
      </c>
      <c r="K157" s="12" t="n"/>
      <c r="L157" s="12" t="n"/>
      <c r="M157" s="12" t="n"/>
      <c r="N157" s="12" t="n"/>
      <c r="O157" s="12" t="n"/>
      <c r="P157" s="12" t="n"/>
      <c r="Q157" s="12" t="n"/>
      <c r="R157" s="12" t="inlineStr">
        <is>
          <t>TTD</t>
        </is>
      </c>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row>
    <row r="158" customFormat="1" s="13">
      <c r="A158" s="11" t="inlineStr">
        <is>
          <t>#</t>
        </is>
      </c>
      <c r="B158" s="19" t="n"/>
      <c r="C158" s="12" t="n"/>
      <c r="D158" s="12" t="n"/>
      <c r="E158" s="12" t="n"/>
      <c r="F158" s="12" t="n"/>
      <c r="G158" s="12" t="n"/>
      <c r="H158" s="12" t="n"/>
      <c r="I158" s="12" t="n"/>
      <c r="J158" s="12" t="inlineStr">
        <is>
          <t>MM</t>
        </is>
      </c>
      <c r="K158" s="12" t="n"/>
      <c r="L158" s="12" t="n"/>
      <c r="M158" s="12" t="n"/>
      <c r="N158" s="12" t="n"/>
      <c r="O158" s="12" t="n"/>
      <c r="P158" s="12" t="n"/>
      <c r="Q158" s="12" t="n"/>
      <c r="R158" s="12" t="inlineStr">
        <is>
          <t>TWD</t>
        </is>
      </c>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row>
    <row r="159" customFormat="1" s="13">
      <c r="A159" s="11" t="inlineStr">
        <is>
          <t>#</t>
        </is>
      </c>
      <c r="B159" s="19" t="n"/>
      <c r="C159" s="12" t="n"/>
      <c r="D159" s="12" t="n"/>
      <c r="E159" s="12" t="n"/>
      <c r="F159" s="12" t="n"/>
      <c r="G159" s="12" t="n"/>
      <c r="H159" s="12" t="n"/>
      <c r="I159" s="12" t="n"/>
      <c r="J159" s="12" t="inlineStr">
        <is>
          <t>MN</t>
        </is>
      </c>
      <c r="K159" s="12" t="n"/>
      <c r="L159" s="12" t="n"/>
      <c r="M159" s="12" t="n"/>
      <c r="N159" s="12" t="n"/>
      <c r="O159" s="12" t="n"/>
      <c r="P159" s="12" t="n"/>
      <c r="Q159" s="12" t="n"/>
      <c r="R159" s="12" t="inlineStr">
        <is>
          <t>TZS</t>
        </is>
      </c>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row>
    <row r="160" customFormat="1" s="13">
      <c r="A160" s="11" t="inlineStr">
        <is>
          <t>#</t>
        </is>
      </c>
      <c r="B160" s="19" t="n"/>
      <c r="C160" s="12" t="n"/>
      <c r="D160" s="12" t="n"/>
      <c r="E160" s="12" t="n"/>
      <c r="F160" s="12" t="n"/>
      <c r="G160" s="12" t="n"/>
      <c r="H160" s="12" t="n"/>
      <c r="I160" s="12" t="n"/>
      <c r="J160" s="12" t="inlineStr">
        <is>
          <t>MO</t>
        </is>
      </c>
      <c r="K160" s="12" t="n"/>
      <c r="L160" s="12" t="n"/>
      <c r="M160" s="12" t="n"/>
      <c r="N160" s="12" t="n"/>
      <c r="O160" s="12" t="n"/>
      <c r="P160" s="12" t="n"/>
      <c r="Q160" s="12" t="n"/>
      <c r="R160" s="12" t="inlineStr">
        <is>
          <t>UAH</t>
        </is>
      </c>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row>
    <row r="161" customFormat="1" s="13">
      <c r="A161" s="11" t="inlineStr">
        <is>
          <t>#</t>
        </is>
      </c>
      <c r="B161" s="19" t="n"/>
      <c r="C161" s="12" t="n"/>
      <c r="D161" s="12" t="n"/>
      <c r="E161" s="12" t="n"/>
      <c r="F161" s="12" t="n"/>
      <c r="G161" s="12" t="n"/>
      <c r="H161" s="12" t="n"/>
      <c r="I161" s="12" t="n"/>
      <c r="J161" s="12" t="inlineStr">
        <is>
          <t>MP</t>
        </is>
      </c>
      <c r="K161" s="12" t="n"/>
      <c r="L161" s="12" t="n"/>
      <c r="M161" s="12" t="n"/>
      <c r="N161" s="12" t="n"/>
      <c r="O161" s="12" t="n"/>
      <c r="P161" s="12" t="n"/>
      <c r="Q161" s="12" t="n"/>
      <c r="R161" s="12" t="inlineStr">
        <is>
          <t>UGX</t>
        </is>
      </c>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row>
    <row r="162" customFormat="1" s="13">
      <c r="A162" s="11" t="inlineStr">
        <is>
          <t>#</t>
        </is>
      </c>
      <c r="B162" s="19" t="n"/>
      <c r="C162" s="12" t="n"/>
      <c r="D162" s="12" t="n"/>
      <c r="E162" s="12" t="n"/>
      <c r="F162" s="12" t="n"/>
      <c r="G162" s="12" t="n"/>
      <c r="H162" s="12" t="n"/>
      <c r="I162" s="12" t="n"/>
      <c r="J162" s="12" t="inlineStr">
        <is>
          <t>MQ</t>
        </is>
      </c>
      <c r="K162" s="12" t="n"/>
      <c r="L162" s="12" t="n"/>
      <c r="M162" s="12" t="n"/>
      <c r="N162" s="12" t="n"/>
      <c r="O162" s="12" t="n"/>
      <c r="P162" s="12" t="n"/>
      <c r="Q162" s="12" t="n"/>
      <c r="R162" s="12" t="inlineStr">
        <is>
          <t>USD</t>
        </is>
      </c>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row>
    <row r="163" customFormat="1" s="13">
      <c r="A163" s="11" t="inlineStr">
        <is>
          <t>#</t>
        </is>
      </c>
      <c r="B163" s="19" t="n"/>
      <c r="C163" s="12" t="n"/>
      <c r="D163" s="12" t="n"/>
      <c r="E163" s="12" t="n"/>
      <c r="F163" s="12" t="n"/>
      <c r="G163" s="12" t="n"/>
      <c r="H163" s="12" t="n"/>
      <c r="I163" s="12" t="n"/>
      <c r="J163" s="12" t="inlineStr">
        <is>
          <t>MR</t>
        </is>
      </c>
      <c r="K163" s="12" t="n"/>
      <c r="L163" s="12" t="n"/>
      <c r="M163" s="12" t="n"/>
      <c r="N163" s="12" t="n"/>
      <c r="O163" s="12" t="n"/>
      <c r="P163" s="12" t="n"/>
      <c r="Q163" s="12" t="n"/>
      <c r="R163" s="12" t="inlineStr">
        <is>
          <t>USN</t>
        </is>
      </c>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row>
    <row r="164" customFormat="1" s="13">
      <c r="A164" s="11" t="inlineStr">
        <is>
          <t>#</t>
        </is>
      </c>
      <c r="B164" s="19" t="n"/>
      <c r="C164" s="12" t="n"/>
      <c r="D164" s="12" t="n"/>
      <c r="E164" s="12" t="n"/>
      <c r="F164" s="12" t="n"/>
      <c r="G164" s="12" t="n"/>
      <c r="H164" s="12" t="n"/>
      <c r="I164" s="12" t="n"/>
      <c r="J164" s="12" t="inlineStr">
        <is>
          <t>MS</t>
        </is>
      </c>
      <c r="K164" s="12" t="n"/>
      <c r="L164" s="12" t="n"/>
      <c r="M164" s="12" t="n"/>
      <c r="N164" s="12" t="n"/>
      <c r="O164" s="12" t="n"/>
      <c r="P164" s="12" t="n"/>
      <c r="Q164" s="12" t="n"/>
      <c r="R164" s="12" t="inlineStr">
        <is>
          <t>UYI</t>
        </is>
      </c>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row>
    <row r="165" customFormat="1" s="13">
      <c r="A165" s="11" t="inlineStr">
        <is>
          <t>#</t>
        </is>
      </c>
      <c r="B165" s="19" t="n"/>
      <c r="C165" s="12" t="n"/>
      <c r="D165" s="12" t="n"/>
      <c r="E165" s="12" t="n"/>
      <c r="F165" s="12" t="n"/>
      <c r="G165" s="12" t="n"/>
      <c r="H165" s="12" t="n"/>
      <c r="I165" s="12" t="n"/>
      <c r="J165" s="12" t="inlineStr">
        <is>
          <t>MT</t>
        </is>
      </c>
      <c r="K165" s="12" t="n"/>
      <c r="L165" s="12" t="n"/>
      <c r="M165" s="12" t="n"/>
      <c r="N165" s="12" t="n"/>
      <c r="O165" s="12" t="n"/>
      <c r="P165" s="12" t="n"/>
      <c r="Q165" s="12" t="n"/>
      <c r="R165" s="12" t="inlineStr">
        <is>
          <t>UYU</t>
        </is>
      </c>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row>
    <row r="166" customFormat="1" s="13">
      <c r="A166" s="11" t="inlineStr">
        <is>
          <t>#</t>
        </is>
      </c>
      <c r="B166" s="19" t="n"/>
      <c r="C166" s="12" t="n"/>
      <c r="D166" s="12" t="n"/>
      <c r="E166" s="12" t="n"/>
      <c r="F166" s="12" t="n"/>
      <c r="G166" s="12" t="n"/>
      <c r="H166" s="12" t="n"/>
      <c r="I166" s="12" t="n"/>
      <c r="J166" s="12" t="inlineStr">
        <is>
          <t>MU</t>
        </is>
      </c>
      <c r="K166" s="12" t="n"/>
      <c r="L166" s="12" t="n"/>
      <c r="M166" s="12" t="n"/>
      <c r="N166" s="12" t="n"/>
      <c r="O166" s="12" t="n"/>
      <c r="P166" s="12" t="n"/>
      <c r="Q166" s="12" t="n"/>
      <c r="R166" s="12" t="inlineStr">
        <is>
          <t>UYW</t>
        </is>
      </c>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row>
    <row r="167" customFormat="1" s="13">
      <c r="A167" s="11" t="inlineStr">
        <is>
          <t>#</t>
        </is>
      </c>
      <c r="B167" s="19" t="n"/>
      <c r="C167" s="12" t="n"/>
      <c r="D167" s="12" t="n"/>
      <c r="E167" s="12" t="n"/>
      <c r="F167" s="12" t="n"/>
      <c r="G167" s="12" t="n"/>
      <c r="H167" s="12" t="n"/>
      <c r="I167" s="12" t="n"/>
      <c r="J167" s="12" t="inlineStr">
        <is>
          <t>MV</t>
        </is>
      </c>
      <c r="K167" s="12" t="n"/>
      <c r="L167" s="12" t="n"/>
      <c r="M167" s="12" t="n"/>
      <c r="N167" s="12" t="n"/>
      <c r="O167" s="12" t="n"/>
      <c r="P167" s="12" t="n"/>
      <c r="Q167" s="12" t="n"/>
      <c r="R167" s="12" t="inlineStr">
        <is>
          <t>UZS</t>
        </is>
      </c>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row>
    <row r="168" customFormat="1" s="13">
      <c r="A168" s="11" t="inlineStr">
        <is>
          <t>#</t>
        </is>
      </c>
      <c r="B168" s="19" t="n"/>
      <c r="C168" s="12" t="n"/>
      <c r="D168" s="12" t="n"/>
      <c r="E168" s="12" t="n"/>
      <c r="F168" s="12" t="n"/>
      <c r="G168" s="12" t="n"/>
      <c r="H168" s="12" t="n"/>
      <c r="I168" s="12" t="n"/>
      <c r="J168" s="12" t="inlineStr">
        <is>
          <t>MW</t>
        </is>
      </c>
      <c r="K168" s="12" t="n"/>
      <c r="L168" s="12" t="n"/>
      <c r="M168" s="12" t="n"/>
      <c r="N168" s="12" t="n"/>
      <c r="O168" s="12" t="n"/>
      <c r="P168" s="12" t="n"/>
      <c r="Q168" s="12" t="n"/>
      <c r="R168" s="12" t="inlineStr">
        <is>
          <t>VES</t>
        </is>
      </c>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row>
    <row r="169" customFormat="1" s="13">
      <c r="A169" s="11" t="inlineStr">
        <is>
          <t>#</t>
        </is>
      </c>
      <c r="B169" s="19" t="n"/>
      <c r="C169" s="12" t="n"/>
      <c r="D169" s="12" t="n"/>
      <c r="E169" s="12" t="n"/>
      <c r="F169" s="12" t="n"/>
      <c r="G169" s="12" t="n"/>
      <c r="H169" s="12" t="n"/>
      <c r="I169" s="12" t="n"/>
      <c r="J169" s="12" t="inlineStr">
        <is>
          <t>MX</t>
        </is>
      </c>
      <c r="K169" s="12" t="n"/>
      <c r="L169" s="12" t="n"/>
      <c r="M169" s="12" t="n"/>
      <c r="N169" s="12" t="n"/>
      <c r="O169" s="12" t="n"/>
      <c r="P169" s="12" t="n"/>
      <c r="Q169" s="12" t="n"/>
      <c r="R169" s="12" t="inlineStr">
        <is>
          <t>VND</t>
        </is>
      </c>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row>
    <row r="170" customFormat="1" s="13">
      <c r="A170" s="11" t="inlineStr">
        <is>
          <t>#</t>
        </is>
      </c>
      <c r="B170" s="19" t="n"/>
      <c r="C170" s="12" t="n"/>
      <c r="D170" s="12" t="n"/>
      <c r="E170" s="12" t="n"/>
      <c r="F170" s="12" t="n"/>
      <c r="G170" s="12" t="n"/>
      <c r="H170" s="12" t="n"/>
      <c r="I170" s="12" t="n"/>
      <c r="J170" s="12" t="inlineStr">
        <is>
          <t>MY</t>
        </is>
      </c>
      <c r="K170" s="12" t="n"/>
      <c r="L170" s="12" t="n"/>
      <c r="M170" s="12" t="n"/>
      <c r="N170" s="12" t="n"/>
      <c r="O170" s="12" t="n"/>
      <c r="P170" s="12" t="n"/>
      <c r="Q170" s="12" t="n"/>
      <c r="R170" s="12" t="inlineStr">
        <is>
          <t>VUV</t>
        </is>
      </c>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row>
    <row r="171" customFormat="1" s="13">
      <c r="A171" s="11" t="inlineStr">
        <is>
          <t>#</t>
        </is>
      </c>
      <c r="B171" s="19" t="n"/>
      <c r="C171" s="12" t="n"/>
      <c r="D171" s="12" t="n"/>
      <c r="E171" s="12" t="n"/>
      <c r="F171" s="12" t="n"/>
      <c r="G171" s="12" t="n"/>
      <c r="H171" s="12" t="n"/>
      <c r="I171" s="12" t="n"/>
      <c r="J171" s="12" t="inlineStr">
        <is>
          <t>MZ</t>
        </is>
      </c>
      <c r="K171" s="12" t="n"/>
      <c r="L171" s="12" t="n"/>
      <c r="M171" s="12" t="n"/>
      <c r="N171" s="12" t="n"/>
      <c r="O171" s="12" t="n"/>
      <c r="P171" s="12" t="n"/>
      <c r="Q171" s="12" t="n"/>
      <c r="R171" s="12" t="inlineStr">
        <is>
          <t>WST</t>
        </is>
      </c>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row>
    <row r="172" customFormat="1" s="13">
      <c r="A172" s="11" t="inlineStr">
        <is>
          <t>#</t>
        </is>
      </c>
      <c r="B172" s="19" t="n"/>
      <c r="C172" s="12" t="n"/>
      <c r="D172" s="12" t="n"/>
      <c r="E172" s="12" t="n"/>
      <c r="F172" s="12" t="n"/>
      <c r="G172" s="12" t="n"/>
      <c r="H172" s="12" t="n"/>
      <c r="I172" s="12" t="n"/>
      <c r="J172" s="12" t="inlineStr">
        <is>
          <t>NA</t>
        </is>
      </c>
      <c r="K172" s="12" t="n"/>
      <c r="L172" s="12" t="n"/>
      <c r="M172" s="12" t="n"/>
      <c r="N172" s="12" t="n"/>
      <c r="O172" s="12" t="n"/>
      <c r="P172" s="12" t="n"/>
      <c r="Q172" s="12" t="n"/>
      <c r="R172" s="12" t="inlineStr">
        <is>
          <t>XAF</t>
        </is>
      </c>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row>
    <row r="173" customFormat="1" s="13">
      <c r="A173" s="11" t="inlineStr">
        <is>
          <t>#</t>
        </is>
      </c>
      <c r="B173" s="19" t="n"/>
      <c r="C173" s="12" t="n"/>
      <c r="D173" s="12" t="n"/>
      <c r="E173" s="12" t="n"/>
      <c r="F173" s="12" t="n"/>
      <c r="G173" s="12" t="n"/>
      <c r="H173" s="12" t="n"/>
      <c r="I173" s="12" t="n"/>
      <c r="J173" s="12" t="inlineStr">
        <is>
          <t>NC</t>
        </is>
      </c>
      <c r="K173" s="12" t="n"/>
      <c r="L173" s="12" t="n"/>
      <c r="M173" s="12" t="n"/>
      <c r="N173" s="12" t="n"/>
      <c r="O173" s="12" t="n"/>
      <c r="P173" s="12" t="n"/>
      <c r="Q173" s="12" t="n"/>
      <c r="R173" s="12" t="inlineStr">
        <is>
          <t>XAG</t>
        </is>
      </c>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row>
    <row r="174" customFormat="1" s="13">
      <c r="A174" s="11" t="inlineStr">
        <is>
          <t>#</t>
        </is>
      </c>
      <c r="B174" s="19" t="n"/>
      <c r="C174" s="12" t="n"/>
      <c r="D174" s="12" t="n"/>
      <c r="E174" s="12" t="n"/>
      <c r="F174" s="12" t="n"/>
      <c r="G174" s="12" t="n"/>
      <c r="H174" s="12" t="n"/>
      <c r="I174" s="12" t="n"/>
      <c r="J174" s="12" t="inlineStr">
        <is>
          <t>NE</t>
        </is>
      </c>
      <c r="K174" s="12" t="n"/>
      <c r="L174" s="12" t="n"/>
      <c r="M174" s="12" t="n"/>
      <c r="N174" s="12" t="n"/>
      <c r="O174" s="12" t="n"/>
      <c r="P174" s="12" t="n"/>
      <c r="Q174" s="12" t="n"/>
      <c r="R174" s="12" t="inlineStr">
        <is>
          <t>XAU</t>
        </is>
      </c>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row>
    <row r="175" customFormat="1" s="13">
      <c r="A175" s="11" t="inlineStr">
        <is>
          <t>#</t>
        </is>
      </c>
      <c r="B175" s="19" t="n"/>
      <c r="C175" s="12" t="n"/>
      <c r="D175" s="12" t="n"/>
      <c r="E175" s="12" t="n"/>
      <c r="F175" s="12" t="n"/>
      <c r="G175" s="12" t="n"/>
      <c r="H175" s="12" t="n"/>
      <c r="I175" s="12" t="n"/>
      <c r="J175" s="12" t="inlineStr">
        <is>
          <t>NF</t>
        </is>
      </c>
      <c r="K175" s="12" t="n"/>
      <c r="L175" s="12" t="n"/>
      <c r="M175" s="12" t="n"/>
      <c r="N175" s="12" t="n"/>
      <c r="O175" s="12" t="n"/>
      <c r="P175" s="12" t="n"/>
      <c r="Q175" s="12" t="n"/>
      <c r="R175" s="12" t="inlineStr">
        <is>
          <t>XBA</t>
        </is>
      </c>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row>
    <row r="176" customFormat="1" s="13">
      <c r="A176" s="11" t="inlineStr">
        <is>
          <t>#</t>
        </is>
      </c>
      <c r="B176" s="19" t="n"/>
      <c r="C176" s="12" t="n"/>
      <c r="D176" s="12" t="n"/>
      <c r="E176" s="12" t="n"/>
      <c r="F176" s="12" t="n"/>
      <c r="G176" s="12" t="n"/>
      <c r="H176" s="12" t="n"/>
      <c r="I176" s="12" t="n"/>
      <c r="J176" s="12" t="inlineStr">
        <is>
          <t>NG</t>
        </is>
      </c>
      <c r="K176" s="12" t="n"/>
      <c r="L176" s="12" t="n"/>
      <c r="M176" s="12" t="n"/>
      <c r="N176" s="12" t="n"/>
      <c r="O176" s="12" t="n"/>
      <c r="P176" s="12" t="n"/>
      <c r="Q176" s="12" t="n"/>
      <c r="R176" s="12" t="inlineStr">
        <is>
          <t>XBB</t>
        </is>
      </c>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row>
    <row r="177" customFormat="1" s="13">
      <c r="A177" s="11" t="inlineStr">
        <is>
          <t>#</t>
        </is>
      </c>
      <c r="B177" s="19" t="n"/>
      <c r="C177" s="12" t="n"/>
      <c r="D177" s="12" t="n"/>
      <c r="E177" s="12" t="n"/>
      <c r="F177" s="12" t="n"/>
      <c r="G177" s="12" t="n"/>
      <c r="H177" s="12" t="n"/>
      <c r="I177" s="12" t="n"/>
      <c r="J177" s="12" t="inlineStr">
        <is>
          <t>NI</t>
        </is>
      </c>
      <c r="K177" s="12" t="n"/>
      <c r="L177" s="12" t="n"/>
      <c r="M177" s="12" t="n"/>
      <c r="N177" s="12" t="n"/>
      <c r="O177" s="12" t="n"/>
      <c r="P177" s="12" t="n"/>
      <c r="Q177" s="12" t="n"/>
      <c r="R177" s="12" t="inlineStr">
        <is>
          <t>XBC</t>
        </is>
      </c>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row>
    <row r="178" customFormat="1" s="13">
      <c r="A178" s="11" t="inlineStr">
        <is>
          <t>#</t>
        </is>
      </c>
      <c r="B178" s="19" t="n"/>
      <c r="C178" s="12" t="n"/>
      <c r="D178" s="12" t="n"/>
      <c r="E178" s="12" t="n"/>
      <c r="F178" s="12" t="n"/>
      <c r="G178" s="12" t="n"/>
      <c r="H178" s="12" t="n"/>
      <c r="I178" s="12" t="n"/>
      <c r="J178" s="12" t="inlineStr">
        <is>
          <t>NL</t>
        </is>
      </c>
      <c r="K178" s="12" t="n"/>
      <c r="L178" s="12" t="n"/>
      <c r="M178" s="12" t="n"/>
      <c r="N178" s="12" t="n"/>
      <c r="O178" s="12" t="n"/>
      <c r="P178" s="12" t="n"/>
      <c r="Q178" s="12" t="n"/>
      <c r="R178" s="12" t="inlineStr">
        <is>
          <t>XBD</t>
        </is>
      </c>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row>
    <row r="179" customFormat="1" s="13">
      <c r="A179" s="11" t="inlineStr">
        <is>
          <t>#</t>
        </is>
      </c>
      <c r="B179" s="19" t="n"/>
      <c r="C179" s="12" t="n"/>
      <c r="D179" s="12" t="n"/>
      <c r="E179" s="12" t="n"/>
      <c r="F179" s="12" t="n"/>
      <c r="G179" s="12" t="n"/>
      <c r="H179" s="12" t="n"/>
      <c r="I179" s="12" t="n"/>
      <c r="J179" s="12" t="inlineStr">
        <is>
          <t>NO</t>
        </is>
      </c>
      <c r="K179" s="12" t="n"/>
      <c r="L179" s="12" t="n"/>
      <c r="M179" s="12" t="n"/>
      <c r="N179" s="12" t="n"/>
      <c r="O179" s="12" t="n"/>
      <c r="P179" s="12" t="n"/>
      <c r="Q179" s="12" t="n"/>
      <c r="R179" s="12" t="inlineStr">
        <is>
          <t>XCD</t>
        </is>
      </c>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row>
    <row r="180" customFormat="1" s="13">
      <c r="A180" s="11" t="inlineStr">
        <is>
          <t>#</t>
        </is>
      </c>
      <c r="B180" s="19" t="n"/>
      <c r="C180" s="12" t="n"/>
      <c r="D180" s="12" t="n"/>
      <c r="E180" s="12" t="n"/>
      <c r="F180" s="12" t="n"/>
      <c r="G180" s="12" t="n"/>
      <c r="H180" s="12" t="n"/>
      <c r="I180" s="12" t="n"/>
      <c r="J180" s="12" t="inlineStr">
        <is>
          <t>NP</t>
        </is>
      </c>
      <c r="K180" s="12" t="n"/>
      <c r="L180" s="12" t="n"/>
      <c r="M180" s="12" t="n"/>
      <c r="N180" s="12" t="n"/>
      <c r="O180" s="12" t="n"/>
      <c r="P180" s="12" t="n"/>
      <c r="Q180" s="12" t="n"/>
      <c r="R180" s="12" t="inlineStr">
        <is>
          <t>XDR</t>
        </is>
      </c>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row>
    <row r="181" customFormat="1" s="13">
      <c r="A181" s="11" t="inlineStr">
        <is>
          <t>#</t>
        </is>
      </c>
      <c r="B181" s="19" t="n"/>
      <c r="C181" s="12" t="n"/>
      <c r="D181" s="12" t="n"/>
      <c r="E181" s="12" t="n"/>
      <c r="F181" s="12" t="n"/>
      <c r="G181" s="12" t="n"/>
      <c r="H181" s="12" t="n"/>
      <c r="I181" s="12" t="n"/>
      <c r="J181" s="12" t="inlineStr">
        <is>
          <t>NR</t>
        </is>
      </c>
      <c r="K181" s="12" t="n"/>
      <c r="L181" s="12" t="n"/>
      <c r="M181" s="12" t="n"/>
      <c r="N181" s="12" t="n"/>
      <c r="O181" s="12" t="n"/>
      <c r="P181" s="12" t="n"/>
      <c r="Q181" s="12" t="n"/>
      <c r="R181" s="12" t="inlineStr">
        <is>
          <t>XOF</t>
        </is>
      </c>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row>
    <row r="182" customFormat="1" s="13">
      <c r="A182" s="11" t="inlineStr">
        <is>
          <t>#</t>
        </is>
      </c>
      <c r="B182" s="19" t="n"/>
      <c r="C182" s="12" t="n"/>
      <c r="D182" s="12" t="n"/>
      <c r="E182" s="12" t="n"/>
      <c r="F182" s="12" t="n"/>
      <c r="G182" s="12" t="n"/>
      <c r="H182" s="12" t="n"/>
      <c r="I182" s="12" t="n"/>
      <c r="J182" s="12" t="inlineStr">
        <is>
          <t>NU</t>
        </is>
      </c>
      <c r="K182" s="12" t="n"/>
      <c r="L182" s="12" t="n"/>
      <c r="M182" s="12" t="n"/>
      <c r="N182" s="12" t="n"/>
      <c r="O182" s="12" t="n"/>
      <c r="P182" s="12" t="n"/>
      <c r="Q182" s="12" t="n"/>
      <c r="R182" s="12" t="inlineStr">
        <is>
          <t>XPD</t>
        </is>
      </c>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row>
    <row r="183" customFormat="1" s="13">
      <c r="A183" s="11" t="inlineStr">
        <is>
          <t>#</t>
        </is>
      </c>
      <c r="B183" s="19" t="n"/>
      <c r="C183" s="12" t="n"/>
      <c r="D183" s="12" t="n"/>
      <c r="E183" s="12" t="n"/>
      <c r="F183" s="12" t="n"/>
      <c r="G183" s="12" t="n"/>
      <c r="H183" s="12" t="n"/>
      <c r="I183" s="12" t="n"/>
      <c r="J183" s="12" t="inlineStr">
        <is>
          <t>NZ</t>
        </is>
      </c>
      <c r="K183" s="12" t="n"/>
      <c r="L183" s="12" t="n"/>
      <c r="M183" s="12" t="n"/>
      <c r="N183" s="12" t="n"/>
      <c r="O183" s="12" t="n"/>
      <c r="P183" s="12" t="n"/>
      <c r="Q183" s="12" t="n"/>
      <c r="R183" s="12" t="inlineStr">
        <is>
          <t>XPF</t>
        </is>
      </c>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row>
    <row r="184" customFormat="1" s="13">
      <c r="A184" s="11" t="inlineStr">
        <is>
          <t>#</t>
        </is>
      </c>
      <c r="B184" s="19" t="n"/>
      <c r="C184" s="12" t="n"/>
      <c r="D184" s="12" t="n"/>
      <c r="E184" s="12" t="n"/>
      <c r="F184" s="12" t="n"/>
      <c r="G184" s="12" t="n"/>
      <c r="H184" s="12" t="n"/>
      <c r="I184" s="12" t="n"/>
      <c r="J184" s="12" t="inlineStr">
        <is>
          <t>OM</t>
        </is>
      </c>
      <c r="K184" s="12" t="n"/>
      <c r="L184" s="12" t="n"/>
      <c r="M184" s="12" t="n"/>
      <c r="N184" s="12" t="n"/>
      <c r="O184" s="12" t="n"/>
      <c r="P184" s="12" t="n"/>
      <c r="Q184" s="12" t="n"/>
      <c r="R184" s="12" t="inlineStr">
        <is>
          <t>XPT</t>
        </is>
      </c>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row>
    <row r="185" customFormat="1" s="13">
      <c r="A185" s="11" t="inlineStr">
        <is>
          <t>#</t>
        </is>
      </c>
      <c r="B185" s="19" t="n"/>
      <c r="C185" s="12" t="n"/>
      <c r="D185" s="12" t="n"/>
      <c r="E185" s="12" t="n"/>
      <c r="F185" s="12" t="n"/>
      <c r="G185" s="12" t="n"/>
      <c r="H185" s="12" t="n"/>
      <c r="I185" s="12" t="n"/>
      <c r="J185" s="12" t="inlineStr">
        <is>
          <t>PA</t>
        </is>
      </c>
      <c r="K185" s="12" t="n"/>
      <c r="L185" s="12" t="n"/>
      <c r="M185" s="12" t="n"/>
      <c r="N185" s="12" t="n"/>
      <c r="O185" s="12" t="n"/>
      <c r="P185" s="12" t="n"/>
      <c r="Q185" s="12" t="n"/>
      <c r="R185" s="12" t="inlineStr">
        <is>
          <t>XSU</t>
        </is>
      </c>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row>
    <row r="186" customFormat="1" s="13">
      <c r="A186" s="11" t="inlineStr">
        <is>
          <t>#</t>
        </is>
      </c>
      <c r="B186" s="19" t="n"/>
      <c r="C186" s="12" t="n"/>
      <c r="D186" s="12" t="n"/>
      <c r="E186" s="12" t="n"/>
      <c r="F186" s="12" t="n"/>
      <c r="G186" s="12" t="n"/>
      <c r="H186" s="12" t="n"/>
      <c r="I186" s="12" t="n"/>
      <c r="J186" s="12" t="inlineStr">
        <is>
          <t>PE</t>
        </is>
      </c>
      <c r="K186" s="12" t="n"/>
      <c r="L186" s="12" t="n"/>
      <c r="M186" s="12" t="n"/>
      <c r="N186" s="12" t="n"/>
      <c r="O186" s="12" t="n"/>
      <c r="P186" s="12" t="n"/>
      <c r="Q186" s="12" t="n"/>
      <c r="R186" s="12" t="inlineStr">
        <is>
          <t>XTS</t>
        </is>
      </c>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row>
    <row r="187" customFormat="1" s="13">
      <c r="A187" s="11" t="inlineStr">
        <is>
          <t>#</t>
        </is>
      </c>
      <c r="B187" s="19" t="n"/>
      <c r="C187" s="12" t="n"/>
      <c r="D187" s="12" t="n"/>
      <c r="E187" s="12" t="n"/>
      <c r="F187" s="12" t="n"/>
      <c r="G187" s="12" t="n"/>
      <c r="H187" s="12" t="n"/>
      <c r="I187" s="12" t="n"/>
      <c r="J187" s="12" t="inlineStr">
        <is>
          <t>PF</t>
        </is>
      </c>
      <c r="K187" s="12" t="n"/>
      <c r="L187" s="12" t="n"/>
      <c r="M187" s="12" t="n"/>
      <c r="N187" s="12" t="n"/>
      <c r="O187" s="12" t="n"/>
      <c r="P187" s="12" t="n"/>
      <c r="Q187" s="12" t="n"/>
      <c r="R187" s="12" t="inlineStr">
        <is>
          <t>XUA</t>
        </is>
      </c>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row>
    <row r="188" customFormat="1" s="13">
      <c r="A188" s="11" t="inlineStr">
        <is>
          <t>#</t>
        </is>
      </c>
      <c r="B188" s="19" t="n"/>
      <c r="C188" s="12" t="n"/>
      <c r="D188" s="12" t="n"/>
      <c r="E188" s="12" t="n"/>
      <c r="F188" s="12" t="n"/>
      <c r="G188" s="12" t="n"/>
      <c r="H188" s="12" t="n"/>
      <c r="I188" s="12" t="n"/>
      <c r="J188" s="12" t="inlineStr">
        <is>
          <t>PG</t>
        </is>
      </c>
      <c r="K188" s="12" t="n"/>
      <c r="L188" s="12" t="n"/>
      <c r="M188" s="12" t="n"/>
      <c r="N188" s="12" t="n"/>
      <c r="O188" s="12" t="n"/>
      <c r="P188" s="12" t="n"/>
      <c r="Q188" s="12" t="n"/>
      <c r="R188" s="12" t="inlineStr">
        <is>
          <t>XXX</t>
        </is>
      </c>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row>
    <row r="189" customFormat="1" s="13">
      <c r="A189" s="11" t="inlineStr">
        <is>
          <t>#</t>
        </is>
      </c>
      <c r="B189" s="19" t="n"/>
      <c r="C189" s="12" t="n"/>
      <c r="D189" s="12" t="n"/>
      <c r="E189" s="12" t="n"/>
      <c r="F189" s="12" t="n"/>
      <c r="G189" s="12" t="n"/>
      <c r="H189" s="12" t="n"/>
      <c r="I189" s="12" t="n"/>
      <c r="J189" s="12" t="inlineStr">
        <is>
          <t>PH</t>
        </is>
      </c>
      <c r="K189" s="12" t="n"/>
      <c r="L189" s="12" t="n"/>
      <c r="M189" s="12" t="n"/>
      <c r="N189" s="12" t="n"/>
      <c r="O189" s="12" t="n"/>
      <c r="P189" s="12" t="n"/>
      <c r="Q189" s="12" t="n"/>
      <c r="R189" s="12" t="inlineStr">
        <is>
          <t>YER</t>
        </is>
      </c>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row>
    <row r="190" customFormat="1" s="13">
      <c r="A190" s="11" t="inlineStr">
        <is>
          <t>#</t>
        </is>
      </c>
      <c r="B190" s="19" t="n"/>
      <c r="C190" s="12" t="n"/>
      <c r="D190" s="12" t="n"/>
      <c r="E190" s="12" t="n"/>
      <c r="F190" s="12" t="n"/>
      <c r="G190" s="12" t="n"/>
      <c r="H190" s="12" t="n"/>
      <c r="I190" s="12" t="n"/>
      <c r="J190" s="12" t="inlineStr">
        <is>
          <t>PK</t>
        </is>
      </c>
      <c r="K190" s="12" t="n"/>
      <c r="L190" s="12" t="n"/>
      <c r="M190" s="12" t="n"/>
      <c r="N190" s="12" t="n"/>
      <c r="O190" s="12" t="n"/>
      <c r="P190" s="12" t="n"/>
      <c r="Q190" s="12" t="n"/>
      <c r="R190" s="12" t="inlineStr">
        <is>
          <t>ZAR</t>
        </is>
      </c>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row>
    <row r="191" customFormat="1" s="13">
      <c r="A191" s="11" t="inlineStr">
        <is>
          <t>#</t>
        </is>
      </c>
      <c r="B191" s="19" t="n"/>
      <c r="C191" s="12" t="n"/>
      <c r="D191" s="12" t="n"/>
      <c r="E191" s="12" t="n"/>
      <c r="F191" s="12" t="n"/>
      <c r="G191" s="12" t="n"/>
      <c r="H191" s="12" t="n"/>
      <c r="I191" s="12" t="n"/>
      <c r="J191" s="12" t="inlineStr">
        <is>
          <t>PL</t>
        </is>
      </c>
      <c r="K191" s="12" t="n"/>
      <c r="L191" s="12" t="n"/>
      <c r="M191" s="12" t="n"/>
      <c r="N191" s="12" t="n"/>
      <c r="O191" s="12" t="n"/>
      <c r="P191" s="12" t="n"/>
      <c r="Q191" s="12" t="n"/>
      <c r="R191" s="12" t="inlineStr">
        <is>
          <t>ZMW</t>
        </is>
      </c>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row>
    <row r="192" customFormat="1" s="13">
      <c r="A192" s="11" t="inlineStr">
        <is>
          <t>#</t>
        </is>
      </c>
      <c r="B192" s="19" t="n"/>
      <c r="C192" s="12" t="n"/>
      <c r="D192" s="12" t="n"/>
      <c r="E192" s="12" t="n"/>
      <c r="F192" s="12" t="n"/>
      <c r="G192" s="12" t="n"/>
      <c r="H192" s="12" t="n"/>
      <c r="I192" s="12" t="n"/>
      <c r="J192" s="12" t="inlineStr">
        <is>
          <t>PM</t>
        </is>
      </c>
      <c r="K192" s="12" t="n"/>
      <c r="L192" s="12" t="n"/>
      <c r="M192" s="12" t="n"/>
      <c r="N192" s="12" t="n"/>
      <c r="O192" s="12" t="n"/>
      <c r="P192" s="12" t="n"/>
      <c r="Q192" s="12" t="n"/>
      <c r="R192" s="12" t="inlineStr">
        <is>
          <t>ZWL</t>
        </is>
      </c>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row>
    <row r="193" customFormat="1" s="13">
      <c r="A193" s="11" t="inlineStr">
        <is>
          <t>#</t>
        </is>
      </c>
      <c r="B193" s="19" t="n"/>
      <c r="C193" s="12" t="n"/>
      <c r="D193" s="12" t="n"/>
      <c r="E193" s="12" t="n"/>
      <c r="F193" s="12" t="n"/>
      <c r="G193" s="12" t="n"/>
      <c r="H193" s="12" t="n"/>
      <c r="I193" s="12" t="n"/>
      <c r="J193" s="12" t="inlineStr">
        <is>
          <t>PN</t>
        </is>
      </c>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row>
    <row r="194" customFormat="1" s="13">
      <c r="A194" s="11" t="inlineStr">
        <is>
          <t>#</t>
        </is>
      </c>
      <c r="B194" s="19" t="n"/>
      <c r="C194" s="12" t="n"/>
      <c r="D194" s="12" t="n"/>
      <c r="E194" s="12" t="n"/>
      <c r="F194" s="12" t="n"/>
      <c r="G194" s="12" t="n"/>
      <c r="H194" s="12" t="n"/>
      <c r="I194" s="12" t="n"/>
      <c r="J194" s="12" t="inlineStr">
        <is>
          <t>PR</t>
        </is>
      </c>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row>
    <row r="195" customFormat="1" s="13">
      <c r="A195" s="11" t="inlineStr">
        <is>
          <t>#</t>
        </is>
      </c>
      <c r="B195" s="19" t="n"/>
      <c r="C195" s="12" t="n"/>
      <c r="D195" s="12" t="n"/>
      <c r="E195" s="12" t="n"/>
      <c r="F195" s="12" t="n"/>
      <c r="G195" s="12" t="n"/>
      <c r="H195" s="12" t="n"/>
      <c r="I195" s="12" t="n"/>
      <c r="J195" s="12" t="inlineStr">
        <is>
          <t>PS</t>
        </is>
      </c>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row>
    <row r="196" customFormat="1" s="13">
      <c r="A196" s="11" t="inlineStr">
        <is>
          <t>#</t>
        </is>
      </c>
      <c r="B196" s="19" t="n"/>
      <c r="C196" s="12" t="n"/>
      <c r="D196" s="12" t="n"/>
      <c r="E196" s="12" t="n"/>
      <c r="F196" s="12" t="n"/>
      <c r="G196" s="12" t="n"/>
      <c r="H196" s="12" t="n"/>
      <c r="I196" s="12" t="n"/>
      <c r="J196" s="12" t="inlineStr">
        <is>
          <t>PT</t>
        </is>
      </c>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row>
    <row r="197" customFormat="1" s="13">
      <c r="A197" s="11" t="inlineStr">
        <is>
          <t>#</t>
        </is>
      </c>
      <c r="B197" s="19" t="n"/>
      <c r="C197" s="12" t="n"/>
      <c r="D197" s="12" t="n"/>
      <c r="E197" s="12" t="n"/>
      <c r="F197" s="12" t="n"/>
      <c r="G197" s="12" t="n"/>
      <c r="H197" s="12" t="n"/>
      <c r="I197" s="12" t="n"/>
      <c r="J197" s="12" t="inlineStr">
        <is>
          <t>PW</t>
        </is>
      </c>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row>
    <row r="198" customFormat="1" s="13">
      <c r="A198" s="11" t="inlineStr">
        <is>
          <t>#</t>
        </is>
      </c>
      <c r="B198" s="19" t="n"/>
      <c r="C198" s="12" t="n"/>
      <c r="D198" s="12" t="n"/>
      <c r="E198" s="12" t="n"/>
      <c r="F198" s="12" t="n"/>
      <c r="G198" s="12" t="n"/>
      <c r="H198" s="12" t="n"/>
      <c r="I198" s="12" t="n"/>
      <c r="J198" s="12" t="inlineStr">
        <is>
          <t>PY</t>
        </is>
      </c>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row>
    <row r="199" customFormat="1" s="13">
      <c r="A199" s="11" t="inlineStr">
        <is>
          <t>#</t>
        </is>
      </c>
      <c r="B199" s="19" t="n"/>
      <c r="C199" s="12" t="n"/>
      <c r="D199" s="12" t="n"/>
      <c r="E199" s="12" t="n"/>
      <c r="F199" s="12" t="n"/>
      <c r="G199" s="12" t="n"/>
      <c r="H199" s="12" t="n"/>
      <c r="I199" s="12" t="n"/>
      <c r="J199" s="12" t="inlineStr">
        <is>
          <t>QA</t>
        </is>
      </c>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row>
    <row r="200" customFormat="1" s="13">
      <c r="A200" s="11" t="inlineStr">
        <is>
          <t>#</t>
        </is>
      </c>
      <c r="B200" s="19" t="n"/>
      <c r="C200" s="12" t="n"/>
      <c r="D200" s="12" t="n"/>
      <c r="E200" s="12" t="n"/>
      <c r="F200" s="12" t="n"/>
      <c r="G200" s="12" t="n"/>
      <c r="H200" s="12" t="n"/>
      <c r="I200" s="12" t="n"/>
      <c r="J200" s="12" t="inlineStr">
        <is>
          <t>RE</t>
        </is>
      </c>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row>
    <row r="201" customFormat="1" s="13">
      <c r="A201" s="11" t="inlineStr">
        <is>
          <t>#</t>
        </is>
      </c>
      <c r="B201" s="19" t="n"/>
      <c r="C201" s="12" t="n"/>
      <c r="D201" s="12" t="n"/>
      <c r="E201" s="12" t="n"/>
      <c r="F201" s="12" t="n"/>
      <c r="G201" s="12" t="n"/>
      <c r="H201" s="12" t="n"/>
      <c r="I201" s="12" t="n"/>
      <c r="J201" s="12" t="inlineStr">
        <is>
          <t>RO</t>
        </is>
      </c>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row>
    <row r="202" customFormat="1" s="13">
      <c r="A202" s="11" t="inlineStr">
        <is>
          <t>#</t>
        </is>
      </c>
      <c r="B202" s="19" t="n"/>
      <c r="C202" s="12" t="n"/>
      <c r="D202" s="12" t="n"/>
      <c r="E202" s="12" t="n"/>
      <c r="F202" s="12" t="n"/>
      <c r="G202" s="12" t="n"/>
      <c r="H202" s="12" t="n"/>
      <c r="I202" s="12" t="n"/>
      <c r="J202" s="12" t="inlineStr">
        <is>
          <t>RS</t>
        </is>
      </c>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row>
    <row r="203" customFormat="1" s="13">
      <c r="A203" s="11" t="inlineStr">
        <is>
          <t>#</t>
        </is>
      </c>
      <c r="B203" s="19" t="n"/>
      <c r="C203" s="12" t="n"/>
      <c r="D203" s="12" t="n"/>
      <c r="E203" s="12" t="n"/>
      <c r="F203" s="12" t="n"/>
      <c r="G203" s="12" t="n"/>
      <c r="H203" s="12" t="n"/>
      <c r="I203" s="12" t="n"/>
      <c r="J203" s="12" t="inlineStr">
        <is>
          <t>RU</t>
        </is>
      </c>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row>
    <row r="204" customFormat="1" s="13">
      <c r="A204" s="11" t="inlineStr">
        <is>
          <t>#</t>
        </is>
      </c>
      <c r="B204" s="19" t="n"/>
      <c r="C204" s="12" t="n"/>
      <c r="D204" s="12" t="n"/>
      <c r="E204" s="12" t="n"/>
      <c r="F204" s="12" t="n"/>
      <c r="G204" s="12" t="n"/>
      <c r="H204" s="12" t="n"/>
      <c r="I204" s="12" t="n"/>
      <c r="J204" s="12" t="inlineStr">
        <is>
          <t>RW</t>
        </is>
      </c>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row>
    <row r="205" customFormat="1" s="13">
      <c r="A205" s="11" t="inlineStr">
        <is>
          <t>#</t>
        </is>
      </c>
      <c r="B205" s="19" t="n"/>
      <c r="C205" s="12" t="n"/>
      <c r="D205" s="12" t="n"/>
      <c r="E205" s="12" t="n"/>
      <c r="F205" s="12" t="n"/>
      <c r="G205" s="12" t="n"/>
      <c r="H205" s="12" t="n"/>
      <c r="I205" s="12" t="n"/>
      <c r="J205" s="12" t="inlineStr">
        <is>
          <t>SA</t>
        </is>
      </c>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row>
    <row r="206" customFormat="1" s="13">
      <c r="A206" s="11" t="inlineStr">
        <is>
          <t>#</t>
        </is>
      </c>
      <c r="B206" s="19" t="n"/>
      <c r="C206" s="12" t="n"/>
      <c r="D206" s="12" t="n"/>
      <c r="E206" s="12" t="n"/>
      <c r="F206" s="12" t="n"/>
      <c r="G206" s="12" t="n"/>
      <c r="H206" s="12" t="n"/>
      <c r="I206" s="12" t="n"/>
      <c r="J206" s="12" t="inlineStr">
        <is>
          <t>SB</t>
        </is>
      </c>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row>
    <row r="207" customFormat="1" s="13">
      <c r="A207" s="11" t="inlineStr">
        <is>
          <t>#</t>
        </is>
      </c>
      <c r="B207" s="19" t="n"/>
      <c r="C207" s="12" t="n"/>
      <c r="D207" s="12" t="n"/>
      <c r="E207" s="12" t="n"/>
      <c r="F207" s="12" t="n"/>
      <c r="G207" s="12" t="n"/>
      <c r="H207" s="12" t="n"/>
      <c r="I207" s="12" t="n"/>
      <c r="J207" s="12" t="inlineStr">
        <is>
          <t>SC</t>
        </is>
      </c>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row>
    <row r="208" customFormat="1" s="13">
      <c r="A208" s="11" t="inlineStr">
        <is>
          <t>#</t>
        </is>
      </c>
      <c r="B208" s="19" t="n"/>
      <c r="C208" s="12" t="n"/>
      <c r="D208" s="12" t="n"/>
      <c r="E208" s="12" t="n"/>
      <c r="F208" s="12" t="n"/>
      <c r="G208" s="12" t="n"/>
      <c r="H208" s="12" t="n"/>
      <c r="I208" s="12" t="n"/>
      <c r="J208" s="12" t="inlineStr">
        <is>
          <t>SD</t>
        </is>
      </c>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row>
    <row r="209" customFormat="1" s="13">
      <c r="A209" s="11" t="inlineStr">
        <is>
          <t>#</t>
        </is>
      </c>
      <c r="B209" s="19" t="n"/>
      <c r="C209" s="12" t="n"/>
      <c r="D209" s="12" t="n"/>
      <c r="E209" s="12" t="n"/>
      <c r="F209" s="12" t="n"/>
      <c r="G209" s="12" t="n"/>
      <c r="H209" s="12" t="n"/>
      <c r="I209" s="12" t="n"/>
      <c r="J209" s="12" t="inlineStr">
        <is>
          <t>SE</t>
        </is>
      </c>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row>
    <row r="210" customFormat="1" s="13">
      <c r="A210" s="11" t="inlineStr">
        <is>
          <t>#</t>
        </is>
      </c>
      <c r="B210" s="19" t="n"/>
      <c r="C210" s="12" t="n"/>
      <c r="D210" s="12" t="n"/>
      <c r="E210" s="12" t="n"/>
      <c r="F210" s="12" t="n"/>
      <c r="G210" s="12" t="n"/>
      <c r="H210" s="12" t="n"/>
      <c r="I210" s="12" t="n"/>
      <c r="J210" s="12" t="inlineStr">
        <is>
          <t>SG</t>
        </is>
      </c>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row>
    <row r="211" customFormat="1" s="13">
      <c r="A211" s="11" t="inlineStr">
        <is>
          <t>#</t>
        </is>
      </c>
      <c r="B211" s="19" t="n"/>
      <c r="C211" s="12" t="n"/>
      <c r="D211" s="12" t="n"/>
      <c r="E211" s="12" t="n"/>
      <c r="F211" s="12" t="n"/>
      <c r="G211" s="12" t="n"/>
      <c r="H211" s="12" t="n"/>
      <c r="I211" s="12" t="n"/>
      <c r="J211" s="12" t="inlineStr">
        <is>
          <t>SH</t>
        </is>
      </c>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row>
    <row r="212" customFormat="1" s="13">
      <c r="A212" s="11" t="inlineStr">
        <is>
          <t>#</t>
        </is>
      </c>
      <c r="B212" s="19" t="n"/>
      <c r="C212" s="12" t="n"/>
      <c r="D212" s="12" t="n"/>
      <c r="E212" s="12" t="n"/>
      <c r="F212" s="12" t="n"/>
      <c r="G212" s="12" t="n"/>
      <c r="H212" s="12" t="n"/>
      <c r="I212" s="12" t="n"/>
      <c r="J212" s="12" t="inlineStr">
        <is>
          <t>SI</t>
        </is>
      </c>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row>
    <row r="213" customFormat="1" s="13">
      <c r="A213" s="11" t="inlineStr">
        <is>
          <t>#</t>
        </is>
      </c>
      <c r="B213" s="19" t="n"/>
      <c r="C213" s="12" t="n"/>
      <c r="D213" s="12" t="n"/>
      <c r="E213" s="12" t="n"/>
      <c r="F213" s="12" t="n"/>
      <c r="G213" s="12" t="n"/>
      <c r="H213" s="12" t="n"/>
      <c r="I213" s="12" t="n"/>
      <c r="J213" s="12" t="inlineStr">
        <is>
          <t>SJ</t>
        </is>
      </c>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row>
    <row r="214" customFormat="1" s="13">
      <c r="A214" s="11" t="inlineStr">
        <is>
          <t>#</t>
        </is>
      </c>
      <c r="B214" s="19" t="n"/>
      <c r="C214" s="12" t="n"/>
      <c r="D214" s="12" t="n"/>
      <c r="E214" s="12" t="n"/>
      <c r="F214" s="12" t="n"/>
      <c r="G214" s="12" t="n"/>
      <c r="H214" s="12" t="n"/>
      <c r="I214" s="12" t="n"/>
      <c r="J214" s="12" t="inlineStr">
        <is>
          <t>SK</t>
        </is>
      </c>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row>
    <row r="215" customFormat="1" s="13">
      <c r="A215" s="11" t="inlineStr">
        <is>
          <t>#</t>
        </is>
      </c>
      <c r="B215" s="19" t="n"/>
      <c r="C215" s="12" t="n"/>
      <c r="D215" s="12" t="n"/>
      <c r="E215" s="12" t="n"/>
      <c r="F215" s="12" t="n"/>
      <c r="G215" s="12" t="n"/>
      <c r="H215" s="12" t="n"/>
      <c r="I215" s="12" t="n"/>
      <c r="J215" s="12" t="inlineStr">
        <is>
          <t>SL</t>
        </is>
      </c>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row>
    <row r="216" customFormat="1" s="13">
      <c r="A216" s="11" t="inlineStr">
        <is>
          <t>#</t>
        </is>
      </c>
      <c r="B216" s="19" t="n"/>
      <c r="C216" s="12" t="n"/>
      <c r="D216" s="12" t="n"/>
      <c r="E216" s="12" t="n"/>
      <c r="F216" s="12" t="n"/>
      <c r="G216" s="12" t="n"/>
      <c r="H216" s="12" t="n"/>
      <c r="I216" s="12" t="n"/>
      <c r="J216" s="12" t="inlineStr">
        <is>
          <t>SM</t>
        </is>
      </c>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row>
    <row r="217" customFormat="1" s="13">
      <c r="A217" s="11" t="inlineStr">
        <is>
          <t>#</t>
        </is>
      </c>
      <c r="B217" s="19" t="n"/>
      <c r="C217" s="12" t="n"/>
      <c r="D217" s="12" t="n"/>
      <c r="E217" s="12" t="n"/>
      <c r="F217" s="12" t="n"/>
      <c r="G217" s="12" t="n"/>
      <c r="H217" s="12" t="n"/>
      <c r="I217" s="12" t="n"/>
      <c r="J217" s="12" t="inlineStr">
        <is>
          <t>SN</t>
        </is>
      </c>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row>
    <row r="218" customFormat="1" s="13">
      <c r="A218" s="11" t="inlineStr">
        <is>
          <t>#</t>
        </is>
      </c>
      <c r="B218" s="19" t="n"/>
      <c r="C218" s="12" t="n"/>
      <c r="D218" s="12" t="n"/>
      <c r="E218" s="12" t="n"/>
      <c r="F218" s="12" t="n"/>
      <c r="G218" s="12" t="n"/>
      <c r="H218" s="12" t="n"/>
      <c r="I218" s="12" t="n"/>
      <c r="J218" s="12" t="inlineStr">
        <is>
          <t>SO</t>
        </is>
      </c>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row>
    <row r="219" customFormat="1" s="13">
      <c r="A219" s="11" t="inlineStr">
        <is>
          <t>#</t>
        </is>
      </c>
      <c r="B219" s="19" t="n"/>
      <c r="C219" s="12" t="n"/>
      <c r="D219" s="12" t="n"/>
      <c r="E219" s="12" t="n"/>
      <c r="F219" s="12" t="n"/>
      <c r="G219" s="12" t="n"/>
      <c r="H219" s="12" t="n"/>
      <c r="I219" s="12" t="n"/>
      <c r="J219" s="12" t="inlineStr">
        <is>
          <t>SR</t>
        </is>
      </c>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row>
    <row r="220" customFormat="1" s="13">
      <c r="A220" s="11" t="inlineStr">
        <is>
          <t>#</t>
        </is>
      </c>
      <c r="B220" s="19" t="n"/>
      <c r="C220" s="12" t="n"/>
      <c r="D220" s="12" t="n"/>
      <c r="E220" s="12" t="n"/>
      <c r="F220" s="12" t="n"/>
      <c r="G220" s="12" t="n"/>
      <c r="H220" s="12" t="n"/>
      <c r="I220" s="12" t="n"/>
      <c r="J220" s="12" t="inlineStr">
        <is>
          <t>ST</t>
        </is>
      </c>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row>
    <row r="221" customFormat="1" s="13">
      <c r="A221" s="11" t="inlineStr">
        <is>
          <t>#</t>
        </is>
      </c>
      <c r="B221" s="19" t="n"/>
      <c r="C221" s="12" t="n"/>
      <c r="D221" s="12" t="n"/>
      <c r="E221" s="12" t="n"/>
      <c r="F221" s="12" t="n"/>
      <c r="G221" s="12" t="n"/>
      <c r="H221" s="12" t="n"/>
      <c r="I221" s="12" t="n"/>
      <c r="J221" s="12" t="inlineStr">
        <is>
          <t>SV</t>
        </is>
      </c>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row>
    <row r="222" customFormat="1" s="13">
      <c r="A222" s="11" t="inlineStr">
        <is>
          <t>#</t>
        </is>
      </c>
      <c r="B222" s="19" t="n"/>
      <c r="C222" s="12" t="n"/>
      <c r="D222" s="12" t="n"/>
      <c r="E222" s="12" t="n"/>
      <c r="F222" s="12" t="n"/>
      <c r="G222" s="12" t="n"/>
      <c r="H222" s="12" t="n"/>
      <c r="I222" s="12" t="n"/>
      <c r="J222" s="12" t="inlineStr">
        <is>
          <t>SY</t>
        </is>
      </c>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row>
    <row r="223" customFormat="1" s="13">
      <c r="A223" s="11" t="inlineStr">
        <is>
          <t>#</t>
        </is>
      </c>
      <c r="B223" s="19" t="n"/>
      <c r="C223" s="12" t="n"/>
      <c r="D223" s="12" t="n"/>
      <c r="E223" s="12" t="n"/>
      <c r="F223" s="12" t="n"/>
      <c r="G223" s="12" t="n"/>
      <c r="H223" s="12" t="n"/>
      <c r="I223" s="12" t="n"/>
      <c r="J223" s="12" t="inlineStr">
        <is>
          <t>SZ</t>
        </is>
      </c>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row>
    <row r="224" customFormat="1" s="13">
      <c r="A224" s="11" t="inlineStr">
        <is>
          <t>#</t>
        </is>
      </c>
      <c r="B224" s="19" t="n"/>
      <c r="C224" s="12" t="n"/>
      <c r="D224" s="12" t="n"/>
      <c r="E224" s="12" t="n"/>
      <c r="F224" s="12" t="n"/>
      <c r="G224" s="12" t="n"/>
      <c r="H224" s="12" t="n"/>
      <c r="I224" s="12" t="n"/>
      <c r="J224" s="12" t="inlineStr">
        <is>
          <t>TC</t>
        </is>
      </c>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row>
    <row r="225" customFormat="1" s="13">
      <c r="A225" s="11" t="inlineStr">
        <is>
          <t>#</t>
        </is>
      </c>
      <c r="B225" s="19" t="n"/>
      <c r="C225" s="12" t="n"/>
      <c r="D225" s="12" t="n"/>
      <c r="E225" s="12" t="n"/>
      <c r="F225" s="12" t="n"/>
      <c r="G225" s="12" t="n"/>
      <c r="H225" s="12" t="n"/>
      <c r="I225" s="12" t="n"/>
      <c r="J225" s="12" t="inlineStr">
        <is>
          <t>TD</t>
        </is>
      </c>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row>
    <row r="226" customFormat="1" s="13">
      <c r="A226" s="11" t="inlineStr">
        <is>
          <t>#</t>
        </is>
      </c>
      <c r="B226" s="19" t="n"/>
      <c r="C226" s="12" t="n"/>
      <c r="D226" s="12" t="n"/>
      <c r="E226" s="12" t="n"/>
      <c r="F226" s="12" t="n"/>
      <c r="G226" s="12" t="n"/>
      <c r="H226" s="12" t="n"/>
      <c r="I226" s="12" t="n"/>
      <c r="J226" s="12" t="inlineStr">
        <is>
          <t>TF</t>
        </is>
      </c>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row>
    <row r="227" customFormat="1" s="13">
      <c r="A227" s="11" t="inlineStr">
        <is>
          <t>#</t>
        </is>
      </c>
      <c r="B227" s="19" t="n"/>
      <c r="C227" s="12" t="n"/>
      <c r="D227" s="12" t="n"/>
      <c r="E227" s="12" t="n"/>
      <c r="F227" s="12" t="n"/>
      <c r="G227" s="12" t="n"/>
      <c r="H227" s="12" t="n"/>
      <c r="I227" s="12" t="n"/>
      <c r="J227" s="12" t="inlineStr">
        <is>
          <t>TG</t>
        </is>
      </c>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row>
    <row r="228" customFormat="1" s="13">
      <c r="A228" s="11" t="inlineStr">
        <is>
          <t>#</t>
        </is>
      </c>
      <c r="B228" s="19" t="n"/>
      <c r="C228" s="12" t="n"/>
      <c r="D228" s="12" t="n"/>
      <c r="E228" s="12" t="n"/>
      <c r="F228" s="12" t="n"/>
      <c r="G228" s="12" t="n"/>
      <c r="H228" s="12" t="n"/>
      <c r="I228" s="12" t="n"/>
      <c r="J228" s="12" t="inlineStr">
        <is>
          <t>TH</t>
        </is>
      </c>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row>
    <row r="229" customFormat="1" s="13">
      <c r="A229" s="11" t="inlineStr">
        <is>
          <t>#</t>
        </is>
      </c>
      <c r="B229" s="19" t="n"/>
      <c r="C229" s="12" t="n"/>
      <c r="D229" s="12" t="n"/>
      <c r="E229" s="12" t="n"/>
      <c r="F229" s="12" t="n"/>
      <c r="G229" s="12" t="n"/>
      <c r="H229" s="12" t="n"/>
      <c r="I229" s="12" t="n"/>
      <c r="J229" s="12" t="inlineStr">
        <is>
          <t>TJ</t>
        </is>
      </c>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row>
    <row r="230" customFormat="1" s="13">
      <c r="A230" s="11" t="inlineStr">
        <is>
          <t>#</t>
        </is>
      </c>
      <c r="B230" s="19" t="n"/>
      <c r="C230" s="12" t="n"/>
      <c r="D230" s="12" t="n"/>
      <c r="E230" s="12" t="n"/>
      <c r="F230" s="12" t="n"/>
      <c r="G230" s="12" t="n"/>
      <c r="H230" s="12" t="n"/>
      <c r="I230" s="12" t="n"/>
      <c r="J230" s="12" t="inlineStr">
        <is>
          <t>TK</t>
        </is>
      </c>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row>
    <row r="231" customFormat="1" s="13">
      <c r="A231" s="11" t="inlineStr">
        <is>
          <t>#</t>
        </is>
      </c>
      <c r="B231" s="19" t="n"/>
      <c r="C231" s="12" t="n"/>
      <c r="D231" s="12" t="n"/>
      <c r="E231" s="12" t="n"/>
      <c r="F231" s="12" t="n"/>
      <c r="G231" s="12" t="n"/>
      <c r="H231" s="12" t="n"/>
      <c r="I231" s="12" t="n"/>
      <c r="J231" s="12" t="inlineStr">
        <is>
          <t>TL</t>
        </is>
      </c>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row>
    <row r="232" customFormat="1" s="13">
      <c r="A232" s="11" t="inlineStr">
        <is>
          <t>#</t>
        </is>
      </c>
      <c r="B232" s="19" t="n"/>
      <c r="C232" s="12" t="n"/>
      <c r="D232" s="12" t="n"/>
      <c r="E232" s="12" t="n"/>
      <c r="F232" s="12" t="n"/>
      <c r="G232" s="12" t="n"/>
      <c r="H232" s="12" t="n"/>
      <c r="I232" s="12" t="n"/>
      <c r="J232" s="12" t="inlineStr">
        <is>
          <t>TM</t>
        </is>
      </c>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row>
    <row r="233" customFormat="1" s="13">
      <c r="A233" s="11" t="inlineStr">
        <is>
          <t>#</t>
        </is>
      </c>
      <c r="B233" s="19" t="n"/>
      <c r="C233" s="12" t="n"/>
      <c r="D233" s="12" t="n"/>
      <c r="E233" s="12" t="n"/>
      <c r="F233" s="12" t="n"/>
      <c r="G233" s="12" t="n"/>
      <c r="H233" s="12" t="n"/>
      <c r="I233" s="12" t="n"/>
      <c r="J233" s="12" t="inlineStr">
        <is>
          <t>TN</t>
        </is>
      </c>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row>
    <row r="234" customFormat="1" s="13">
      <c r="A234" s="11" t="inlineStr">
        <is>
          <t>#</t>
        </is>
      </c>
      <c r="B234" s="19" t="n"/>
      <c r="C234" s="12" t="n"/>
      <c r="D234" s="12" t="n"/>
      <c r="E234" s="12" t="n"/>
      <c r="F234" s="12" t="n"/>
      <c r="G234" s="12" t="n"/>
      <c r="H234" s="12" t="n"/>
      <c r="I234" s="12" t="n"/>
      <c r="J234" s="12" t="inlineStr">
        <is>
          <t>TO</t>
        </is>
      </c>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row>
    <row r="235" customFormat="1" s="13">
      <c r="A235" s="11" t="inlineStr">
        <is>
          <t>#</t>
        </is>
      </c>
      <c r="B235" s="19" t="n"/>
      <c r="C235" s="12" t="n"/>
      <c r="D235" s="12" t="n"/>
      <c r="E235" s="12" t="n"/>
      <c r="F235" s="12" t="n"/>
      <c r="G235" s="12" t="n"/>
      <c r="H235" s="12" t="n"/>
      <c r="I235" s="12" t="n"/>
      <c r="J235" s="12" t="inlineStr">
        <is>
          <t>TR</t>
        </is>
      </c>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row>
    <row r="236" customFormat="1" s="13">
      <c r="A236" s="11" t="inlineStr">
        <is>
          <t>#</t>
        </is>
      </c>
      <c r="B236" s="19" t="n"/>
      <c r="C236" s="12" t="n"/>
      <c r="D236" s="12" t="n"/>
      <c r="E236" s="12" t="n"/>
      <c r="F236" s="12" t="n"/>
      <c r="G236" s="12" t="n"/>
      <c r="H236" s="12" t="n"/>
      <c r="I236" s="12" t="n"/>
      <c r="J236" s="12" t="inlineStr">
        <is>
          <t>TT</t>
        </is>
      </c>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row>
    <row r="237" customFormat="1" s="13">
      <c r="A237" s="11" t="inlineStr">
        <is>
          <t>#</t>
        </is>
      </c>
      <c r="B237" s="19" t="n"/>
      <c r="C237" s="12" t="n"/>
      <c r="D237" s="12" t="n"/>
      <c r="E237" s="12" t="n"/>
      <c r="F237" s="12" t="n"/>
      <c r="G237" s="12" t="n"/>
      <c r="H237" s="12" t="n"/>
      <c r="I237" s="12" t="n"/>
      <c r="J237" s="12" t="inlineStr">
        <is>
          <t>TV</t>
        </is>
      </c>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row>
    <row r="238" customFormat="1" s="13">
      <c r="A238" s="11" t="inlineStr">
        <is>
          <t>#</t>
        </is>
      </c>
      <c r="B238" s="19" t="n"/>
      <c r="C238" s="12" t="n"/>
      <c r="D238" s="12" t="n"/>
      <c r="E238" s="12" t="n"/>
      <c r="F238" s="12" t="n"/>
      <c r="G238" s="12" t="n"/>
      <c r="H238" s="12" t="n"/>
      <c r="I238" s="12" t="n"/>
      <c r="J238" s="12" t="inlineStr">
        <is>
          <t>TW</t>
        </is>
      </c>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row>
    <row r="239" customFormat="1" s="13">
      <c r="A239" s="11" t="inlineStr">
        <is>
          <t>#</t>
        </is>
      </c>
      <c r="B239" s="19" t="n"/>
      <c r="C239" s="12" t="n"/>
      <c r="D239" s="12" t="n"/>
      <c r="E239" s="12" t="n"/>
      <c r="F239" s="12" t="n"/>
      <c r="G239" s="12" t="n"/>
      <c r="H239" s="12" t="n"/>
      <c r="I239" s="12" t="n"/>
      <c r="J239" s="12" t="inlineStr">
        <is>
          <t>TZ</t>
        </is>
      </c>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row>
    <row r="240" customFormat="1" s="13">
      <c r="A240" s="11" t="inlineStr">
        <is>
          <t>#</t>
        </is>
      </c>
      <c r="B240" s="19" t="n"/>
      <c r="C240" s="12" t="n"/>
      <c r="D240" s="12" t="n"/>
      <c r="E240" s="12" t="n"/>
      <c r="F240" s="12" t="n"/>
      <c r="G240" s="12" t="n"/>
      <c r="H240" s="12" t="n"/>
      <c r="I240" s="12" t="n"/>
      <c r="J240" s="12" t="inlineStr">
        <is>
          <t>UA</t>
        </is>
      </c>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row>
    <row r="241" customFormat="1" s="13">
      <c r="A241" s="11" t="inlineStr">
        <is>
          <t>#</t>
        </is>
      </c>
      <c r="B241" s="19" t="n"/>
      <c r="C241" s="12" t="n"/>
      <c r="D241" s="12" t="n"/>
      <c r="E241" s="12" t="n"/>
      <c r="F241" s="12" t="n"/>
      <c r="G241" s="12" t="n"/>
      <c r="H241" s="12" t="n"/>
      <c r="I241" s="12" t="n"/>
      <c r="J241" s="12" t="inlineStr">
        <is>
          <t>UG</t>
        </is>
      </c>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row>
    <row r="242" customFormat="1" s="13">
      <c r="A242" s="11" t="inlineStr">
        <is>
          <t>#</t>
        </is>
      </c>
      <c r="B242" s="19" t="n"/>
      <c r="C242" s="12" t="n"/>
      <c r="D242" s="12" t="n"/>
      <c r="E242" s="12" t="n"/>
      <c r="F242" s="12" t="n"/>
      <c r="G242" s="12" t="n"/>
      <c r="H242" s="12" t="n"/>
      <c r="I242" s="12" t="n"/>
      <c r="J242" s="12" t="inlineStr">
        <is>
          <t>UM</t>
        </is>
      </c>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row>
    <row r="243" customFormat="1" s="13">
      <c r="A243" s="11" t="inlineStr">
        <is>
          <t>#</t>
        </is>
      </c>
      <c r="B243" s="19" t="n"/>
      <c r="C243" s="12" t="n"/>
      <c r="D243" s="12" t="n"/>
      <c r="E243" s="12" t="n"/>
      <c r="F243" s="12" t="n"/>
      <c r="G243" s="12" t="n"/>
      <c r="H243" s="12" t="n"/>
      <c r="I243" s="12" t="n"/>
      <c r="J243" s="12" t="inlineStr">
        <is>
          <t>US</t>
        </is>
      </c>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row>
    <row r="244" customFormat="1" s="13">
      <c r="A244" s="11" t="inlineStr">
        <is>
          <t>#</t>
        </is>
      </c>
      <c r="B244" s="19" t="n"/>
      <c r="C244" s="12" t="n"/>
      <c r="D244" s="12" t="n"/>
      <c r="E244" s="12" t="n"/>
      <c r="F244" s="12" t="n"/>
      <c r="G244" s="12" t="n"/>
      <c r="H244" s="12" t="n"/>
      <c r="I244" s="12" t="n"/>
      <c r="J244" s="12" t="inlineStr">
        <is>
          <t>UY</t>
        </is>
      </c>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row>
    <row r="245" customFormat="1" s="13">
      <c r="A245" s="11" t="inlineStr">
        <is>
          <t>#</t>
        </is>
      </c>
      <c r="B245" s="19" t="n"/>
      <c r="C245" s="12" t="n"/>
      <c r="D245" s="12" t="n"/>
      <c r="E245" s="12" t="n"/>
      <c r="F245" s="12" t="n"/>
      <c r="G245" s="12" t="n"/>
      <c r="H245" s="12" t="n"/>
      <c r="I245" s="12" t="n"/>
      <c r="J245" s="12" t="inlineStr">
        <is>
          <t>UZ</t>
        </is>
      </c>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row>
    <row r="246" customFormat="1" s="13">
      <c r="A246" s="11" t="inlineStr">
        <is>
          <t>#</t>
        </is>
      </c>
      <c r="B246" s="19" t="n"/>
      <c r="C246" s="12" t="n"/>
      <c r="D246" s="12" t="n"/>
      <c r="E246" s="12" t="n"/>
      <c r="F246" s="12" t="n"/>
      <c r="G246" s="12" t="n"/>
      <c r="H246" s="12" t="n"/>
      <c r="I246" s="12" t="n"/>
      <c r="J246" s="12" t="inlineStr">
        <is>
          <t>VA</t>
        </is>
      </c>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row>
    <row r="247" customFormat="1" s="13">
      <c r="A247" s="11" t="inlineStr">
        <is>
          <t>#</t>
        </is>
      </c>
      <c r="B247" s="19" t="n"/>
      <c r="C247" s="12" t="n"/>
      <c r="D247" s="12" t="n"/>
      <c r="E247" s="12" t="n"/>
      <c r="F247" s="12" t="n"/>
      <c r="G247" s="12" t="n"/>
      <c r="H247" s="12" t="n"/>
      <c r="I247" s="12" t="n"/>
      <c r="J247" s="12" t="inlineStr">
        <is>
          <t>VC</t>
        </is>
      </c>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row>
    <row r="248" customFormat="1" s="13">
      <c r="A248" s="11" t="inlineStr">
        <is>
          <t>#</t>
        </is>
      </c>
      <c r="B248" s="19" t="n"/>
      <c r="C248" s="12" t="n"/>
      <c r="D248" s="12" t="n"/>
      <c r="E248" s="12" t="n"/>
      <c r="F248" s="12" t="n"/>
      <c r="G248" s="12" t="n"/>
      <c r="H248" s="12" t="n"/>
      <c r="I248" s="12" t="n"/>
      <c r="J248" s="12" t="inlineStr">
        <is>
          <t>VE</t>
        </is>
      </c>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row>
    <row r="249" customFormat="1" s="13">
      <c r="A249" s="11" t="inlineStr">
        <is>
          <t>#</t>
        </is>
      </c>
      <c r="B249" s="19" t="n"/>
      <c r="C249" s="12" t="n"/>
      <c r="D249" s="12" t="n"/>
      <c r="E249" s="12" t="n"/>
      <c r="F249" s="12" t="n"/>
      <c r="G249" s="12" t="n"/>
      <c r="H249" s="12" t="n"/>
      <c r="I249" s="12" t="n"/>
      <c r="J249" s="12" t="inlineStr">
        <is>
          <t>VG</t>
        </is>
      </c>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row>
    <row r="250" customFormat="1" s="13">
      <c r="A250" s="11" t="inlineStr">
        <is>
          <t>#</t>
        </is>
      </c>
      <c r="B250" s="19" t="n"/>
      <c r="C250" s="12" t="n"/>
      <c r="D250" s="12" t="n"/>
      <c r="E250" s="12" t="n"/>
      <c r="F250" s="12" t="n"/>
      <c r="G250" s="12" t="n"/>
      <c r="H250" s="12" t="n"/>
      <c r="I250" s="12" t="n"/>
      <c r="J250" s="12" t="inlineStr">
        <is>
          <t>VI</t>
        </is>
      </c>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row>
    <row r="251" customFormat="1" s="13">
      <c r="A251" s="11" t="inlineStr">
        <is>
          <t>#</t>
        </is>
      </c>
      <c r="B251" s="19" t="n"/>
      <c r="C251" s="12" t="n"/>
      <c r="D251" s="12" t="n"/>
      <c r="E251" s="12" t="n"/>
      <c r="F251" s="12" t="n"/>
      <c r="G251" s="12" t="n"/>
      <c r="H251" s="12" t="n"/>
      <c r="I251" s="12" t="n"/>
      <c r="J251" s="12" t="inlineStr">
        <is>
          <t>VN</t>
        </is>
      </c>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row>
    <row r="252" customFormat="1" s="13">
      <c r="A252" s="11" t="inlineStr">
        <is>
          <t>#</t>
        </is>
      </c>
      <c r="B252" s="19" t="n"/>
      <c r="C252" s="12" t="n"/>
      <c r="D252" s="12" t="n"/>
      <c r="E252" s="12" t="n"/>
      <c r="F252" s="12" t="n"/>
      <c r="G252" s="12" t="n"/>
      <c r="H252" s="12" t="n"/>
      <c r="I252" s="12" t="n"/>
      <c r="J252" s="12" t="inlineStr">
        <is>
          <t>VU</t>
        </is>
      </c>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row>
    <row r="253" customFormat="1" s="13">
      <c r="A253" s="11" t="inlineStr">
        <is>
          <t>#</t>
        </is>
      </c>
      <c r="B253" s="19" t="n"/>
      <c r="C253" s="12" t="n"/>
      <c r="D253" s="12" t="n"/>
      <c r="E253" s="12" t="n"/>
      <c r="F253" s="12" t="n"/>
      <c r="G253" s="12" t="n"/>
      <c r="H253" s="12" t="n"/>
      <c r="I253" s="12" t="n"/>
      <c r="J253" s="12" t="inlineStr">
        <is>
          <t>WF</t>
        </is>
      </c>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row>
    <row r="254" customFormat="1" s="13">
      <c r="A254" s="11" t="inlineStr">
        <is>
          <t>#</t>
        </is>
      </c>
      <c r="B254" s="19" t="n"/>
      <c r="C254" s="12" t="n"/>
      <c r="D254" s="12" t="n"/>
      <c r="E254" s="12" t="n"/>
      <c r="F254" s="12" t="n"/>
      <c r="G254" s="12" t="n"/>
      <c r="H254" s="12" t="n"/>
      <c r="I254" s="12" t="n"/>
      <c r="J254" s="12" t="inlineStr">
        <is>
          <t>WS</t>
        </is>
      </c>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row>
    <row r="255" customFormat="1" s="13">
      <c r="A255" s="11" t="inlineStr">
        <is>
          <t>#</t>
        </is>
      </c>
      <c r="B255" s="19" t="n"/>
      <c r="C255" s="12" t="n"/>
      <c r="D255" s="12" t="n"/>
      <c r="E255" s="12" t="n"/>
      <c r="F255" s="12" t="n"/>
      <c r="G255" s="12" t="n"/>
      <c r="H255" s="12" t="n"/>
      <c r="I255" s="12" t="n"/>
      <c r="J255" s="12" t="inlineStr">
        <is>
          <t>YE</t>
        </is>
      </c>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row>
    <row r="256" ht="11" customFormat="1" customHeight="1" s="13" thickBot="1">
      <c r="A256" s="11" t="inlineStr">
        <is>
          <t>#</t>
        </is>
      </c>
      <c r="B256" s="20" t="n"/>
      <c r="C256" s="12" t="n"/>
      <c r="D256" s="12" t="n"/>
      <c r="E256" s="12" t="n"/>
      <c r="F256" s="12" t="n"/>
      <c r="G256" s="12" t="n"/>
      <c r="H256" s="12" t="n"/>
      <c r="I256" s="12" t="n"/>
      <c r="J256" s="12" t="inlineStr">
        <is>
          <t>YT</t>
        </is>
      </c>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row>
    <row r="257" customFormat="1" s="13">
      <c r="A257" s="11" t="inlineStr">
        <is>
          <t>#</t>
        </is>
      </c>
      <c r="C257" s="12" t="n"/>
      <c r="D257" s="12" t="n"/>
      <c r="E257" s="12" t="n"/>
      <c r="F257" s="12" t="n"/>
      <c r="G257" s="12" t="n"/>
      <c r="H257" s="12" t="n"/>
      <c r="I257" s="12" t="n"/>
      <c r="J257" s="12" t="inlineStr">
        <is>
          <t>ZA</t>
        </is>
      </c>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row>
    <row r="258" ht="11" customFormat="1" customHeight="1" s="13" thickBot="1">
      <c r="A258" s="11" t="inlineStr">
        <is>
          <t>#</t>
        </is>
      </c>
      <c r="C258" s="16" t="n"/>
      <c r="D258" s="17" t="n"/>
      <c r="E258" s="17" t="n"/>
      <c r="F258" s="17" t="n"/>
      <c r="G258" s="17" t="n"/>
      <c r="H258" s="17" t="n"/>
      <c r="I258" s="17" t="n"/>
      <c r="J258" s="12" t="inlineStr">
        <is>
          <t>ZM</t>
        </is>
      </c>
      <c r="K258" s="17" t="n"/>
      <c r="L258" s="17" t="n"/>
      <c r="M258" s="17"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row>
    <row r="259" ht="11" customHeight="1" thickBot="1">
      <c r="C259" s="2" t="n"/>
      <c r="D259" s="2" t="n"/>
      <c r="E259" s="2" t="n"/>
      <c r="F259" s="2" t="n"/>
      <c r="G259" s="2" t="n"/>
      <c r="H259" s="2" t="n"/>
      <c r="I259" s="2" t="n"/>
      <c r="J259" s="17" t="inlineStr">
        <is>
          <t>ZW</t>
        </is>
      </c>
      <c r="R259" s="12" t="n"/>
      <c r="U259" s="12" t="n"/>
      <c r="V259" s="12" t="n"/>
    </row>
    <row r="260">
      <c r="C260" s="2" t="n"/>
      <c r="D260" s="2" t="n"/>
      <c r="E260" s="2" t="n"/>
      <c r="F260" s="2" t="n"/>
      <c r="G260" s="2" t="n"/>
      <c r="H260" s="2" t="n"/>
      <c r="I260" s="2" t="n"/>
      <c r="R260" s="12" t="n"/>
      <c r="U260" s="12" t="n"/>
      <c r="V260" s="12" t="n"/>
    </row>
    <row r="261">
      <c r="C261" s="2" t="n"/>
      <c r="D261" s="2" t="n"/>
      <c r="E261" s="2" t="n"/>
      <c r="F261" s="2" t="n"/>
      <c r="G261" s="2" t="n"/>
      <c r="H261" s="2" t="n"/>
      <c r="I261" s="2" t="n"/>
      <c r="R261" s="12" t="n"/>
    </row>
    <row r="262">
      <c r="C262" s="2" t="n"/>
      <c r="D262" s="2" t="n"/>
      <c r="E262" s="2" t="n"/>
      <c r="F262" s="2" t="n"/>
      <c r="G262" s="2" t="n"/>
      <c r="H262" s="2" t="n"/>
      <c r="I262" s="2" t="n"/>
    </row>
    <row r="263">
      <c r="C263" s="2" t="n"/>
      <c r="D263" s="2" t="n"/>
      <c r="E263" s="2" t="n"/>
      <c r="F263" s="2" t="n"/>
      <c r="G263" s="2" t="n"/>
      <c r="H263" s="2" t="n"/>
      <c r="I263" s="2" t="n"/>
    </row>
    <row r="264">
      <c r="C264" s="2" t="n"/>
      <c r="D264" s="2" t="n"/>
      <c r="E264" s="2" t="n"/>
      <c r="F264" s="2" t="n"/>
      <c r="G264" s="2" t="n"/>
      <c r="H264" s="2" t="n"/>
      <c r="I264" s="2" t="n"/>
    </row>
    <row r="265">
      <c r="C265" s="2" t="n"/>
      <c r="D265" s="2" t="n"/>
      <c r="E265" s="2" t="n"/>
      <c r="F265" s="2" t="n"/>
      <c r="G265" s="2" t="n"/>
      <c r="H265" s="2" t="n"/>
      <c r="I265" s="2" t="n"/>
    </row>
    <row r="266">
      <c r="C266" s="2" t="n"/>
      <c r="D266" s="2" t="n"/>
      <c r="E266" s="2" t="n"/>
      <c r="F266" s="2" t="n"/>
      <c r="G266" s="2" t="n"/>
      <c r="H266" s="2" t="n"/>
      <c r="I266" s="2" t="n"/>
    </row>
    <row r="267">
      <c r="C267" s="2" t="n"/>
      <c r="D267" s="2" t="n"/>
      <c r="E267" s="2" t="n"/>
      <c r="F267" s="2" t="n"/>
      <c r="G267" s="2" t="n"/>
      <c r="H267" s="2" t="n"/>
      <c r="I267" s="2" t="n"/>
    </row>
    <row r="268">
      <c r="C268" s="2" t="n"/>
      <c r="D268" s="2" t="n"/>
      <c r="E268" s="2" t="n"/>
      <c r="F268" s="2" t="n"/>
      <c r="G268" s="2" t="n"/>
      <c r="H268" s="2" t="n"/>
      <c r="I268" s="2" t="n"/>
    </row>
    <row r="269">
      <c r="C269" s="2" t="n"/>
      <c r="D269" s="2" t="n"/>
      <c r="E269" s="2" t="n"/>
      <c r="F269" s="2" t="n"/>
      <c r="G269" s="2" t="n"/>
      <c r="H269" s="2" t="n"/>
      <c r="I269" s="2" t="n"/>
    </row>
    <row r="270">
      <c r="C270" s="2" t="n"/>
      <c r="D270" s="2" t="n"/>
      <c r="E270" s="2" t="n"/>
      <c r="F270" s="2" t="n"/>
      <c r="G270" s="2" t="n"/>
      <c r="H270" s="2" t="n"/>
      <c r="I270" s="2" t="n"/>
    </row>
  </sheetData>
  <mergeCells count="3">
    <mergeCell ref="N2:AJ2"/>
    <mergeCell ref="K2:M2"/>
    <mergeCell ref="C2:J2"/>
  </mergeCells>
  <pageMargins left="0.7086614173228347" right="0.7086614173228347" top="0.7480314960629921" bottom="0.7480314960629921" header="0.3149606299212598" footer="0.3149606299212598"/>
  <pageSetup orientation="landscape" paperSize="8" scale="66" fitToHeight="0"/>
</worksheet>
</file>

<file path=xl/worksheets/sheet20.xml><?xml version="1.0" encoding="utf-8"?>
<worksheet xmlns="http://schemas.openxmlformats.org/spreadsheetml/2006/main">
  <sheetPr>
    <tabColor theme="4" tint="-0.499984740745262"/>
    <outlinePr summaryBelow="1" summaryRight="1"/>
    <pageSetUpPr fitToPage="1"/>
  </sheetPr>
  <dimension ref="A1:F319"/>
  <sheetViews>
    <sheetView topLeftCell="A37" workbookViewId="0">
      <selection activeCell="E45" sqref="E45"/>
    </sheetView>
  </sheetViews>
  <sheetFormatPr baseColWidth="10" defaultColWidth="8.81640625" defaultRowHeight="10.5"/>
  <cols>
    <col width="40.81640625" customWidth="1" style="114" min="1" max="1"/>
    <col width="19.1796875" customWidth="1" style="141" min="2" max="2"/>
    <col width="43.81640625" customWidth="1" style="124" min="3" max="3"/>
    <col width="38" customWidth="1" style="122" min="4" max="4"/>
    <col width="89.453125" customWidth="1" style="123" min="5" max="5"/>
    <col width="56.453125" customWidth="1" style="123" min="6" max="6"/>
    <col width="8.81640625" customWidth="1" style="124" min="7" max="16384"/>
  </cols>
  <sheetData>
    <row r="1" ht="12" customFormat="1" customHeight="1" s="26">
      <c r="A1" s="27" t="inlineStr">
        <is>
          <t># Template version</t>
        </is>
      </c>
      <c r="B1" s="176" t="inlineStr">
        <is>
          <t>1.138</t>
        </is>
      </c>
      <c r="C1" s="170" t="inlineStr">
        <is>
          <t>(Click here to download the latest template)</t>
        </is>
      </c>
      <c r="D1" s="167" t="inlineStr">
        <is>
          <t>Please note: older versions of the template can still be processed, only update if you prefer the latest documentation.</t>
        </is>
      </c>
      <c r="E1" s="168" t="n"/>
      <c r="F1" s="168" t="n"/>
    </row>
    <row r="2" ht="12" customFormat="1" customHeight="1" s="26">
      <c r="A2" s="27" t="inlineStr">
        <is>
          <t>#</t>
        </is>
      </c>
      <c r="B2" s="176" t="n"/>
      <c r="C2" s="170" t="inlineStr">
        <is>
          <t>(Click here to download the Quick Guide)</t>
        </is>
      </c>
    </row>
    <row r="3"/>
    <row r="4" ht="15.5" customHeight="1">
      <c r="A4" s="112" t="inlineStr">
        <is>
          <t>Matterhorn Annex IV Input Format</t>
        </is>
      </c>
      <c r="B4" s="142" t="n"/>
      <c r="C4" s="143" t="n"/>
      <c r="D4" s="113" t="n"/>
      <c r="E4" s="112" t="n"/>
      <c r="F4" s="112" t="n"/>
    </row>
    <row r="5" ht="15.5" customHeight="1">
      <c r="A5" s="147" t="inlineStr">
        <is>
          <t>To ensure future expandability, no data may be present other than the fields specified below (i.e. no extras columns to the right).</t>
        </is>
      </c>
      <c r="B5" s="144" t="n"/>
      <c r="C5" s="145" t="n"/>
      <c r="D5" s="148" t="n"/>
      <c r="E5" s="146" t="n"/>
      <c r="F5" s="146" t="n"/>
    </row>
    <row r="6" ht="15.5" customHeight="1">
      <c r="A6" s="147" t="inlineStr">
        <is>
          <t>In the input data, any row that has no data in the first column or has data starting with a "#" in the first column is ignored. These rows are meant for documentation purposes only.</t>
        </is>
      </c>
      <c r="B6" s="144" t="n"/>
      <c r="C6" s="145" t="n"/>
      <c r="D6" s="148" t="n"/>
      <c r="E6" s="146" t="n"/>
      <c r="F6" s="146" t="n"/>
    </row>
    <row r="7" ht="15.5" customHeight="1">
      <c r="A7" s="147" t="inlineStr">
        <is>
          <t>If using an Excel document for input, sheet names starting with a "#" are ignored. These sheets are meant for documentation purposes only.</t>
        </is>
      </c>
      <c r="B7" s="144" t="n"/>
      <c r="C7" s="145" t="n"/>
      <c r="D7" s="148" t="n"/>
      <c r="E7" s="146" t="n"/>
      <c r="F7" s="146" t="n"/>
    </row>
    <row r="8" ht="15.5" customHeight="1">
      <c r="A8" s="147" t="inlineStr">
        <is>
          <t>All fields that accept true/false also accept yes/no (e.g. AIF Last reporting flag [AIF 13]). Matterhorn automatically converts yes/no into true/false. The app shows the ESMA standard true/false.</t>
        </is>
      </c>
      <c r="B8" s="144" t="n"/>
      <c r="C8" s="145" t="n"/>
      <c r="D8" s="148" t="n"/>
      <c r="E8" s="146" t="n"/>
      <c r="F8" s="146" t="n"/>
    </row>
    <row r="9">
      <c r="A9" s="119" t="n"/>
      <c r="B9" s="120" t="n"/>
      <c r="C9" s="121" t="n"/>
    </row>
    <row r="10">
      <c r="A10" s="115" t="inlineStr">
        <is>
          <t>Input Record Name</t>
        </is>
      </c>
      <c r="B10" s="116" t="inlineStr">
        <is>
          <t>ESMA ID or Custom ID</t>
        </is>
      </c>
      <c r="C10" s="115" t="inlineStr">
        <is>
          <t>displayName (from ESMA it technical)</t>
        </is>
      </c>
      <c r="D10" s="117" t="inlineStr">
        <is>
          <t>Mandatory/Optional/Conditional/Legacy</t>
        </is>
      </c>
      <c r="E10" s="118" t="inlineStr">
        <is>
          <t>Description</t>
        </is>
      </c>
      <c r="F10" s="118" t="inlineStr">
        <is>
          <t>Notes</t>
        </is>
      </c>
    </row>
    <row r="11">
      <c r="A11" s="119" t="n"/>
      <c r="B11" s="120" t="n"/>
      <c r="C11" s="121" t="n"/>
    </row>
    <row r="12">
      <c r="A12" s="115" t="inlineStr">
        <is>
          <t>INPUT_FORMAT (Only used to instruct the Reporting application, mandatory record for all file uploads )</t>
        </is>
      </c>
      <c r="B12" s="125" t="n"/>
      <c r="C12" s="126" t="n"/>
      <c r="D12" s="127" t="inlineStr">
        <is>
          <t>Mandatory</t>
        </is>
      </c>
      <c r="E12" s="128" t="inlineStr">
        <is>
          <t>For all AIF Content Types</t>
        </is>
      </c>
      <c r="F12" s="129" t="n"/>
    </row>
    <row r="13">
      <c r="A13" s="119" t="inlineStr">
        <is>
          <t>INPUT_FORMAT</t>
        </is>
      </c>
      <c r="B13" s="130" t="inlineStr">
        <is>
          <t>input_format_type</t>
        </is>
      </c>
      <c r="C13" s="121" t="inlineStr">
        <is>
          <t>Input Format Type</t>
        </is>
      </c>
      <c r="D13" s="122" t="inlineStr">
        <is>
          <t>Mandatory</t>
        </is>
      </c>
      <c r="E13" s="123" t="inlineStr">
        <is>
          <t>Must be 'AIFMD'</t>
        </is>
      </c>
    </row>
    <row r="14">
      <c r="A14" s="119" t="inlineStr">
        <is>
          <t>INPUT_FORMAT</t>
        </is>
      </c>
      <c r="B14" s="130" t="inlineStr">
        <is>
          <t>input_format_version</t>
        </is>
      </c>
      <c r="C14" s="121" t="inlineStr">
        <is>
          <t>Input Format Version</t>
        </is>
      </c>
      <c r="D14" s="122" t="inlineStr">
        <is>
          <t>Mandatory</t>
        </is>
      </c>
      <c r="E14" s="123" t="inlineStr">
        <is>
          <t>Must be 'V1'</t>
        </is>
      </c>
    </row>
    <row r="15" ht="31.5" customHeight="1">
      <c r="A15" s="119" t="inlineStr">
        <is>
          <t>INPUT_FORMAT</t>
        </is>
      </c>
      <c r="B15" s="130" t="inlineStr">
        <is>
          <t>input_format_options</t>
        </is>
      </c>
      <c r="C15" s="121" t="inlineStr">
        <is>
          <t>Input Format Options</t>
        </is>
      </c>
      <c r="D15" s="122" t="inlineStr">
        <is>
          <t>Optional</t>
        </is>
      </c>
      <c r="E15" s="123" t="inlineStr">
        <is>
          <t>To set the decimal separator for CSV files. 
Default it is a point ("."). The only possble alternative is to set a comma (",") using DECIMAL_SEPARATOR=",".
For a comma the whole line becomes: INPUT_FORMAT;AIFMD;V1;DECIMAL_SEPARATOR=","</t>
        </is>
      </c>
    </row>
    <row r="16">
      <c r="A16" s="119" t="n"/>
      <c r="B16" s="120" t="n"/>
      <c r="C16" s="121" t="n"/>
    </row>
    <row r="17">
      <c r="A17" s="115" t="inlineStr">
        <is>
          <t>AIFM_NATIONAL_CODE (AIFM 24/1)</t>
        </is>
      </c>
      <c r="B17" s="125" t="n"/>
      <c r="C17" s="126" t="n"/>
      <c r="D17" s="127" t="inlineStr">
        <is>
          <t>M</t>
        </is>
      </c>
      <c r="E17" s="128" t="inlineStr">
        <is>
          <t>For all AIF Content Types</t>
        </is>
      </c>
      <c r="F17" s="129" t="n"/>
    </row>
    <row r="18">
      <c r="A18" s="119" t="inlineStr">
        <is>
          <t>AIFM_NATIONAL_CODE</t>
        </is>
      </c>
      <c r="B18" s="120" t="n">
        <v>1</v>
      </c>
      <c r="C18" s="121" t="inlineStr">
        <is>
          <t>AIFM Reporting Member State</t>
        </is>
      </c>
      <c r="D18" s="122" t="inlineStr">
        <is>
          <t>Mandatory</t>
        </is>
      </c>
      <c r="E18" s="123" t="inlineStr">
        <is>
          <t>EEA/EU Country code standard ISO-3166-1 of the Member State to which the AIFM reports the AIFMD reporting.</t>
        </is>
      </c>
    </row>
    <row r="19" ht="21" customHeight="1">
      <c r="A19" s="119" t="inlineStr">
        <is>
          <t>AIFM_NATIONAL_CODE</t>
        </is>
      </c>
      <c r="B19" s="120" t="n">
        <v>18</v>
      </c>
      <c r="C19" s="121" t="inlineStr">
        <is>
          <t>AIFM National Code</t>
        </is>
      </c>
      <c r="D19" s="122" t="inlineStr">
        <is>
          <t>Mandatory</t>
        </is>
      </c>
      <c r="E19" s="123" t="inlineStr">
        <is>
          <t>Unique reference identifying each AIFM allocated by the national competent authority of the reporting Member State of the AIFM to which the AIFM reports under AIFMD</t>
        </is>
      </c>
    </row>
    <row r="20" ht="21" customHeight="1">
      <c r="A20" s="119" t="inlineStr">
        <is>
          <t>AIFM_NATIONAL_CODE</t>
        </is>
      </c>
      <c r="B20" s="120" t="n">
        <v>24</v>
      </c>
      <c r="C20" s="121" t="inlineStr">
        <is>
          <t>Old AIFM Reporting Member State</t>
        </is>
      </c>
      <c r="D20" s="122" t="inlineStr">
        <is>
          <t>C
M for Old AIFM National Code filled in</t>
        </is>
      </c>
      <c r="E20" s="123" t="inlineStr">
        <is>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is>
      </c>
    </row>
    <row r="21" ht="21" customHeight="1">
      <c r="A21" s="119" t="inlineStr">
        <is>
          <t>AIFM_NATIONAL_CODE</t>
        </is>
      </c>
      <c r="B21" s="120" t="n">
        <v>25</v>
      </c>
      <c r="C21" s="121" t="inlineStr">
        <is>
          <t>Old AIFM National Code</t>
        </is>
      </c>
      <c r="D21" s="122" t="inlineStr">
        <is>
          <t>C
M for Old AIFM Reporting Member State filled in</t>
        </is>
      </c>
      <c r="E21" s="123" t="inlineStr">
        <is>
          <t>Former national identification code to provide when the national identification code of the AIFM changes (for the first reporting following the change of the national code and any subsequent reporting).</t>
        </is>
      </c>
    </row>
    <row r="22" ht="21" customHeight="1">
      <c r="A22" s="119" t="inlineStr">
        <is>
          <t>AIFM_NATIONAL_CODE</t>
        </is>
      </c>
      <c r="B22" s="120" t="inlineStr">
        <is>
          <t>CNC</t>
        </is>
      </c>
      <c r="C22" s="121" t="inlineStr">
        <is>
          <t>Custom National Code</t>
        </is>
      </c>
      <c r="D22" s="122" t="inlineStr">
        <is>
          <t>Conditional</t>
        </is>
      </c>
      <c r="E22" s="123" t="inlineStr">
        <is>
          <t>Mandatory when 'AIFM Reporting Member State' [AIFM 1] is 'LU', forbidden otherwise.
Currently only used for the Luxembourg file name convention, as "Identification number of the sender".</t>
        </is>
      </c>
    </row>
    <row r="23">
      <c r="A23" s="119" t="n"/>
      <c r="B23" s="120" t="n"/>
      <c r="C23" s="121" t="n"/>
    </row>
    <row r="24">
      <c r="A24" s="115" t="inlineStr">
        <is>
          <t>AIF_NATIONAL_CODE (AIF 24/1)</t>
        </is>
      </c>
      <c r="B24" s="125" t="n"/>
      <c r="C24" s="126" t="n"/>
      <c r="D24" s="127" t="inlineStr">
        <is>
          <t>M</t>
        </is>
      </c>
      <c r="E24" s="128" t="inlineStr">
        <is>
          <t>For all AIF Content Types</t>
        </is>
      </c>
      <c r="F24" s="129" t="n"/>
    </row>
    <row r="25">
      <c r="A25" s="119" t="inlineStr">
        <is>
          <t>AIF_NATIONAL_CODE</t>
        </is>
      </c>
      <c r="B25" s="120" t="inlineStr">
        <is>
          <t>AIF_ID</t>
        </is>
      </c>
      <c r="C25" s="121" t="inlineStr">
        <is>
          <t>Custom AIF Identification</t>
        </is>
      </c>
      <c r="D25" s="122" t="inlineStr">
        <is>
          <t>Mandatory</t>
        </is>
      </c>
      <c r="E25" s="121" t="inlineStr">
        <is>
          <t>Custom AIF Identification to link AIF records to the correct AIF</t>
        </is>
      </c>
    </row>
    <row r="26">
      <c r="A26" s="119" t="inlineStr">
        <is>
          <t>AIF_NATIONAL_CODE</t>
        </is>
      </c>
      <c r="B26" s="120" t="n">
        <v>1</v>
      </c>
      <c r="C26" s="121" t="inlineStr">
        <is>
          <t>AIF Reporting Member State</t>
        </is>
      </c>
      <c r="D26" s="122" t="inlineStr">
        <is>
          <t>Mandatory</t>
        </is>
      </c>
      <c r="E26" s="123" t="inlineStr">
        <is>
          <t>EEA/EU Country code standard ISO-3166-1 of the Member State to which the AIFM reports the AIFMD reporting.</t>
        </is>
      </c>
    </row>
    <row r="27" ht="21" customHeight="1">
      <c r="A27" s="119" t="inlineStr">
        <is>
          <t>AIF_NATIONAL_CODE</t>
        </is>
      </c>
      <c r="B27" s="120" t="n">
        <v>17</v>
      </c>
      <c r="C27" s="121" t="inlineStr">
        <is>
          <t>AIF National Code</t>
        </is>
      </c>
      <c r="D27" s="122" t="inlineStr">
        <is>
          <t>Mandatory</t>
        </is>
      </c>
      <c r="E27" s="123" t="inlineStr">
        <is>
          <t>Unique reference identifying each AIF allocated by the national competent authority of the reporting Member State of the AIFM to which the AIFM reports under AIFMD</t>
        </is>
      </c>
    </row>
    <row r="28" ht="21" customHeight="1">
      <c r="A28" s="119" t="inlineStr">
        <is>
          <t>AIF_NATIONAL_CODE</t>
        </is>
      </c>
      <c r="B28" s="120" t="n">
        <v>31</v>
      </c>
      <c r="C28" s="121" t="inlineStr">
        <is>
          <t>Old AIF Reporting Member State</t>
        </is>
      </c>
      <c r="D28" s="122" t="inlineStr">
        <is>
          <t>C
M for Old AIF National Code filled in</t>
        </is>
      </c>
      <c r="E28" s="123" t="inlineStr">
        <is>
          <t>EEA/EU Country code standard ISO-3166-1 of the reporting Member State to which the AIFM reports under AIFMD when the national code identifying the AIF has been modified.</t>
        </is>
      </c>
    </row>
    <row r="29" ht="21" customHeight="1">
      <c r="A29" s="119" t="inlineStr">
        <is>
          <t>AIF_NATIONAL_CODE</t>
        </is>
      </c>
      <c r="B29" s="120" t="n">
        <v>32</v>
      </c>
      <c r="C29" s="121" t="inlineStr">
        <is>
          <t>Old AIF National Code</t>
        </is>
      </c>
      <c r="D29" s="122" t="inlineStr">
        <is>
          <t>C
M for Old AIF Reporting Member State filled in</t>
        </is>
      </c>
      <c r="E29" s="123" t="inlineStr">
        <is>
          <t>Former national identification code to provide when the national identification code of the AIF changes (for the first reporting following the change of the national code and any subsequent reporting).</t>
        </is>
      </c>
    </row>
    <row r="30">
      <c r="A30" s="119" t="n"/>
      <c r="B30" s="120" t="n"/>
      <c r="C30" s="121" t="n"/>
    </row>
    <row r="31">
      <c r="A31" s="115" t="inlineStr">
        <is>
          <t>The AIFM input record describes the AIFM (AIFM 24/1)</t>
        </is>
      </c>
      <c r="B31" s="125" t="n"/>
      <c r="C31" s="126" t="n"/>
      <c r="D31" s="127" t="inlineStr">
        <is>
          <t>M</t>
        </is>
      </c>
      <c r="E31" s="128" t="inlineStr">
        <is>
          <t>For all AIF Content Types</t>
        </is>
      </c>
      <c r="F31" s="129" t="n"/>
    </row>
    <row r="32" ht="42" customHeight="1">
      <c r="A32" s="119" t="inlineStr">
        <is>
          <t>AIFM</t>
        </is>
      </c>
      <c r="B32" s="120" t="n">
        <v>4</v>
      </c>
      <c r="C32" s="121" t="inlineStr">
        <is>
          <t>Filing Type</t>
        </is>
      </c>
      <c r="D32" s="122" t="inlineStr">
        <is>
          <t>Optional</t>
        </is>
      </c>
      <c r="E32" s="123" t="inlineStr">
        <is>
          <t>The filling types admitted are:
  - AMND for "amendment to one reporting previously submitted"
  - INIT or empty for "initial reporting for the reporting period"
  - CANCEL for "cancel one reporting previously submitted"</t>
        </is>
      </c>
    </row>
    <row r="33" ht="52.5" customHeight="1">
      <c r="A33" s="119" t="inlineStr">
        <is>
          <t>AIFM</t>
        </is>
      </c>
      <c r="B33" s="120" t="n">
        <v>5</v>
      </c>
      <c r="C33" s="121" t="inlineStr">
        <is>
          <t>AIFM Content Type</t>
        </is>
      </c>
      <c r="D33" s="122" t="inlineStr">
        <is>
          <t>Mandatory</t>
        </is>
      </c>
      <c r="E33" s="123" t="inlineStr">
        <is>
          <t>Code indicating the contents of the AIFM reporting.
The AIFM content types admitted are:
  - 1 for "24(1) reporting contents for all AIFs managed"
  - 2 for "3(3) (d) reporting  contents for all AIFs managed"
  - 3 for "24(1) reporting contents for all AIFs marketed in the Member State"</t>
        </is>
      </c>
    </row>
    <row r="34" ht="31.5" customHeight="1">
      <c r="A34" s="119" t="inlineStr">
        <is>
          <t>AIFM</t>
        </is>
      </c>
      <c r="B34" s="120" t="n">
        <v>6</v>
      </c>
      <c r="C34" s="121" t="inlineStr">
        <is>
          <t>Reporting Period Start Date</t>
        </is>
      </c>
      <c r="D34" s="122" t="inlineStr">
        <is>
          <t>Legacy</t>
        </is>
      </c>
      <c r="E34" s="123" t="inlineStr">
        <is>
          <t>Legacy, not needed anymore. Now determined based on Reporting Period Type and Reporting Period Year.
The start date of the reporting period should begin on  the first calendar of January, April, July or October.</t>
        </is>
      </c>
    </row>
    <row r="35" ht="42" customHeight="1">
      <c r="A35" s="119" t="inlineStr">
        <is>
          <t>AIFM</t>
        </is>
      </c>
      <c r="B35" s="120" t="n">
        <v>7</v>
      </c>
      <c r="C35" s="121" t="inlineStr">
        <is>
          <t>Reporting Period End Date</t>
        </is>
      </c>
      <c r="D35" s="122" t="inlineStr">
        <is>
          <t>Legacy</t>
        </is>
      </c>
      <c r="E35" s="123" t="inlineStr">
        <is>
          <t>Legacy, not needed anymore. Now determined based on Reporting Period Type and Reporting Period Year.
The end date of the reporting period may be the last calendar day of March, June, September or December,
or (only when the Last Reporting Flag [13] is set) the last day the AIFM exists.</t>
        </is>
      </c>
    </row>
    <row r="36" ht="241.5" customHeight="1">
      <c r="A36" s="119" t="inlineStr">
        <is>
          <t>AIFM</t>
        </is>
      </c>
      <c r="B36" s="120" t="n">
        <v>8</v>
      </c>
      <c r="C36" s="121" t="inlineStr">
        <is>
          <t>Reporting Period Type</t>
        </is>
      </c>
      <c r="D36" s="122" t="inlineStr">
        <is>
          <t>Mandatory</t>
        </is>
      </c>
      <c r="E3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37">
      <c r="A37" s="119" t="inlineStr">
        <is>
          <t>AIFM</t>
        </is>
      </c>
      <c r="B37" s="120" t="n">
        <v>9</v>
      </c>
      <c r="C37" s="121" t="inlineStr">
        <is>
          <t>Reporting Period Year</t>
        </is>
      </c>
      <c r="D37" s="122" t="inlineStr">
        <is>
          <t>Mandatory</t>
        </is>
      </c>
      <c r="E37" s="123" t="inlineStr">
        <is>
          <t>The reporting period year (2013, 2014…).</t>
        </is>
      </c>
    </row>
    <row r="38">
      <c r="A38" s="119" t="inlineStr">
        <is>
          <t>AIFM</t>
        </is>
      </c>
      <c r="B38" s="120" t="n">
        <v>10</v>
      </c>
      <c r="C38" s="121" t="inlineStr">
        <is>
          <t>Change in AIFM Reporting Obligation Frequency Code</t>
        </is>
      </c>
      <c r="D38" s="122" t="inlineStr">
        <is>
          <t>Optional</t>
        </is>
      </c>
      <c r="E38" s="123" t="inlineStr">
        <is>
          <t>The codes to report a change in the AIFM reporting obligation frequency are contained in Annex II - Table 8 and 10, available via our Help page.</t>
        </is>
      </c>
      <c r="F38" s="131" t="n"/>
    </row>
    <row r="39">
      <c r="A39" s="119" t="inlineStr">
        <is>
          <t>AIFM</t>
        </is>
      </c>
      <c r="B39" s="120" t="n">
        <v>11</v>
      </c>
      <c r="C39" s="121" t="inlineStr">
        <is>
          <t>Change in AIFM Reporting Obligation contents Code</t>
        </is>
      </c>
      <c r="D39" s="122" t="inlineStr">
        <is>
          <t>Optional</t>
        </is>
      </c>
      <c r="E39" s="123" t="inlineStr">
        <is>
          <t>The codes to report a change in the AIFM reporting obligation contents are contained in Annex II - Table 8, available via our Help page.</t>
        </is>
      </c>
      <c r="F39" s="131" t="n"/>
    </row>
    <row r="40" ht="63" customHeight="1">
      <c r="A40" s="119" t="inlineStr">
        <is>
          <t>AIFM</t>
        </is>
      </c>
      <c r="B40" s="120" t="n">
        <v>12</v>
      </c>
      <c r="C40" s="121" t="inlineStr">
        <is>
          <t>Change in AIFM Reporting Obligation Quarter</t>
        </is>
      </c>
      <c r="D40" s="122" t="inlineStr">
        <is>
          <t>C
M when AIFM 10 or AIFM 11 are filled in.</t>
        </is>
      </c>
      <c r="E40" s="123" t="inlineStr">
        <is>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is>
      </c>
      <c r="F40" s="131" t="n"/>
    </row>
    <row r="41" ht="31.5" customHeight="1">
      <c r="A41" s="119" t="inlineStr">
        <is>
          <t>AIFM</t>
        </is>
      </c>
      <c r="B41" s="120" t="n">
        <v>13</v>
      </c>
      <c r="C41" s="121" t="inlineStr">
        <is>
          <t>Last Reporting Flag</t>
        </is>
      </c>
      <c r="D41" s="122" t="inlineStr">
        <is>
          <t>Mandatory</t>
        </is>
      </c>
      <c r="E41" s="150" t="inlineStr">
        <is>
          <t>Flag indicating whether the reporting is the last reporting. To be filled in when the AIFM has been liquidated or merged during the reporting period.
true for last AIFM reporting file.
false otherwise</t>
        </is>
      </c>
    </row>
    <row r="42" ht="136.5" customHeight="1">
      <c r="A42" s="119" t="inlineStr">
        <is>
          <t>AIFM</t>
        </is>
      </c>
      <c r="B42" s="120" t="n">
        <v>16</v>
      </c>
      <c r="C42" s="121" t="inlineStr">
        <is>
          <t>AIFM Reporting Code</t>
        </is>
      </c>
      <c r="D42" s="122" t="inlineStr">
        <is>
          <t>Mandatory</t>
        </is>
      </c>
      <c r="E42" s="123" t="inlineStr">
        <is>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is>
      </c>
      <c r="F42" s="131" t="inlineStr">
        <is>
          <t>See tab: #DOC Reporting Code</t>
        </is>
      </c>
    </row>
    <row r="43">
      <c r="A43" s="119" t="inlineStr">
        <is>
          <t>AIFM</t>
        </is>
      </c>
      <c r="B43" s="120" t="n">
        <v>17</v>
      </c>
      <c r="C43" s="121" t="inlineStr">
        <is>
          <t>AIFM Jurisdiction</t>
        </is>
      </c>
      <c r="D43" s="122" t="inlineStr">
        <is>
          <t>Mandatory</t>
        </is>
      </c>
      <c r="E43" s="123" t="inlineStr">
        <is>
          <t>Jurisdiction in which the AIFM is established (Country code standard ISO-3166-1)</t>
        </is>
      </c>
    </row>
    <row r="44" ht="21" customHeight="1">
      <c r="A44" s="119" t="inlineStr">
        <is>
          <t>AIFM</t>
        </is>
      </c>
      <c r="B44" s="120" t="n">
        <v>19</v>
      </c>
      <c r="C44" s="121" t="inlineStr">
        <is>
          <t>AIFM Name</t>
        </is>
      </c>
      <c r="D44" s="122" t="inlineStr">
        <is>
          <t>Mandatory</t>
        </is>
      </c>
      <c r="E44" s="123" t="inlineStr">
        <is>
          <t>Alternative Investment Fund manager name. (no standard)
It is strongly recommended to provide the full name corresponding to the allocated LEI code (or BIC code if any and LEI not available).</t>
        </is>
      </c>
    </row>
    <row r="45" ht="52.5" customHeight="1">
      <c r="A45" s="119" t="inlineStr">
        <is>
          <t>AIFM</t>
        </is>
      </c>
      <c r="B45" s="120" t="n">
        <v>20</v>
      </c>
      <c r="C45" s="121" t="inlineStr">
        <is>
          <t>AIFM EEA Flag</t>
        </is>
      </c>
      <c r="D45" s="122" t="inlineStr">
        <is>
          <t>Legacy</t>
        </is>
      </c>
      <c r="E45" s="123" t="inlineStr">
        <is>
          <t xml:space="preserve">Legacy, not needed anymore. Now determined based on AIFM Jurisdiction.
Flag indicating whether the AIFM is domiciled in the EEA.
true for EEA AIFMs
false for non-EEA AIFMs  </t>
        </is>
      </c>
    </row>
    <row r="46" ht="52.5" customHeight="1">
      <c r="A46" s="119" t="inlineStr">
        <is>
          <t>AIFM</t>
        </is>
      </c>
      <c r="B46" s="120" t="n">
        <v>21</v>
      </c>
      <c r="C46" s="121" t="inlineStr">
        <is>
          <t>AIFM no reporting flag</t>
        </is>
      </c>
      <c r="D46" s="122" t="inlineStr">
        <is>
          <t>Mandatory</t>
        </is>
      </c>
      <c r="E46" s="123" t="inlineStr">
        <is>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is>
      </c>
    </row>
    <row r="47" ht="52.5" customHeight="1">
      <c r="A47" s="119" t="inlineStr">
        <is>
          <t>AIFM</t>
        </is>
      </c>
      <c r="B47" s="120" t="n">
        <v>22</v>
      </c>
      <c r="C47" s="121" t="inlineStr">
        <is>
          <t>AIFM LEI Code</t>
        </is>
      </c>
      <c r="D47" s="122" t="inlineStr">
        <is>
          <t>C
Mandatory when present in www.gleif.org</t>
        </is>
      </c>
      <c r="E47" s="149"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48">
      <c r="A48" s="119" t="inlineStr">
        <is>
          <t>AIFM</t>
        </is>
      </c>
      <c r="B48" s="120" t="n">
        <v>23</v>
      </c>
      <c r="C48" s="121" t="inlineStr">
        <is>
          <t>AIFM BIC Code</t>
        </is>
      </c>
      <c r="D48" s="122" t="inlineStr">
        <is>
          <t>O</t>
        </is>
      </c>
      <c r="E48" s="149" t="inlineStr">
        <is>
          <t>11 Character BIC code of the entity (ISO 9362 standard)</t>
        </is>
      </c>
    </row>
    <row r="49"/>
    <row r="50">
      <c r="A50" s="115" t="inlineStr">
        <is>
          <t>The AIF input record describes the AIF (AIF 24/1)</t>
        </is>
      </c>
      <c r="B50" s="132" t="n"/>
      <c r="C50" s="133" t="n"/>
      <c r="D50" s="127" t="inlineStr">
        <is>
          <t>M</t>
        </is>
      </c>
      <c r="E50" s="128" t="inlineStr">
        <is>
          <t>For all AIF Content Types</t>
        </is>
      </c>
      <c r="F50" s="134" t="n"/>
    </row>
    <row r="51">
      <c r="A51" s="119" t="inlineStr">
        <is>
          <t>AIF</t>
        </is>
      </c>
      <c r="B51" s="120" t="inlineStr">
        <is>
          <t>AIF_ID</t>
        </is>
      </c>
      <c r="C51" s="121" t="inlineStr">
        <is>
          <t>Custom AIF Identification</t>
        </is>
      </c>
      <c r="D51" s="122" t="inlineStr">
        <is>
          <t>Mandatory</t>
        </is>
      </c>
      <c r="E51" s="121" t="inlineStr">
        <is>
          <t>Custom AIF Identification to link AIF records to the correct AIF</t>
        </is>
      </c>
    </row>
    <row r="52" ht="52.5" customHeight="1">
      <c r="A52" s="119" t="inlineStr">
        <is>
          <t>AIF</t>
        </is>
      </c>
      <c r="B52" s="120" t="n">
        <v>4</v>
      </c>
      <c r="C52" s="121" t="inlineStr">
        <is>
          <t>Filing Type</t>
        </is>
      </c>
      <c r="D52" s="122" t="inlineStr">
        <is>
          <t>Optional</t>
        </is>
      </c>
      <c r="E52" s="150" t="inlineStr">
        <is>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is>
      </c>
      <c r="F52" s="123" t="inlineStr">
        <is>
          <t>For first filing will be INIT</t>
        </is>
      </c>
    </row>
    <row r="53" ht="126" customHeight="1">
      <c r="A53" s="119" t="inlineStr">
        <is>
          <t>AIF</t>
        </is>
      </c>
      <c r="B53" s="120" t="n">
        <v>5</v>
      </c>
      <c r="C53" s="121" t="inlineStr">
        <is>
          <t>AIF Content Type</t>
        </is>
      </c>
      <c r="D53" s="122" t="inlineStr">
        <is>
          <t>Mandatory</t>
        </is>
      </c>
      <c r="E53" s="150" t="inlineStr">
        <is>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is>
      </c>
      <c r="F53" s="123" t="inlineStr">
        <is>
          <t>This relates the frequency of the reporting for the fund.   
See tab: #DOC Reporting Obligation</t>
        </is>
      </c>
    </row>
    <row r="54" ht="31.5" customHeight="1">
      <c r="A54" s="119" t="inlineStr">
        <is>
          <t>AIF</t>
        </is>
      </c>
      <c r="B54" s="120" t="n">
        <v>6</v>
      </c>
      <c r="C54" s="121" t="inlineStr">
        <is>
          <t>Reporting Period Start Date</t>
        </is>
      </c>
      <c r="D54" s="122" t="inlineStr">
        <is>
          <t>Legacy</t>
        </is>
      </c>
      <c r="E54" s="150" t="inlineStr">
        <is>
          <t>Legacy, not needed anymore. Now determined based on Reporting Period Type and Reporting Period Year.
The start date of the reporting period should begin on  the first calendar day of January, April, July or October.</t>
        </is>
      </c>
    </row>
    <row r="55" ht="31.5" customHeight="1">
      <c r="A55" s="119" t="inlineStr">
        <is>
          <t>AIF</t>
        </is>
      </c>
      <c r="B55" s="120" t="n">
        <v>7</v>
      </c>
      <c r="C55" s="121" t="inlineStr">
        <is>
          <t>Reporting Period End Date</t>
        </is>
      </c>
      <c r="D55" s="122" t="inlineStr">
        <is>
          <t>Legacy</t>
        </is>
      </c>
      <c r="E55" s="123" t="inlineStr">
        <is>
          <t>Legacy, not needed anymore. Now determined based on Reporting Period Type and Reporting Period Year.
The end date of the reporting period may be the last calendar day of March, June, September or December.</t>
        </is>
      </c>
    </row>
    <row r="56" ht="241.5" customHeight="1">
      <c r="A56" s="119" t="inlineStr">
        <is>
          <t>AIF</t>
        </is>
      </c>
      <c r="B56" s="120" t="n">
        <v>8</v>
      </c>
      <c r="C56" s="121" t="inlineStr">
        <is>
          <t>Reporting Period Type</t>
        </is>
      </c>
      <c r="D56" s="122" t="inlineStr">
        <is>
          <t>Mandatory</t>
        </is>
      </c>
      <c r="E5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57" ht="31.5" customHeight="1">
      <c r="A57" s="119" t="inlineStr">
        <is>
          <t>AIF</t>
        </is>
      </c>
      <c r="B57" s="120" t="n">
        <v>9</v>
      </c>
      <c r="C57" s="121" t="inlineStr">
        <is>
          <t>Reporting Period Year</t>
        </is>
      </c>
      <c r="D57" s="122" t="inlineStr">
        <is>
          <t>Legacy</t>
        </is>
      </c>
      <c r="E57" s="123" t="inlineStr">
        <is>
          <t>Legacy, not needed anymore. Now copied from AIFM field 9.
The reporting period year (2013, 2014…).</t>
        </is>
      </c>
    </row>
    <row r="58">
      <c r="A58" s="119" t="inlineStr">
        <is>
          <t>AIF</t>
        </is>
      </c>
      <c r="B58" s="120" t="n">
        <v>10</v>
      </c>
      <c r="C58" s="121" t="inlineStr">
        <is>
          <t>Change in AIF Reporting Obligation Frequency Code</t>
        </is>
      </c>
      <c r="D58" s="122" t="inlineStr">
        <is>
          <t>Optional</t>
        </is>
      </c>
      <c r="E58" s="150" t="inlineStr">
        <is>
          <t>The codes to report a change in the AIF reporting obligation frequency are contained in Annex II - Table 9 and 10, available via our Help page.</t>
        </is>
      </c>
    </row>
    <row r="59">
      <c r="A59" s="119" t="inlineStr">
        <is>
          <t>AIF</t>
        </is>
      </c>
      <c r="B59" s="120" t="n">
        <v>11</v>
      </c>
      <c r="C59" s="121" t="inlineStr">
        <is>
          <t>Change in AIF Reporting Obligation contents Code</t>
        </is>
      </c>
      <c r="D59" s="122" t="inlineStr">
        <is>
          <t>Optional</t>
        </is>
      </c>
      <c r="E59" s="150" t="inlineStr">
        <is>
          <t>The codes to report a change in the AIF reporting obligation contents are contained in Annex II - Table 9, available via our Help page.</t>
        </is>
      </c>
    </row>
    <row r="60" ht="84" customHeight="1">
      <c r="A60" s="119" t="inlineStr">
        <is>
          <t>AIF</t>
        </is>
      </c>
      <c r="B60" s="120" t="n">
        <v>12</v>
      </c>
      <c r="C60" s="121" t="inlineStr">
        <is>
          <t>Change in AIF Reporting Obligation Quarter</t>
        </is>
      </c>
      <c r="D60" s="122" t="inlineStr">
        <is>
          <t>C
M when AIF 10 or AIF 11 are filled in.
F otherwise.</t>
        </is>
      </c>
      <c r="E60" s="150" t="inlineStr">
        <is>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is>
      </c>
    </row>
    <row r="61" ht="31.5" customHeight="1">
      <c r="A61" s="119" t="inlineStr">
        <is>
          <t>AIF</t>
        </is>
      </c>
      <c r="B61" s="120" t="n">
        <v>13</v>
      </c>
      <c r="C61" s="121" t="inlineStr">
        <is>
          <t>Last reporting flag</t>
        </is>
      </c>
      <c r="D61" s="122" t="inlineStr">
        <is>
          <t>Mandatory</t>
        </is>
      </c>
      <c r="E61" s="180" t="inlineStr">
        <is>
          <t>Flag indicating whether the reporting is the last reporting. To be filled in when the AIF has been liquidated or merged during the reporting period.
true for last AIF reporting file.
false otherwise</t>
        </is>
      </c>
    </row>
    <row r="62" ht="21" customHeight="1">
      <c r="A62" s="119" t="inlineStr">
        <is>
          <t>AIF</t>
        </is>
      </c>
      <c r="B62" s="120" t="n">
        <v>18</v>
      </c>
      <c r="C62" s="121" t="inlineStr">
        <is>
          <t>AIF Name</t>
        </is>
      </c>
      <c r="D62" s="122" t="inlineStr">
        <is>
          <t>Mandatory</t>
        </is>
      </c>
      <c r="E62" s="150" t="inlineStr">
        <is>
          <t>The legal name of the AIF (no standard).
In the case of umbrella funds, the names of the umbrella fund and the sub-funds should be reported.</t>
        </is>
      </c>
    </row>
    <row r="63" ht="52.5" customHeight="1">
      <c r="A63" s="119" t="inlineStr">
        <is>
          <t>AIF</t>
        </is>
      </c>
      <c r="B63" s="120" t="n">
        <v>19</v>
      </c>
      <c r="C63" s="121" t="inlineStr">
        <is>
          <t>AIF EEA Flag</t>
        </is>
      </c>
      <c r="D63" s="122" t="inlineStr">
        <is>
          <t>Legacy</t>
        </is>
      </c>
      <c r="E63" s="150" t="inlineStr">
        <is>
          <t>Legacy, not needed anymore. Now determined based on AIFM Jurisdiction.
Flag indicating whether the AIF is domiciled in the EEA or the EU.
true for EEA or EU AIFs
false for non-EEA or EU AIFs</t>
        </is>
      </c>
    </row>
    <row r="64" ht="31.5" customHeight="1">
      <c r="A64" s="119" t="inlineStr">
        <is>
          <t>AIF</t>
        </is>
      </c>
      <c r="B64" s="120" t="n">
        <v>20</v>
      </c>
      <c r="C64" s="121" t="inlineStr">
        <is>
          <t>AIF reporting code</t>
        </is>
      </c>
      <c r="D64" s="122" t="inlineStr">
        <is>
          <t>Mandatory</t>
        </is>
      </c>
      <c r="E64" s="150" t="inlineStr">
        <is>
          <t>Code indicating the reporting category of the AIF.
See tab "#DOC Reporting Code" for a combined view.
The original ESMA table Annex II - Table 9 is available via our Help page.</t>
        </is>
      </c>
      <c r="F64" s="131" t="inlineStr">
        <is>
          <t>See tab: #DOC Reporting Code</t>
        </is>
      </c>
    </row>
    <row r="65" ht="52.5" customHeight="1">
      <c r="A65" s="119" t="inlineStr">
        <is>
          <t>AIF</t>
        </is>
      </c>
      <c r="B65" s="120" t="n">
        <v>21</v>
      </c>
      <c r="C65" s="121" t="inlineStr">
        <is>
          <t>Domicile of the AIF</t>
        </is>
      </c>
      <c r="D65" s="122" t="inlineStr">
        <is>
          <t>Conditional</t>
        </is>
      </c>
      <c r="E65" s="150" t="inlineStr">
        <is>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is>
      </c>
    </row>
    <row r="66" ht="21" customHeight="1">
      <c r="A66" s="119" t="inlineStr">
        <is>
          <t>AIF</t>
        </is>
      </c>
      <c r="B66" s="120" t="n">
        <v>22</v>
      </c>
      <c r="C66" s="121" t="inlineStr">
        <is>
          <t>Inception Date of AIF</t>
        </is>
      </c>
      <c r="D66" s="122" t="inlineStr">
        <is>
          <t>Mandatory</t>
        </is>
      </c>
      <c r="E66" s="150" t="inlineStr">
        <is>
          <t>The date the AIF started business (yyyy-mm-dd (ISO 8601 Date Format)).
The inception date should not be after the start date of the reporting period.</t>
        </is>
      </c>
    </row>
    <row r="67" ht="31.5" customHeight="1">
      <c r="A67" s="119" t="inlineStr">
        <is>
          <t>AIF</t>
        </is>
      </c>
      <c r="B67" s="120" t="n">
        <v>23</v>
      </c>
      <c r="C67" s="121" t="inlineStr">
        <is>
          <t>AIF No Reporting Flag</t>
        </is>
      </c>
      <c r="D67" s="122" t="inlineStr">
        <is>
          <t>Mandatory</t>
        </is>
      </c>
      <c r="E67" s="150" t="inlineStr">
        <is>
          <t>true for empty file (no information to report for the reporting period)
false otherwise
The AIFCompleteDescription block will not be filled in when the AIF no reporting flag is true.</t>
        </is>
      </c>
    </row>
    <row r="68" ht="52.5" customHeight="1">
      <c r="A68" s="119" t="inlineStr">
        <is>
          <t>AIF</t>
        </is>
      </c>
      <c r="B68" s="120" t="n">
        <v>24</v>
      </c>
      <c r="C68" s="121" t="inlineStr">
        <is>
          <t>AIF LEI code</t>
        </is>
      </c>
      <c r="D68" s="122" t="inlineStr">
        <is>
          <t>C
Mandatory when present in www.gleif.org</t>
        </is>
      </c>
      <c r="E68" s="155"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69">
      <c r="A69" s="119" t="inlineStr">
        <is>
          <t>AIF</t>
        </is>
      </c>
      <c r="B69" s="120" t="n">
        <v>25</v>
      </c>
      <c r="C69" s="121" t="inlineStr">
        <is>
          <t>AIF ISIN code</t>
        </is>
      </c>
      <c r="D69" s="122" t="inlineStr">
        <is>
          <t>Optional</t>
        </is>
      </c>
      <c r="E69" s="155" t="inlineStr">
        <is>
          <t>ISIN code (ISO 6166 standard)</t>
        </is>
      </c>
    </row>
    <row r="70">
      <c r="A70" s="119" t="inlineStr">
        <is>
          <t>AIF</t>
        </is>
      </c>
      <c r="B70" s="120" t="n">
        <v>26</v>
      </c>
      <c r="C70" s="121" t="inlineStr">
        <is>
          <t>AIF CUSIP code</t>
        </is>
      </c>
      <c r="D70" s="122" t="inlineStr">
        <is>
          <t>Optional</t>
        </is>
      </c>
      <c r="E70" s="155" t="inlineStr">
        <is>
          <t>CUSIP code</t>
        </is>
      </c>
    </row>
    <row r="71">
      <c r="A71" s="119" t="inlineStr">
        <is>
          <t>AIF</t>
        </is>
      </c>
      <c r="B71" s="120" t="n">
        <v>27</v>
      </c>
      <c r="C71" s="121" t="inlineStr">
        <is>
          <t>AIF Sedol code</t>
        </is>
      </c>
      <c r="D71" s="122" t="inlineStr">
        <is>
          <t>Optional</t>
        </is>
      </c>
      <c r="E71" s="155" t="inlineStr">
        <is>
          <t>SEDOL code</t>
        </is>
      </c>
    </row>
    <row r="72">
      <c r="A72" s="119" t="inlineStr">
        <is>
          <t>AIF</t>
        </is>
      </c>
      <c r="B72" s="120" t="n">
        <v>28</v>
      </c>
      <c r="C72" s="121" t="inlineStr">
        <is>
          <t>AIF Bloomberg code</t>
        </is>
      </c>
      <c r="D72" s="122" t="inlineStr">
        <is>
          <t>Optional</t>
        </is>
      </c>
      <c r="E72" s="155" t="inlineStr">
        <is>
          <t>Bloomberg ticker symbol</t>
        </is>
      </c>
    </row>
    <row r="73">
      <c r="A73" s="119" t="inlineStr">
        <is>
          <t>AIF</t>
        </is>
      </c>
      <c r="B73" s="120" t="n">
        <v>29</v>
      </c>
      <c r="C73" s="121" t="inlineStr">
        <is>
          <t>AIF Reuters code</t>
        </is>
      </c>
      <c r="D73" s="122" t="inlineStr">
        <is>
          <t>Optional</t>
        </is>
      </c>
      <c r="E73" s="155" t="inlineStr">
        <is>
          <t>Reuters Identifier Code (RIC)</t>
        </is>
      </c>
    </row>
    <row r="74">
      <c r="A74" s="119" t="inlineStr">
        <is>
          <t>AIF</t>
        </is>
      </c>
      <c r="B74" s="120" t="n">
        <v>30</v>
      </c>
      <c r="C74" s="121" t="inlineStr">
        <is>
          <t>AIF ECB code</t>
        </is>
      </c>
      <c r="D74" s="122" t="inlineStr">
        <is>
          <t>Optional</t>
        </is>
      </c>
      <c r="E74" s="155" t="inlineStr">
        <is>
          <t>European Central Bank code</t>
        </is>
      </c>
    </row>
    <row r="75" ht="42" customHeight="1">
      <c r="A75" s="119" t="inlineStr">
        <is>
          <t>AIF</t>
        </is>
      </c>
      <c r="B75" s="120" t="n">
        <v>41</v>
      </c>
      <c r="C75" s="121" t="inlineStr">
        <is>
          <t>Master feeder status</t>
        </is>
      </c>
      <c r="D75" s="122" t="inlineStr">
        <is>
          <t>Optional</t>
        </is>
      </c>
      <c r="E75" s="150" t="inlineStr">
        <is>
          <t xml:space="preserve">3 status are admitted:
- “MASTER” for master AIF
- “FEEDER” for feeder AIF 
- “NONE” or empty in other cases </t>
        </is>
      </c>
    </row>
    <row r="76" ht="21" customHeight="1">
      <c r="A76" s="119" t="inlineStr">
        <is>
          <t>AIF</t>
        </is>
      </c>
      <c r="B76" s="120" t="n">
        <v>49</v>
      </c>
      <c r="C76" s="121" t="inlineStr">
        <is>
          <t>Base currency of the AIF</t>
        </is>
      </c>
      <c r="D76" s="122" t="inlineStr">
        <is>
          <t>M</t>
        </is>
      </c>
      <c r="E76" s="150"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77" ht="42" customHeight="1">
      <c r="A77" s="119" t="inlineStr">
        <is>
          <t>AIF</t>
        </is>
      </c>
      <c r="B77" s="120" t="n">
        <v>48</v>
      </c>
      <c r="C77" s="121" t="inlineStr">
        <is>
          <t>Total AuM amount of the AIF in base currency</t>
        </is>
      </c>
      <c r="D77" s="122" t="inlineStr">
        <is>
          <t>Optional</t>
        </is>
      </c>
      <c r="E77" s="150" t="inlineStr">
        <is>
          <t>Optional. If left empty, the system calculates this as the sum of the POSITION records field Instrument position value [76].
Value in base currency of the AIF of Assets under management (AuM) for the AIF, using the method set out in Articles 2 and 10 of the Regulation 231/2013.</t>
        </is>
      </c>
    </row>
    <row r="78" ht="31.5" customHeight="1">
      <c r="A78" s="119" t="inlineStr">
        <is>
          <t>AIF</t>
        </is>
      </c>
      <c r="B78" s="120" t="n">
        <v>53</v>
      </c>
      <c r="C78" s="121" t="inlineStr">
        <is>
          <t>Total Net Asset Value (NAV) of the AIF in base currency</t>
        </is>
      </c>
      <c r="D78" s="122" t="inlineStr">
        <is>
          <t>Optional</t>
        </is>
      </c>
      <c r="E78" s="171" t="inlineStr">
        <is>
          <t>Optional. If left empty, the system calculates this as the sum of the POSITION records field Net Asset Value [NAV].
The total Total Net Asset Value (NAV) of the AIF expressed in base currency.</t>
        </is>
      </c>
    </row>
    <row r="79">
      <c r="A79" s="119" t="inlineStr">
        <is>
          <t>AIF</t>
        </is>
      </c>
      <c r="B79" s="120" t="n">
        <v>54</v>
      </c>
      <c r="C79" s="121" t="inlineStr">
        <is>
          <t>First funding source country</t>
        </is>
      </c>
      <c r="D79" s="122" t="inlineStr">
        <is>
          <t>Optional</t>
        </is>
      </c>
      <c r="E79" s="150" t="inlineStr">
        <is>
          <t>The country of the first main funding source (counterparty of the liability) using the country code standard ISO-3166-1.</t>
        </is>
      </c>
    </row>
    <row r="80">
      <c r="A80" s="119" t="inlineStr">
        <is>
          <t>AIF</t>
        </is>
      </c>
      <c r="B80" s="120" t="n">
        <v>55</v>
      </c>
      <c r="C80" s="121" t="inlineStr">
        <is>
          <t>Second funding source country</t>
        </is>
      </c>
      <c r="D80" s="122" t="inlineStr">
        <is>
          <t>Optional</t>
        </is>
      </c>
      <c r="E80" s="150" t="inlineStr">
        <is>
          <t>The country of the second main funding source (counterparty of the liability) using the country code standard ISO-3166-1.</t>
        </is>
      </c>
    </row>
    <row r="81">
      <c r="A81" s="119" t="inlineStr">
        <is>
          <t>AIF</t>
        </is>
      </c>
      <c r="B81" s="120" t="n">
        <v>56</v>
      </c>
      <c r="C81" s="121" t="inlineStr">
        <is>
          <t>Third funding source country</t>
        </is>
      </c>
      <c r="D81" s="122" t="inlineStr">
        <is>
          <t>Optional</t>
        </is>
      </c>
      <c r="E81" s="150" t="inlineStr">
        <is>
          <t>The country of the third main funding source (counterparty of the liability) using the country code standard ISO-3166-1.</t>
        </is>
      </c>
    </row>
    <row r="82" ht="21" customHeight="1">
      <c r="A82" s="119" t="inlineStr">
        <is>
          <t>AIF</t>
        </is>
      </c>
      <c r="B82" s="120" t="n">
        <v>62</v>
      </c>
      <c r="C82" s="121" t="inlineStr">
        <is>
          <t>Number of transactions under HFT</t>
        </is>
      </c>
      <c r="D82" s="122" t="inlineStr">
        <is>
          <t>Optional</t>
        </is>
      </c>
      <c r="E82" s="150" t="inlineStr">
        <is>
          <t>The total number of transactions carried out using a high frequency algorithmic trading technique, as defined in the forthcoming revised Markets in Financial Instruments Directive (MiFID II).</t>
        </is>
      </c>
    </row>
    <row r="83" ht="31.5" customHeight="1">
      <c r="A83" s="119" t="inlineStr">
        <is>
          <t>AIF</t>
        </is>
      </c>
      <c r="B83" s="120" t="n">
        <v>63</v>
      </c>
      <c r="C83" s="121" t="inlineStr">
        <is>
          <t>Market value of buys and sells in base currency under HFT</t>
        </is>
      </c>
      <c r="D83" s="122" t="inlineStr">
        <is>
          <t>Optional</t>
        </is>
      </c>
      <c r="E83" s="150" t="inlineStr">
        <is>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t>
        </is>
      </c>
    </row>
    <row r="84" ht="94.5" customHeight="1">
      <c r="A84" s="119" t="inlineStr">
        <is>
          <t>AIF</t>
        </is>
      </c>
      <c r="B84" s="120" t="n">
        <v>113</v>
      </c>
      <c r="C84" s="121" t="inlineStr">
        <is>
          <t>Position size type</t>
        </is>
      </c>
      <c r="D84" s="122" t="inlineStr">
        <is>
          <t>C
M for “PEQF” predominant AIF type
F otherwise</t>
        </is>
      </c>
      <c r="E84" s="150" t="inlineStr">
        <is>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forbidden otherwise.</t>
        </is>
      </c>
      <c r="F84" s="131" t="inlineStr">
        <is>
          <t>See tab: #DOC Annex II Tables</t>
        </is>
      </c>
    </row>
    <row r="85" ht="31.5" customHeight="1">
      <c r="A85" s="119" t="inlineStr">
        <is>
          <t>AIF</t>
        </is>
      </c>
      <c r="B85" s="120" t="n">
        <v>118</v>
      </c>
      <c r="C85" s="121" t="inlineStr">
        <is>
          <t>Beneficially owned percentage by top 5 beneficial owners</t>
        </is>
      </c>
      <c r="D85" s="122" t="inlineStr">
        <is>
          <t>Mandatory</t>
        </is>
      </c>
      <c r="E85" s="123" t="inlineStr">
        <is>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is>
      </c>
    </row>
    <row r="86" ht="52.5" customHeight="1">
      <c r="A86" s="119" t="inlineStr">
        <is>
          <t>AIF</t>
        </is>
      </c>
      <c r="B86" s="120" t="n">
        <v>137</v>
      </c>
      <c r="C86" s="121" t="inlineStr">
        <is>
          <t>Expected annual investment return</t>
        </is>
      </c>
      <c r="D86" s="122" t="inlineStr">
        <is>
          <t>C
Optional for AIF Content types 2 and 4 (AIF field 5),
ignored otherwise.</t>
        </is>
      </c>
      <c r="E86" s="150" t="inlineStr">
        <is>
          <t xml:space="preserve">Expected annual investment return/IRR in normal market conditions (in %)
Rate expressed as a percentage. 
When there is no expected annual return/IRR in normal market conditions to report, AIFMs should report the value ‘NA’ for non-applicable.
</t>
        </is>
      </c>
      <c r="F86" s="123" t="inlineStr">
        <is>
          <t>In this reporting template, leave empty to report 'NA'.</t>
        </is>
      </c>
    </row>
    <row r="87" ht="31.5" customHeight="1">
      <c r="A87" s="119" t="inlineStr">
        <is>
          <t>AIF</t>
        </is>
      </c>
      <c r="B87" s="120" t="n">
        <v>120</v>
      </c>
      <c r="C87" s="121" t="inlineStr">
        <is>
          <t xml:space="preserve">Investor Concentration percentage by retail investors </t>
        </is>
      </c>
      <c r="D87" s="122" t="inlineStr">
        <is>
          <t>C
Mandatory for AIF Content types 1,3 and 5 (AIF field 5),
optional otherwise.</t>
        </is>
      </c>
      <c r="E87" s="123" t="inlineStr">
        <is>
          <t>Rate expressed as a percentage.
If empty, the percentage is taken from the INVESTOR record with Investor Group Type "HHLD". 
Field 119 "Investor Concentration percentage by professional clients" is caculated as 100 - this percentage.</t>
        </is>
      </c>
    </row>
    <row r="88" ht="42" customHeight="1">
      <c r="A88" s="119" t="inlineStr">
        <is>
          <t>AIF</t>
        </is>
      </c>
      <c r="B88" s="120" t="n">
        <v>218</v>
      </c>
      <c r="C88" s="121" t="inlineStr">
        <is>
          <t>Total number of open positions</t>
        </is>
      </c>
      <c r="D88" s="122" t="inlineStr">
        <is>
          <t>C
Optional for AIF Content types 2 and 4 (AIF field 5),
ignored otherwise.</t>
        </is>
      </c>
      <c r="E88" s="123" t="inlineStr">
        <is>
          <t>Total number of open positions.
Only needed if different from the number of POSITION records.
If empty, the total number of POSITION records per AIF is used.
Optional for AIF Content types 2 and 4 (AIF field 5), ignored otherwise.</t>
        </is>
      </c>
    </row>
    <row r="89">
      <c r="A89" s="119" t="n"/>
      <c r="B89" s="120" t="n"/>
      <c r="C89" s="121" t="n"/>
    </row>
    <row r="90">
      <c r="A90" s="115" t="inlineStr">
        <is>
          <t>The AIF_EXTERNAL input record describes AIF which are reported by an external company. This data is only used on form AIFM 24(1).</t>
        </is>
      </c>
      <c r="B90" s="125" t="n"/>
      <c r="C90" s="126" t="n"/>
      <c r="D90" s="127" t="inlineStr">
        <is>
          <t>C</t>
        </is>
      </c>
      <c r="E90" s="128" t="inlineStr">
        <is>
          <t>For all AIF Content Types</t>
        </is>
      </c>
      <c r="F90" s="129" t="n"/>
    </row>
    <row r="91">
      <c r="A91" s="119" t="inlineStr">
        <is>
          <t>AIF_EXTERNAL</t>
        </is>
      </c>
      <c r="B91" s="120" t="inlineStr">
        <is>
          <t>AIF_ID</t>
        </is>
      </c>
      <c r="C91" s="121" t="inlineStr">
        <is>
          <t>Custom AIF Identification</t>
        </is>
      </c>
      <c r="D91" s="122" t="inlineStr">
        <is>
          <t>Mandatory</t>
        </is>
      </c>
      <c r="E91" s="121" t="inlineStr">
        <is>
          <t>Custom AIF Identification to link External AIF records to the correct External AIF</t>
        </is>
      </c>
    </row>
    <row r="92" ht="31.5" customHeight="1">
      <c r="A92" s="119" t="inlineStr">
        <is>
          <t>AIF_EXTERNAL</t>
        </is>
      </c>
      <c r="B92" s="120" t="n">
        <v>6</v>
      </c>
      <c r="C92" s="121" t="inlineStr">
        <is>
          <t>Reporting Period Start Date</t>
        </is>
      </c>
      <c r="D92" s="122" t="inlineStr">
        <is>
          <t>Legacy</t>
        </is>
      </c>
      <c r="E92" s="150" t="inlineStr">
        <is>
          <t>Legacy, not needed anymore. Now determined based on Reporting Period Type and Reporting Period Year.
The start date of the reporting period should begin on  the first calendar day of January, April, July or October.</t>
        </is>
      </c>
    </row>
    <row r="93" ht="31.5" customHeight="1">
      <c r="A93" s="119" t="inlineStr">
        <is>
          <t>AIF_EXTERNAL</t>
        </is>
      </c>
      <c r="B93" s="120" t="n">
        <v>7</v>
      </c>
      <c r="C93" s="121" t="inlineStr">
        <is>
          <t>Reporting Period End Date</t>
        </is>
      </c>
      <c r="D93" s="122" t="inlineStr">
        <is>
          <t>Legacy</t>
        </is>
      </c>
      <c r="E93" s="123" t="inlineStr">
        <is>
          <t>Legacy, not needed anymore. Now determined based on Reporting Period Type and Reporting Period Year.
The end date of the reporting period may be the last calendar day of March, June, September or December.</t>
        </is>
      </c>
    </row>
    <row r="94" ht="262.5" customHeight="1">
      <c r="A94" s="119" t="inlineStr">
        <is>
          <t>AIF_EXTERNAL</t>
        </is>
      </c>
      <c r="B94" s="120" t="n">
        <v>8</v>
      </c>
      <c r="C94" s="121" t="inlineStr">
        <is>
          <t>Reporting Period Type</t>
        </is>
      </c>
      <c r="D94" s="122" t="inlineStr">
        <is>
          <t>Legacy</t>
        </is>
      </c>
      <c r="E94" s="123" t="inlineStr">
        <is>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95" ht="31.5" customHeight="1">
      <c r="A95" s="119" t="inlineStr">
        <is>
          <t>AIF_EXTERNAL</t>
        </is>
      </c>
      <c r="B95" s="120" t="n">
        <v>9</v>
      </c>
      <c r="C95" s="121" t="inlineStr">
        <is>
          <t>Reporting Period Year</t>
        </is>
      </c>
      <c r="D95" s="122" t="inlineStr">
        <is>
          <t>Legacy</t>
        </is>
      </c>
      <c r="E95" s="123" t="inlineStr">
        <is>
          <t>Legacy, not needed anymore. Now copied from AIFM field 9.
The reporting period year (2013, 2014…).</t>
        </is>
      </c>
    </row>
    <row r="96" ht="21" customHeight="1">
      <c r="A96" s="119" t="inlineStr">
        <is>
          <t>AIF_EXTERNAL</t>
        </is>
      </c>
      <c r="B96" s="120" t="n">
        <v>49</v>
      </c>
      <c r="C96" s="121" t="inlineStr">
        <is>
          <t>Base currency of the AIF</t>
        </is>
      </c>
      <c r="D96" s="122" t="inlineStr">
        <is>
          <t>Mandatory</t>
        </is>
      </c>
      <c r="E96" s="123"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97" ht="42" customHeight="1">
      <c r="A97" s="119" t="inlineStr">
        <is>
          <t>AIF_EXTERNAL</t>
        </is>
      </c>
      <c r="B97" s="120" t="n">
        <v>48</v>
      </c>
      <c r="C97" s="121" t="inlineStr">
        <is>
          <t>Total AuM amount of the AIF in base currency</t>
        </is>
      </c>
      <c r="D97" s="122" t="inlineStr">
        <is>
          <t>Optional</t>
        </is>
      </c>
      <c r="E97" s="150" t="inlineStr">
        <is>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is>
      </c>
    </row>
    <row r="98">
      <c r="A98" s="119" t="n"/>
      <c r="B98" s="135" t="n"/>
      <c r="C98" s="121" t="n"/>
    </row>
    <row r="99">
      <c r="A99" s="115" t="inlineStr">
        <is>
          <t>AIFM - Assumption description</t>
        </is>
      </c>
      <c r="B99" s="125" t="n"/>
      <c r="C99" s="126" t="n"/>
      <c r="D99" s="127" t="inlineStr">
        <is>
          <t>O</t>
        </is>
      </c>
      <c r="E99" s="128" t="inlineStr">
        <is>
          <t>For all AIF Content Types</t>
        </is>
      </c>
      <c r="F99" s="129" t="n"/>
    </row>
    <row r="100">
      <c r="A100" s="119" t="inlineStr">
        <is>
          <t>AIFM_ASSUMPTION</t>
        </is>
      </c>
      <c r="B100" s="120" t="n">
        <v>14</v>
      </c>
      <c r="C100" s="121" t="inlineStr">
        <is>
          <t>Question Number</t>
        </is>
      </c>
      <c r="D100" s="122" t="inlineStr">
        <is>
          <t>Mandatory</t>
        </is>
      </c>
      <c r="E100" s="123" t="inlineStr">
        <is>
          <t>Question number for which assumption is provided.</t>
        </is>
      </c>
    </row>
    <row r="101">
      <c r="A101" s="119" t="inlineStr">
        <is>
          <t>AIFM_ASSUMPTION</t>
        </is>
      </c>
      <c r="B101" s="120" t="n">
        <v>15</v>
      </c>
      <c r="C101" s="121" t="inlineStr">
        <is>
          <t>Assumption description</t>
        </is>
      </c>
      <c r="D101" s="122" t="inlineStr">
        <is>
          <t>Mandatory</t>
        </is>
      </c>
      <c r="E101" s="123" t="inlineStr">
        <is>
          <t>Free description for assumption.</t>
        </is>
      </c>
    </row>
    <row r="102">
      <c r="A102" s="119" t="n"/>
      <c r="B102" s="120" t="n"/>
      <c r="C102" s="121" t="n"/>
    </row>
    <row r="103">
      <c r="A103" s="115" t="inlineStr">
        <is>
          <t>AIF - Assumption description</t>
        </is>
      </c>
      <c r="B103" s="125" t="n"/>
      <c r="C103" s="126" t="n"/>
      <c r="D103" s="127" t="inlineStr">
        <is>
          <t>O</t>
        </is>
      </c>
      <c r="E103" s="128" t="inlineStr">
        <is>
          <t>For all AIF Content Types</t>
        </is>
      </c>
      <c r="F103" s="129" t="n"/>
    </row>
    <row r="104">
      <c r="A104" s="119" t="inlineStr">
        <is>
          <t>AIF_ASSUMPTION</t>
        </is>
      </c>
      <c r="B104" s="120" t="inlineStr">
        <is>
          <t>AIF_ID</t>
        </is>
      </c>
      <c r="C104" s="121" t="inlineStr">
        <is>
          <t>Custom AIF Identification</t>
        </is>
      </c>
      <c r="D104" s="122" t="inlineStr">
        <is>
          <t>Mandatory</t>
        </is>
      </c>
      <c r="E104" s="121" t="inlineStr">
        <is>
          <t>Custom AIF Identification to link AIF records to the correct AIF</t>
        </is>
      </c>
    </row>
    <row r="105">
      <c r="A105" s="119" t="inlineStr">
        <is>
          <t>AIF_ASSUMPTION</t>
        </is>
      </c>
      <c r="B105" s="120" t="n">
        <v>14</v>
      </c>
      <c r="C105" s="121" t="inlineStr">
        <is>
          <t>Question Number</t>
        </is>
      </c>
      <c r="D105" s="122" t="inlineStr">
        <is>
          <t>Mandatory</t>
        </is>
      </c>
      <c r="E105" s="123" t="inlineStr">
        <is>
          <t>Question number for which assumption is provided.</t>
        </is>
      </c>
    </row>
    <row r="106">
      <c r="A106" s="119" t="inlineStr">
        <is>
          <t>AIF_ASSUMPTION</t>
        </is>
      </c>
      <c r="B106" s="120" t="n">
        <v>15</v>
      </c>
      <c r="C106" s="121" t="inlineStr">
        <is>
          <t>Assumption description</t>
        </is>
      </c>
      <c r="D106" s="122" t="inlineStr">
        <is>
          <t>Mandatory</t>
        </is>
      </c>
      <c r="E106" s="123" t="inlineStr">
        <is>
          <t>Free description for assumption.</t>
        </is>
      </c>
    </row>
    <row r="107">
      <c r="A107" s="119" t="n"/>
      <c r="B107" s="120" t="n"/>
      <c r="C107" s="121" t="n"/>
    </row>
    <row r="108">
      <c r="A108" s="115" t="inlineStr">
        <is>
          <t>The position input record contains positions of an AIF at end of the reporting period (AIF 24/1)</t>
        </is>
      </c>
      <c r="B108" s="125" t="n"/>
      <c r="C108" s="126" t="n"/>
      <c r="D108" s="127" t="inlineStr">
        <is>
          <t>M</t>
        </is>
      </c>
      <c r="E108" s="128" t="inlineStr">
        <is>
          <t>For all AIF Content Types</t>
        </is>
      </c>
      <c r="F108" s="129" t="n"/>
    </row>
    <row r="109">
      <c r="A109" s="119" t="inlineStr">
        <is>
          <t>POSITION</t>
        </is>
      </c>
      <c r="B109" s="120" t="inlineStr">
        <is>
          <t>AIF_ID</t>
        </is>
      </c>
      <c r="C109" s="121" t="inlineStr">
        <is>
          <t>Custom AIF Identification</t>
        </is>
      </c>
      <c r="D109" s="122" t="inlineStr">
        <is>
          <t>Mandatory</t>
        </is>
      </c>
      <c r="E109" s="121" t="inlineStr">
        <is>
          <t>Custom AIF Identification to link AIF records to the correct AIF</t>
        </is>
      </c>
    </row>
    <row r="110">
      <c r="A110" s="119" t="inlineStr">
        <is>
          <t>POSITION</t>
        </is>
      </c>
      <c r="B110" s="120" t="n">
        <v>65</v>
      </c>
      <c r="C110" s="121" t="inlineStr">
        <is>
          <t>Sub-Asset Type</t>
        </is>
      </c>
      <c r="D110" s="122" t="inlineStr">
        <is>
          <t>Mandatory</t>
        </is>
      </c>
      <c r="E110" s="123" t="inlineStr">
        <is>
          <t>Sub Asset type of position</t>
        </is>
      </c>
      <c r="F110" s="131" t="inlineStr">
        <is>
          <t>See tab: #DOC Annex II Tables - Table 1 for allowed values</t>
        </is>
      </c>
    </row>
    <row r="111" ht="63" customHeight="1">
      <c r="A111" s="119" t="inlineStr">
        <is>
          <t>POSITION</t>
        </is>
      </c>
      <c r="B111" s="120" t="n">
        <v>66</v>
      </c>
      <c r="C111" s="121" t="inlineStr">
        <is>
          <t>Instrument Code Type</t>
        </is>
      </c>
      <c r="D111" s="122" t="inlineStr">
        <is>
          <t>Legacy</t>
        </is>
      </c>
      <c r="E111" s="123" t="inlineStr">
        <is>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is>
      </c>
    </row>
    <row r="112" ht="21" customHeight="1">
      <c r="A112" s="119" t="inlineStr">
        <is>
          <t>POSITION</t>
        </is>
      </c>
      <c r="B112" s="120" t="n">
        <v>67</v>
      </c>
      <c r="C112" s="121" t="inlineStr">
        <is>
          <t>Instrument Name</t>
        </is>
      </c>
      <c r="D112" s="122" t="inlineStr">
        <is>
          <t>Mandatory</t>
        </is>
      </c>
      <c r="E112" s="123" t="inlineStr">
        <is>
          <t>No standard.
It is strongly recommended to provide the instrument short name as provided by Swift under ISO18774 when available.</t>
        </is>
      </c>
    </row>
    <row r="113">
      <c r="A113" s="119" t="inlineStr">
        <is>
          <t>POSITION</t>
        </is>
      </c>
      <c r="B113" s="120" t="n">
        <v>68</v>
      </c>
      <c r="C113" s="121" t="inlineStr">
        <is>
          <t>Instrument ISIN Code</t>
        </is>
      </c>
      <c r="D113" s="122" t="inlineStr">
        <is>
          <t>Optional</t>
        </is>
      </c>
      <c r="E113" s="123" t="inlineStr">
        <is>
          <t>The ISIN code of the instrument (ISO 6166 standard) when available.</t>
        </is>
      </c>
    </row>
    <row r="114" ht="42" customHeight="1">
      <c r="A114" s="119" t="inlineStr">
        <is>
          <t>POSITION</t>
        </is>
      </c>
      <c r="B114" s="120" t="inlineStr">
        <is>
          <t>106, 115</t>
        </is>
      </c>
      <c r="C114" s="121" t="inlineStr">
        <is>
          <t>Market Type Code</t>
        </is>
      </c>
      <c r="D114" s="122" t="inlineStr">
        <is>
          <t>Mandatory</t>
        </is>
      </c>
      <c r="E114" s="123" t="inlineStr">
        <is>
          <t>The market type codes admitted are:
    - MIC for markets with MIC codes
    - OTC for OTC derivatives
    - XXX for transactions traded without market</t>
        </is>
      </c>
    </row>
    <row r="115" ht="52.5" customHeight="1">
      <c r="A115" s="119" t="inlineStr">
        <is>
          <t>POSITION</t>
        </is>
      </c>
      <c r="B115" s="120" t="inlineStr">
        <is>
          <t>69, 107, 116</t>
        </is>
      </c>
      <c r="C115" s="121" t="inlineStr">
        <is>
          <t xml:space="preserve">Market Identifier Code (MIC) </t>
        </is>
      </c>
      <c r="D115" s="122" t="inlineStr">
        <is>
          <t xml:space="preserve">C
M for Instrument code type (66) equal to "AII" or Market Code Type (106 / 115) equal to "MIC"
F otherwise
</t>
        </is>
      </c>
      <c r="E115" s="123" t="inlineStr">
        <is>
          <t>The MIC code (ISO 10383) for the trading venue.
Mandatory for Instrument Code Type (66) equal to "AII" or Market Code Type (106 / 115) equal to "MIC". Forbiden otherwise.</t>
        </is>
      </c>
    </row>
    <row r="116" ht="42" customHeight="1">
      <c r="A116" s="119" t="inlineStr">
        <is>
          <t>POSITION</t>
        </is>
      </c>
      <c r="B116" s="120" t="n">
        <v>70</v>
      </c>
      <c r="C116" s="121" t="inlineStr">
        <is>
          <t>AII Exchange Product Code</t>
        </is>
      </c>
      <c r="D116" s="122" t="inlineStr">
        <is>
          <t>Optional</t>
        </is>
      </c>
      <c r="E116" s="123" t="inlineStr">
        <is>
          <t>A code that is uniquely associated with a particular underlying instrument and settlement type and other characteristics of the contract, when available. It is between one and 12 characters in length.
Forbidden when Instrument ISIN Code [68] is present.</t>
        </is>
      </c>
    </row>
    <row r="117" ht="31.5" customHeight="1">
      <c r="A117" s="119" t="inlineStr">
        <is>
          <t>POSITION</t>
        </is>
      </c>
      <c r="B117" s="120" t="n">
        <v>71</v>
      </c>
      <c r="C117" s="121" t="inlineStr">
        <is>
          <t>AII Derivative Type</t>
        </is>
      </c>
      <c r="D117" s="122" t="inlineStr">
        <is>
          <t>C
M when AII Exchange Product Code [70] is present
F otherwise</t>
        </is>
      </c>
      <c r="E117" s="123" t="inlineStr">
        <is>
          <t>This is a single character field identifying whether the instrument is an option (O) or a future (F)</t>
        </is>
      </c>
    </row>
    <row r="118" ht="31.5" customHeight="1">
      <c r="A118" s="119" t="inlineStr">
        <is>
          <t>POSITION</t>
        </is>
      </c>
      <c r="B118" s="120" t="n">
        <v>72</v>
      </c>
      <c r="C118" s="121" t="inlineStr">
        <is>
          <t>AII Put/Call Identifier</t>
        </is>
      </c>
      <c r="D118" s="122" t="inlineStr">
        <is>
          <t>C
M for AII Derivative Type equal to "O"
F otherwise</t>
        </is>
      </c>
      <c r="E118" s="123" t="inlineStr">
        <is>
          <t>This is a single character field identifying whether the option (if it is an option) is a put (P)or a call (C).
The system automatically reports 'F' in case of a future</t>
        </is>
      </c>
    </row>
    <row r="119" ht="31.5" customHeight="1">
      <c r="A119" s="119" t="inlineStr">
        <is>
          <t>POSITION</t>
        </is>
      </c>
      <c r="B119" s="120" t="n">
        <v>73</v>
      </c>
      <c r="C119" s="121" t="inlineStr">
        <is>
          <t>AII Exercise/maturity/expiry/delivery/prompt date</t>
        </is>
      </c>
      <c r="D119" s="122" t="inlineStr">
        <is>
          <t>C
M when AII Exchange Product Code [70] is present
F otherwise</t>
        </is>
      </c>
      <c r="E119" s="123" t="inlineStr">
        <is>
          <t>Exercise/maturity/expiry/delivery/prompt date of a derivative contract.</t>
        </is>
      </c>
    </row>
    <row r="120" ht="31.5" customHeight="1">
      <c r="A120" s="119" t="inlineStr">
        <is>
          <t>POSITION</t>
        </is>
      </c>
      <c r="B120" s="120" t="n">
        <v>74</v>
      </c>
      <c r="C120" s="121" t="inlineStr">
        <is>
          <t>AII Strike Price</t>
        </is>
      </c>
      <c r="D120" s="122" t="inlineStr">
        <is>
          <t>C
M for AII Derivative Type equal to "O"
F otherwise</t>
        </is>
      </c>
      <c r="E120" s="123" t="inlineStr">
        <is>
          <t>The strike price of an option or other financial instrument.
The system automatically reports 0 in case of a future</t>
        </is>
      </c>
    </row>
    <row r="121" ht="31.5" customHeight="1">
      <c r="A121" s="119" t="inlineStr">
        <is>
          <t>POSITION</t>
        </is>
      </c>
      <c r="B121" s="120" t="n">
        <v>75</v>
      </c>
      <c r="C121" s="121" t="inlineStr">
        <is>
          <t>Long / Short</t>
        </is>
      </c>
      <c r="D121" s="122" t="inlineStr">
        <is>
          <t>Mandatory</t>
        </is>
      </c>
      <c r="E121" s="123" t="inlineStr">
        <is>
          <t>The long/short position flag admitted are:
-          “L” for long
-          “S” for short</t>
        </is>
      </c>
    </row>
    <row r="122" ht="21" customHeight="1">
      <c r="A122" s="119" t="inlineStr">
        <is>
          <t>POSITION</t>
        </is>
      </c>
      <c r="B122" s="120" t="n">
        <v>76</v>
      </c>
      <c r="C122" s="121" t="inlineStr">
        <is>
          <t>Instrument position value in base currency</t>
        </is>
      </c>
      <c r="D122" s="122" t="inlineStr">
        <is>
          <t>Mandatory</t>
        </is>
      </c>
      <c r="E122" s="123" t="inlineStr">
        <is>
          <t xml:space="preserve">Instrument position value expressed in base currency (as calculated under Article 2 AIFMD - Not Article 3, see Q&amp;A Answer 39). </t>
        </is>
      </c>
      <c r="F122" s="123" t="inlineStr">
        <is>
          <t>This is the gross exposure or regulatory AUM value.
Used for AIF question numbers: 76, 86-93, 94-112,114-117, 121-124, 128-130.</t>
        </is>
      </c>
    </row>
    <row r="123" ht="21" customHeight="1">
      <c r="A123" s="119" t="inlineStr">
        <is>
          <t>POSITION</t>
        </is>
      </c>
      <c r="B123" s="120" t="inlineStr">
        <is>
          <t>NAV</t>
        </is>
      </c>
      <c r="C123" s="121" t="inlineStr">
        <is>
          <t>Net Asset Value (NAV) in AIF Base Currency</t>
        </is>
      </c>
      <c r="D123" s="122" t="inlineStr">
        <is>
          <t>Optional</t>
        </is>
      </c>
      <c r="E123" s="123" t="inlineStr">
        <is>
          <t>Instrument Net Asset Value (NAV) at Reporting Period End Date expressed in base currency.
Considered to be equal to the Position value [76] when not filled in.</t>
        </is>
      </c>
      <c r="F123" s="123" t="inlineStr">
        <is>
          <t>Used for AIF question numbers: 78-85, 165, 171</t>
        </is>
      </c>
    </row>
    <row r="124" ht="31.5" customHeight="1">
      <c r="A124" s="119" t="inlineStr">
        <is>
          <t>POSITION</t>
        </is>
      </c>
      <c r="B124" s="120" t="n">
        <v>77</v>
      </c>
      <c r="C124" s="121" t="inlineStr">
        <is>
          <t>Hedging % for short position</t>
        </is>
      </c>
      <c r="D124" s="122" t="inlineStr">
        <is>
          <t>C
O for PositionType equal to “S”
F otherwise</t>
        </is>
      </c>
      <c r="E124" s="123" t="inlineStr">
        <is>
          <t>For short positions, indication of whether the position is used to hedge a position with a similar economic exposure.</t>
        </is>
      </c>
    </row>
    <row r="125">
      <c r="A125" s="119" t="inlineStr">
        <is>
          <t>POSITION</t>
        </is>
      </c>
      <c r="B125" s="120" t="inlineStr">
        <is>
          <t>CP_CCP</t>
        </is>
      </c>
      <c r="C125" s="121" t="inlineStr">
        <is>
          <t>Counterparty Type</t>
        </is>
      </c>
      <c r="D125" s="122" t="inlineStr">
        <is>
          <t>C</t>
        </is>
      </c>
      <c r="E125" s="123" t="inlineStr">
        <is>
          <t>"CP" for Counterparties and "CCP" for Central Counterparties</t>
        </is>
      </c>
      <c r="F125" s="123" t="inlineStr">
        <is>
          <t>CCP only for reporting parties which are a direct clearer</t>
        </is>
      </c>
    </row>
    <row r="126" ht="42" customHeight="1">
      <c r="A126" s="119" t="inlineStr">
        <is>
          <t>POSITION</t>
        </is>
      </c>
      <c r="B126" s="136" t="inlineStr">
        <is>
          <t>100,110</t>
        </is>
      </c>
      <c r="C126" s="121" t="inlineStr">
        <is>
          <t>Counterparty Name</t>
        </is>
      </c>
      <c r="D126" s="122" t="inlineStr">
        <is>
          <t>C
F for market code type different from "OTC"
O otherwise</t>
        </is>
      </c>
      <c r="E126" s="123" t="inlineStr">
        <is>
          <t>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Counterparty data is only allowed when reported market code type is "OTC".</t>
        </is>
      </c>
      <c r="F126" s="123" t="inlineStr">
        <is>
          <t>If OTC position</t>
        </is>
      </c>
    </row>
    <row r="127" ht="84" customHeight="1">
      <c r="A127" s="119" t="inlineStr">
        <is>
          <t>POSITION</t>
        </is>
      </c>
      <c r="B127" s="136" t="inlineStr">
        <is>
          <t>101,111</t>
        </is>
      </c>
      <c r="C127" s="121" t="inlineStr">
        <is>
          <t>Counterparty LEI Code</t>
        </is>
      </c>
      <c r="D127" s="122" t="inlineStr">
        <is>
          <t>C
F for counterparty name of the portfolio concentration not filled in or market code type is different from "OTC"
O otherwise</t>
        </is>
      </c>
      <c r="E127" s="137" t="inlineStr">
        <is>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Counterparty data is only allowed when reported market code type is "OTC".</t>
        </is>
      </c>
      <c r="F127" s="123" t="inlineStr">
        <is>
          <t>If OTC position</t>
        </is>
      </c>
    </row>
    <row r="128" ht="42" customHeight="1">
      <c r="A128" s="119" t="inlineStr">
        <is>
          <t>POSITION</t>
        </is>
      </c>
      <c r="B128" s="136" t="inlineStr">
        <is>
          <t>102,112</t>
        </is>
      </c>
      <c r="C128" s="121" t="inlineStr">
        <is>
          <t>Counterparty BIC Code</t>
        </is>
      </c>
      <c r="D128" s="122" t="inlineStr">
        <is>
          <t>C
F for counterparty name of the portfolio concentration not filled in or market code type is different from "OTC"
O otherwise</t>
        </is>
      </c>
      <c r="E128" s="123" t="inlineStr">
        <is>
          <t>102/112: 11 Character BIC code of the entity (ISO 9362 standard)   The BIC code cannot be filled if the counterparty name is not filled in.
112: Counterparty data is only allowed when reported market code type is "OTC".</t>
        </is>
      </c>
      <c r="F128" s="123" t="inlineStr">
        <is>
          <t>If OTC position</t>
        </is>
      </c>
    </row>
    <row r="129" ht="31.5" customHeight="1">
      <c r="A129" s="119" t="inlineStr">
        <is>
          <t>POSITION</t>
        </is>
      </c>
      <c r="B129" s="120" t="n">
        <v>128</v>
      </c>
      <c r="C129" s="121" t="inlineStr">
        <is>
          <t>Currency of the exposure</t>
        </is>
      </c>
      <c r="D129" s="122" t="inlineStr">
        <is>
          <t>C
Mandatory for AIF Content types 2 and 4 (AIF field 5)
ignored otherwise.</t>
        </is>
      </c>
      <c r="E129" s="123" t="inlineStr">
        <is>
          <t xml:space="preserve">Currency code (3-character currency code according to the ISO 4217) of the exposure.
</t>
        </is>
      </c>
    </row>
    <row r="130" ht="94.5" customHeight="1">
      <c r="A130" s="119" t="inlineStr">
        <is>
          <t>POSITION</t>
        </is>
      </c>
      <c r="B130" s="120" t="inlineStr">
        <is>
          <t>78-93</t>
        </is>
      </c>
      <c r="C130" s="121" t="inlineStr">
        <is>
          <t>Region</t>
        </is>
      </c>
      <c r="D130" s="122" t="inlineStr">
        <is>
          <t>Mandatory</t>
        </is>
      </c>
      <c r="E130" s="123" t="inlineStr">
        <is>
          <t>Region can have the following values:
AFRICA  
ASIAPACIFIC  
EUROPENONEEA
EUROPEEEA  
MIDDLEEAST
NORTHAMERICA
SOUTHAMERICA
SUPRANATIONAL</t>
        </is>
      </c>
    </row>
    <row r="131" ht="42" customHeight="1">
      <c r="A131" s="119" t="inlineStr">
        <is>
          <t>POSITION</t>
        </is>
      </c>
      <c r="B131" s="120" t="n">
        <v>122</v>
      </c>
      <c r="C131" s="121" t="inlineStr">
        <is>
          <t>Gross value of exposure</t>
        </is>
      </c>
      <c r="D131" s="122" t="inlineStr">
        <is>
          <t>C
Optional for Sub-asset types "DER_FEX_INVT", "DER_FEX_HEDG" and "DER_IRD_INTR"
F otherwise</t>
        </is>
      </c>
      <c r="E131" s="123" t="inlineStr">
        <is>
          <t>Gross exposure amount for Sub-asset types "DER_FEX_INVT", "DER_FEX_HEDG" and "DER_IRD_INTR" expressed in base currency.
Only needed if different from "Position value (Article 2 AIFMD)" (76).
If not present, "Position value (Article 2 AIFMD)" (76) is used.</t>
        </is>
      </c>
    </row>
    <row r="132">
      <c r="A132" s="119" t="n"/>
      <c r="B132" s="120" t="n"/>
      <c r="C132" s="121" t="n"/>
    </row>
    <row r="133">
      <c r="A133" s="115" t="inlineStr">
        <is>
          <t>The external position input record contains positions of an External AIF at end of the reporting period. This data is only used on form AIFM 24(1).</t>
        </is>
      </c>
      <c r="B133" s="125" t="n"/>
      <c r="C133" s="126" t="n"/>
      <c r="D133" s="127" t="inlineStr">
        <is>
          <t>C</t>
        </is>
      </c>
      <c r="E133" s="129" t="n"/>
      <c r="F133" s="129" t="n"/>
    </row>
    <row r="134">
      <c r="A134" s="119" t="inlineStr">
        <is>
          <t>POSITION_EXTERNAL</t>
        </is>
      </c>
      <c r="B134" s="120" t="inlineStr">
        <is>
          <t>AIF_ID</t>
        </is>
      </c>
      <c r="C134" s="121" t="inlineStr">
        <is>
          <t>Custom AIF Identification</t>
        </is>
      </c>
      <c r="D134" s="122" t="inlineStr">
        <is>
          <t>Mandatory</t>
        </is>
      </c>
      <c r="E134" s="121" t="inlineStr">
        <is>
          <t>Custom AIF Identification to link External AIF records to the correct External AIF</t>
        </is>
      </c>
    </row>
    <row r="135">
      <c r="A135" s="119" t="inlineStr">
        <is>
          <t>POSITION_EXTERNAL</t>
        </is>
      </c>
      <c r="B135" s="120" t="n">
        <v>65</v>
      </c>
      <c r="C135" s="121" t="inlineStr">
        <is>
          <t>Sub-Asset Type</t>
        </is>
      </c>
      <c r="D135" s="122" t="inlineStr">
        <is>
          <t>Mandatory</t>
        </is>
      </c>
      <c r="E135" s="123" t="inlineStr">
        <is>
          <t>Sub Asset type of position</t>
        </is>
      </c>
      <c r="F135" s="131" t="inlineStr">
        <is>
          <t>See tab: #DOC Annex II Tables - Table 1 for allowed values</t>
        </is>
      </c>
    </row>
    <row r="136" ht="42" customHeight="1">
      <c r="A136" s="119" t="inlineStr">
        <is>
          <t>POSITION_EXTERNAL</t>
        </is>
      </c>
      <c r="B136" s="120" t="inlineStr">
        <is>
          <t>106, 115</t>
        </is>
      </c>
      <c r="C136" s="121" t="inlineStr">
        <is>
          <t>Market Code Type</t>
        </is>
      </c>
      <c r="D136" s="122" t="inlineStr">
        <is>
          <t>Mandatory</t>
        </is>
      </c>
      <c r="E136" s="123" t="inlineStr">
        <is>
          <t>The market codes types admitted are:
    - MIC for markets with MIC codes
    - OTC for OTC derivatives
    - XXX for transactions traded without market</t>
        </is>
      </c>
    </row>
    <row r="137" ht="31.5" customHeight="1">
      <c r="A137" s="119" t="inlineStr">
        <is>
          <t>POSITION_EXTERNAL</t>
        </is>
      </c>
      <c r="B137" s="120" t="inlineStr">
        <is>
          <t>69, 107, 116</t>
        </is>
      </c>
      <c r="C137" s="121" t="inlineStr">
        <is>
          <t>Market Code</t>
        </is>
      </c>
      <c r="D137" s="122" t="inlineStr">
        <is>
          <t>C
M for Instrument code type equal to "AII"
F otherwise</t>
        </is>
      </c>
      <c r="E137" s="123" t="inlineStr">
        <is>
          <t>Four character MIC of the market that admits the derivative to trading.</t>
        </is>
      </c>
    </row>
    <row r="138">
      <c r="A138" s="119" t="inlineStr">
        <is>
          <t>POSITION_EXTERNAL</t>
        </is>
      </c>
      <c r="B138" s="120" t="n">
        <v>76</v>
      </c>
      <c r="C138" s="121" t="inlineStr">
        <is>
          <t>Instrument position value in base currency</t>
        </is>
      </c>
      <c r="D138" s="122" t="inlineStr">
        <is>
          <t>Mandatory</t>
        </is>
      </c>
      <c r="E138" s="123" t="inlineStr">
        <is>
          <t xml:space="preserve">Instrument position value expressed in base currency (as calculated under Article 2 AIFMD - Not 3, see Q&amp;A Answer 39). </t>
        </is>
      </c>
      <c r="F138" s="123" t="inlineStr">
        <is>
          <t>This is the gross exposure or reg AUM value</t>
        </is>
      </c>
    </row>
    <row r="139">
      <c r="A139" s="119" t="n"/>
      <c r="B139" s="120" t="n"/>
      <c r="C139" s="121" t="n"/>
    </row>
    <row r="140">
      <c r="A140" s="115" t="inlineStr">
        <is>
          <t>Turnover</t>
        </is>
      </c>
      <c r="B140" s="125" t="n"/>
      <c r="C140" s="126" t="n"/>
      <c r="D140" s="127" t="inlineStr">
        <is>
          <t>C</t>
        </is>
      </c>
      <c r="E140" s="128" t="inlineStr">
        <is>
          <t>The TURNOVER record is optional for AIFs with content type 2 and 4, and forbidden otherwise.</t>
        </is>
      </c>
      <c r="F140" s="129" t="n"/>
    </row>
    <row r="141">
      <c r="A141" s="119" t="inlineStr">
        <is>
          <t>TURNOVER</t>
        </is>
      </c>
      <c r="B141" s="120" t="inlineStr">
        <is>
          <t>AIF_ID</t>
        </is>
      </c>
      <c r="C141" s="121" t="inlineStr">
        <is>
          <t>Custom AIF Identification</t>
        </is>
      </c>
      <c r="D141" s="122" t="inlineStr">
        <is>
          <t>Mandatory</t>
        </is>
      </c>
      <c r="E141" s="121" t="inlineStr">
        <is>
          <t>Custom AIF Identification to link AIF records to the correct AIF</t>
        </is>
      </c>
    </row>
    <row r="142">
      <c r="A142" s="119" t="inlineStr">
        <is>
          <t>TURNOVER</t>
        </is>
      </c>
      <c r="B142" s="120" t="n">
        <v>125</v>
      </c>
      <c r="C142" s="123" t="inlineStr">
        <is>
          <t>Sub-asset type code of turnover</t>
        </is>
      </c>
      <c r="D142" s="122" t="inlineStr">
        <is>
          <t>Mandatory</t>
        </is>
      </c>
      <c r="E142" s="123" t="inlineStr">
        <is>
          <t>The sub-asset type codes admitted are listed in Annex II - Table 2 (sub-asset types for turnover)</t>
        </is>
      </c>
      <c r="F142" s="131" t="inlineStr">
        <is>
          <t>See tab: #DOC Annex II Tables - Table 2 for allowed values</t>
        </is>
      </c>
    </row>
    <row r="143">
      <c r="A143" s="119" t="inlineStr">
        <is>
          <t>TURNOVER</t>
        </is>
      </c>
      <c r="B143" s="120" t="n">
        <v>126</v>
      </c>
      <c r="C143" s="123" t="inlineStr">
        <is>
          <t>Market value of turnover</t>
        </is>
      </c>
      <c r="D143" s="122" t="inlineStr">
        <is>
          <t>Optional</t>
        </is>
      </c>
      <c r="E143" s="123" t="inlineStr">
        <is>
          <t>The market value of turnover in each relevant sub-asset type over the reporting months expressed in base currency filled in without decimal places.</t>
        </is>
      </c>
    </row>
    <row r="144" ht="42" customHeight="1">
      <c r="A144" s="119" t="inlineStr">
        <is>
          <t>TURNOVER</t>
        </is>
      </c>
      <c r="B144" s="120" t="n">
        <v>127</v>
      </c>
      <c r="C144" s="123" t="inlineStr">
        <is>
          <t>Notional value of turnover</t>
        </is>
      </c>
      <c r="D144" s="122" t="inlineStr">
        <is>
          <t>C
Forbidden for sub-asset type different from DER_EQD_EQD, 
DER_FID_FID, DER_CDS_CDS, DER_FEX_INV, DER_FEX_HED, DER_IRD_IRD, DER_CTY_CTY, DER_OTH_OTH</t>
        </is>
      </c>
      <c r="E144" s="123" t="inlineStr">
        <is>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is>
      </c>
    </row>
    <row r="145">
      <c r="A145" s="119" t="n"/>
      <c r="B145" s="120" t="n"/>
      <c r="C145" s="121" t="n"/>
    </row>
    <row r="146">
      <c r="A146" s="115" t="inlineStr">
        <is>
          <t>Share Classes of AIF, only required in case of multiple share classes (AIF 24/1)</t>
        </is>
      </c>
      <c r="B146" s="125" t="n"/>
      <c r="C146" s="126" t="n"/>
      <c r="D146" s="127" t="inlineStr">
        <is>
          <t>C</t>
        </is>
      </c>
      <c r="E146" s="128" t="inlineStr">
        <is>
          <t>For all AIF Content Types</t>
        </is>
      </c>
      <c r="F146" s="129" t="n"/>
    </row>
    <row r="147">
      <c r="A147" s="119" t="inlineStr">
        <is>
          <t>SHARE_CLASS</t>
        </is>
      </c>
      <c r="B147" s="120" t="inlineStr">
        <is>
          <t>AIF_ID</t>
        </is>
      </c>
      <c r="C147" s="121" t="inlineStr">
        <is>
          <t>Custom AIF Identification</t>
        </is>
      </c>
      <c r="D147" s="122" t="inlineStr">
        <is>
          <t>Mandatory</t>
        </is>
      </c>
      <c r="E147" s="121" t="inlineStr">
        <is>
          <t>Custom AIF Identification to link AIF records to the correct AIF</t>
        </is>
      </c>
    </row>
    <row r="148" ht="21" customHeight="1">
      <c r="A148" s="119" t="inlineStr">
        <is>
          <t>SHARE_CLASS</t>
        </is>
      </c>
      <c r="B148" s="120" t="n">
        <v>34</v>
      </c>
      <c r="C148" s="123" t="inlineStr">
        <is>
          <t>Share class national code</t>
        </is>
      </c>
      <c r="D148" s="122" t="inlineStr">
        <is>
          <t>Optional</t>
        </is>
      </c>
      <c r="E148" s="123" t="inlineStr">
        <is>
          <t>Where available, unique reference allocated by the national competent authority to which the AIFM reports under AIFMD identifying each share class.</t>
        </is>
      </c>
    </row>
    <row r="149">
      <c r="A149" s="119" t="inlineStr">
        <is>
          <t>SHARE_CLASS</t>
        </is>
      </c>
      <c r="B149" s="120" t="n">
        <v>35</v>
      </c>
      <c r="C149" s="123" t="inlineStr">
        <is>
          <t>Share class ISIN code</t>
        </is>
      </c>
      <c r="D149" s="122" t="inlineStr">
        <is>
          <t>Optional</t>
        </is>
      </c>
      <c r="E149" s="123" t="inlineStr">
        <is>
          <t>Where available, the ISIN code (ISO 6166 standard) identifying each share class.</t>
        </is>
      </c>
    </row>
    <row r="150">
      <c r="A150" s="119" t="inlineStr">
        <is>
          <t>SHARE_CLASS</t>
        </is>
      </c>
      <c r="B150" s="120" t="n">
        <v>36</v>
      </c>
      <c r="C150" s="123" t="inlineStr">
        <is>
          <t>Share class SEDOL code</t>
        </is>
      </c>
      <c r="D150" s="122" t="inlineStr">
        <is>
          <t>Optional</t>
        </is>
      </c>
      <c r="E150" s="123" t="inlineStr">
        <is>
          <t>Where available, the SEDOL code identifying each share class.</t>
        </is>
      </c>
    </row>
    <row r="151">
      <c r="A151" s="119" t="inlineStr">
        <is>
          <t>SHARE_CLASS</t>
        </is>
      </c>
      <c r="B151" s="120" t="n">
        <v>37</v>
      </c>
      <c r="C151" s="123" t="inlineStr">
        <is>
          <t>Share class CUSIP code</t>
        </is>
      </c>
      <c r="D151" s="122" t="inlineStr">
        <is>
          <t>Optional</t>
        </is>
      </c>
      <c r="E151" s="123" t="inlineStr">
        <is>
          <t>Where available, the CUSIP code identifying each share class.</t>
        </is>
      </c>
    </row>
    <row r="152">
      <c r="A152" s="119" t="inlineStr">
        <is>
          <t>SHARE_CLASS</t>
        </is>
      </c>
      <c r="B152" s="120" t="n">
        <v>38</v>
      </c>
      <c r="C152" s="123" t="inlineStr">
        <is>
          <t>Share class Bloomberg code</t>
        </is>
      </c>
      <c r="D152" s="122" t="inlineStr">
        <is>
          <t>Optional</t>
        </is>
      </c>
      <c r="E152" s="123" t="inlineStr">
        <is>
          <t>Where available, the Bloomberg ticker symbol identifying each share class.</t>
        </is>
      </c>
    </row>
    <row r="153">
      <c r="A153" s="119" t="inlineStr">
        <is>
          <t>SHARE_CLASS</t>
        </is>
      </c>
      <c r="B153" s="120" t="n">
        <v>39</v>
      </c>
      <c r="C153" s="123" t="inlineStr">
        <is>
          <t>Share class Reuters code</t>
        </is>
      </c>
      <c r="D153" s="122" t="inlineStr">
        <is>
          <t>Optional</t>
        </is>
      </c>
      <c r="E153" s="123" t="inlineStr">
        <is>
          <t>Where available, the Reuters Identifier Code (RIC) identifying each share class.</t>
        </is>
      </c>
    </row>
    <row r="154">
      <c r="A154" s="119" t="inlineStr">
        <is>
          <t>SHARE_CLASS</t>
        </is>
      </c>
      <c r="B154" s="120" t="n">
        <v>40</v>
      </c>
      <c r="C154" s="123" t="inlineStr">
        <is>
          <t>Share class name</t>
        </is>
      </c>
      <c r="D154" s="122" t="inlineStr">
        <is>
          <t>Mandatory</t>
        </is>
      </c>
      <c r="E154" s="123" t="inlineStr">
        <is>
          <t>The name of the share class.</t>
        </is>
      </c>
    </row>
    <row r="155">
      <c r="A155" s="119" t="n"/>
      <c r="B155" s="120" t="n"/>
      <c r="C155" s="121" t="n"/>
    </row>
    <row r="156">
      <c r="A156" s="236" t="inlineStr">
        <is>
          <t>(Legacy) The Master(s) of the AIF (Mandatory if "Master feeder status" (field 41) is "FEEDER", forbidden otherwise)</t>
        </is>
      </c>
      <c r="B156" s="237" t="n"/>
      <c r="C156" s="238" t="n"/>
      <c r="D156" s="239" t="inlineStr">
        <is>
          <t>C</t>
        </is>
      </c>
      <c r="E156" s="240" t="inlineStr">
        <is>
          <t>For all AIF Content Types</t>
        </is>
      </c>
      <c r="F156" s="241" t="n"/>
    </row>
    <row r="157">
      <c r="A157" s="119" t="inlineStr">
        <is>
          <t>MASTER</t>
        </is>
      </c>
      <c r="B157" s="120" t="inlineStr">
        <is>
          <t>AIF_ID</t>
        </is>
      </c>
      <c r="C157" s="121" t="inlineStr">
        <is>
          <t>Custom AIF Identification</t>
        </is>
      </c>
      <c r="D157" s="122" t="inlineStr">
        <is>
          <t>Mandatory</t>
        </is>
      </c>
      <c r="E157" s="121" t="inlineStr">
        <is>
          <t>Custom AIF Identification to link AIF records to the correct AIF</t>
        </is>
      </c>
    </row>
    <row r="158" ht="21" customHeight="1">
      <c r="A158" s="119" t="inlineStr">
        <is>
          <t>MASTER</t>
        </is>
      </c>
      <c r="B158" s="120" t="n">
        <v>42</v>
      </c>
      <c r="C158" s="123" t="inlineStr">
        <is>
          <t>Master AIF name</t>
        </is>
      </c>
      <c r="D158" s="122" t="inlineStr">
        <is>
          <t>Mandatory</t>
        </is>
      </c>
      <c r="E158" s="123" t="inlineStr">
        <is>
          <t>No standard.
It is strongly recommended to provide the full name as provided by Swift for master AIF(s) that have a BIC or LEI code.</t>
        </is>
      </c>
    </row>
    <row r="159">
      <c r="A159" s="119" t="inlineStr">
        <is>
          <t>MASTER</t>
        </is>
      </c>
      <c r="B159" s="120" t="n">
        <v>43</v>
      </c>
      <c r="C159" s="123" t="inlineStr">
        <is>
          <t>Master AIF national identifier - Reporting Member State</t>
        </is>
      </c>
      <c r="D159" s="122" t="inlineStr">
        <is>
          <t>Optional</t>
        </is>
      </c>
      <c r="E159" s="123" t="inlineStr">
        <is>
          <t>EEA/EU Country code standard ISO-3166-1 of the reporting Member State to which the AIFM of the master AIF(s) reports under AIFMD.</t>
        </is>
      </c>
    </row>
    <row r="160" ht="42" customHeight="1">
      <c r="A160" s="119" t="inlineStr">
        <is>
          <t>MASTER</t>
        </is>
      </c>
      <c r="B160" s="120" t="n">
        <v>44</v>
      </c>
      <c r="C160" s="123" t="inlineStr">
        <is>
          <t>Master AIF national identifier - National code</t>
        </is>
      </c>
      <c r="D160" s="122" t="inlineStr">
        <is>
          <t>C
M for Master AIF national identifier - Reporting Member State (43) filled in
O otherwise</t>
        </is>
      </c>
      <c r="E160" s="123" t="inlineStr">
        <is>
          <t>Unique reference identifying the master AIF allocated by the national competent authority to which the AIFM of the master AIF (s) reports under AIFMD.
The field is mandatory when the master AIF national identifier - Reporting Member State is filled in.</t>
        </is>
      </c>
    </row>
    <row r="161">
      <c r="A161" s="119" t="inlineStr">
        <is>
          <t>MASTER</t>
        </is>
      </c>
      <c r="B161" s="120" t="n"/>
      <c r="C161" s="121" t="n"/>
    </row>
    <row r="162">
      <c r="A162" s="115" t="inlineStr">
        <is>
          <t>Prime broker(s) of AIF (AIF 24/1)</t>
        </is>
      </c>
      <c r="B162" s="125" t="n"/>
      <c r="C162" s="126" t="n"/>
      <c r="D162" s="127" t="inlineStr">
        <is>
          <t>O</t>
        </is>
      </c>
      <c r="E162" s="129" t="inlineStr">
        <is>
          <t>For all AIF Content Types</t>
        </is>
      </c>
      <c r="F162" s="129" t="n"/>
    </row>
    <row r="163">
      <c r="A163" s="119" t="inlineStr">
        <is>
          <t>PRIME_BROKER</t>
        </is>
      </c>
      <c r="B163" s="120" t="inlineStr">
        <is>
          <t>AIF_ID</t>
        </is>
      </c>
      <c r="C163" s="121" t="inlineStr">
        <is>
          <t>Custom AIF Identification</t>
        </is>
      </c>
      <c r="D163" s="122" t="inlineStr">
        <is>
          <t>Mandatory</t>
        </is>
      </c>
      <c r="E163" s="121" t="inlineStr">
        <is>
          <t>Custom AIF Identification to link AIF records to the correct AIF</t>
        </is>
      </c>
    </row>
    <row r="164" ht="21" customHeight="1">
      <c r="A164" s="119" t="inlineStr">
        <is>
          <t>PRIME_BROKER</t>
        </is>
      </c>
      <c r="B164" s="120" t="n">
        <v>45</v>
      </c>
      <c r="C164" s="123" t="inlineStr">
        <is>
          <t>Prime Broker Name</t>
        </is>
      </c>
      <c r="D164" s="122" t="inlineStr">
        <is>
          <t>Mandatory</t>
        </is>
      </c>
      <c r="E164" s="123" t="inlineStr">
        <is>
          <t>Entity name. (no standard)
It is strongly recommended to provide the full name corresponding to the allocated LEI code (or BIC code if any and LEI not available).</t>
        </is>
      </c>
    </row>
    <row r="165" ht="52.5" customHeight="1">
      <c r="A165" s="119" t="inlineStr">
        <is>
          <t>PRIME_BROKER</t>
        </is>
      </c>
      <c r="B165" s="120" t="n">
        <v>46</v>
      </c>
      <c r="C165" s="123" t="inlineStr">
        <is>
          <t>Prime Broker LEI code</t>
        </is>
      </c>
      <c r="D165" s="122" t="inlineStr">
        <is>
          <t>Optional</t>
        </is>
      </c>
      <c r="E165"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166">
      <c r="A166" s="119" t="inlineStr">
        <is>
          <t>PRIME_BROKER</t>
        </is>
      </c>
      <c r="B166" s="120" t="n">
        <v>47</v>
      </c>
      <c r="C166" s="123" t="inlineStr">
        <is>
          <t>Prime Broker BIC code</t>
        </is>
      </c>
      <c r="D166" s="122" t="inlineStr">
        <is>
          <t>O</t>
        </is>
      </c>
      <c r="E166" s="123" t="inlineStr">
        <is>
          <t>11 Character BIC code (ISO 9362 standard)</t>
        </is>
      </c>
    </row>
    <row r="167">
      <c r="A167" s="119" t="n"/>
      <c r="B167" s="120" t="n"/>
      <c r="C167" s="121" t="n"/>
    </row>
    <row r="168">
      <c r="A168" s="115" t="inlineStr">
        <is>
          <t>Strategy(s)  of AIF</t>
        </is>
      </c>
      <c r="B168" s="125" t="n"/>
      <c r="C168" s="126" t="n"/>
      <c r="D168" s="127" t="inlineStr">
        <is>
          <t>M</t>
        </is>
      </c>
      <c r="E168" s="128" t="inlineStr">
        <is>
          <t>For all AIF Content Types</t>
        </is>
      </c>
      <c r="F168" s="129" t="n"/>
    </row>
    <row r="169">
      <c r="A169" s="119" t="inlineStr">
        <is>
          <t>STRATEGY</t>
        </is>
      </c>
      <c r="B169" s="120" t="inlineStr">
        <is>
          <t>AIF_ID</t>
        </is>
      </c>
      <c r="C169" s="121" t="inlineStr">
        <is>
          <t>Custom AIF Identification</t>
        </is>
      </c>
      <c r="D169" s="122" t="inlineStr">
        <is>
          <t>Mandatory</t>
        </is>
      </c>
      <c r="E169" s="121" t="inlineStr">
        <is>
          <t>Custom AIF Identification to link AIF records to the correct AIF</t>
        </is>
      </c>
    </row>
    <row r="170" ht="21" customHeight="1">
      <c r="A170" s="119" t="inlineStr">
        <is>
          <t>STRATEGY</t>
        </is>
      </c>
      <c r="B170" s="120" t="n">
        <v>58</v>
      </c>
      <c r="C170" s="123" t="inlineStr">
        <is>
          <t>Investment strategy code</t>
        </is>
      </c>
      <c r="D170" s="122" t="inlineStr">
        <is>
          <t>Mandatory</t>
        </is>
      </c>
      <c r="E170" s="123" t="inlineStr">
        <is>
          <t>The investment strategy types admitted are listed in Annex II - Table 3.
Do not enter "MULT_" strategy codes, these are added automatically when needed.</t>
        </is>
      </c>
      <c r="F170" s="131" t="inlineStr">
        <is>
          <t>See tab: #DOC Annex II Tables - Table 3 for allowed values</t>
        </is>
      </c>
    </row>
    <row r="171" ht="63" customHeight="1">
      <c r="A171" s="119" t="inlineStr">
        <is>
          <t>STRATEGY</t>
        </is>
      </c>
      <c r="B171" s="120" t="n">
        <v>59</v>
      </c>
      <c r="C171" s="121" t="inlineStr">
        <is>
          <t>Indicate whether the sub strategy best describes the AIF’s strategy</t>
        </is>
      </c>
      <c r="D171" s="122" t="inlineStr">
        <is>
          <t>Legacy</t>
        </is>
      </c>
      <c r="E171" s="123" t="inlineStr">
        <is>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is>
      </c>
    </row>
    <row r="172" ht="21" customHeight="1">
      <c r="A172" s="119" t="inlineStr">
        <is>
          <t>STRATEGY</t>
        </is>
      </c>
      <c r="B172" s="120" t="n">
        <v>60</v>
      </c>
      <c r="C172" s="121" t="inlineStr">
        <is>
          <t>Share in NAV (%)</t>
        </is>
      </c>
      <c r="D172" s="122" t="inlineStr">
        <is>
          <t>Mandatory</t>
        </is>
      </c>
      <c r="E172" s="123" t="inlineStr">
        <is>
          <t>NAV rate expressed as a percentage for each reported investment strategy.
For each AIF the total of all strategies should be 100.</t>
        </is>
      </c>
    </row>
    <row r="173" ht="42" customHeight="1">
      <c r="A173" s="119" t="inlineStr">
        <is>
          <t>STRATEGY</t>
        </is>
      </c>
      <c r="B173" s="120" t="n">
        <v>61</v>
      </c>
      <c r="C173" s="123" t="inlineStr">
        <is>
          <t>Description for strategy type Other</t>
        </is>
      </c>
      <c r="D173" s="122" t="inlineStr">
        <is>
          <t>Conditional
M for strategy codes "OTHR_HFND", "OTHR_PEQF", "OTHR_REST", "OTHR_FOFS" or "OTHR_OTHF".
Forbidden otherwise</t>
        </is>
      </c>
      <c r="E173" s="123" t="inlineStr">
        <is>
          <t>The field is mandatory for strategy codes "OTHR_HFND", "OTHR_PEQF", "OTHR_REST", "OTHR_FOFS" or "OTHR_OTHF".</t>
        </is>
      </c>
    </row>
    <row r="174">
      <c r="A174" s="119" t="n"/>
      <c r="B174" s="120" t="n"/>
      <c r="C174" s="121" t="n"/>
    </row>
    <row r="175">
      <c r="A175" s="115" t="inlineStr">
        <is>
          <t>Dominant influence(s) - Optional for AIFs with private equity and content type 2 and 4, and forbidden otherwise.</t>
        </is>
      </c>
      <c r="B175" s="125" t="n"/>
      <c r="C175" s="126" t="n"/>
      <c r="D175" s="127" t="inlineStr">
        <is>
          <t>C</t>
        </is>
      </c>
      <c r="E175" s="128" t="inlineStr">
        <is>
          <t>The DOMINANT_INFLUENCE record is optional for AIFs with private equity and content type 2 and 4, and forbidden otherwise.</t>
        </is>
      </c>
      <c r="F175" s="129" t="n"/>
    </row>
    <row r="176">
      <c r="A176" s="119" t="inlineStr">
        <is>
          <t>DOMINANT_INFLUENCE</t>
        </is>
      </c>
      <c r="B176" s="120" t="inlineStr">
        <is>
          <t>AIF_ID</t>
        </is>
      </c>
      <c r="C176" s="121" t="inlineStr">
        <is>
          <t>Custom AIF Identification</t>
        </is>
      </c>
      <c r="D176" s="122" t="inlineStr">
        <is>
          <t>Mandatory</t>
        </is>
      </c>
      <c r="E176" s="121" t="inlineStr">
        <is>
          <t>Custom AIF Identification to link AIF records to the correct AIF</t>
        </is>
      </c>
    </row>
    <row r="177" ht="31.5" customHeight="1">
      <c r="A177" s="119" t="inlineStr">
        <is>
          <t>DOMINANT_INFLUENCE</t>
        </is>
      </c>
      <c r="B177" s="120" t="n">
        <v>131</v>
      </c>
      <c r="C177" s="123" t="inlineStr">
        <is>
          <t>Dominant influence company name</t>
        </is>
      </c>
      <c r="D177" s="122" t="inlineStr">
        <is>
          <t>C
M for AIF predominant type “Private Equity funds”
F otherwise</t>
        </is>
      </c>
      <c r="E177" s="123" t="inlineStr">
        <is>
          <t>Entity name. (no standard)
It is strongly recommended to provide the full name corresponding to the allocated LEI code (or BIC code if any and LEI not available).
The field is mandatory for AIF predominant type “Private Equity funds” and forbidden otherwise.</t>
        </is>
      </c>
    </row>
    <row r="178" ht="63" customHeight="1">
      <c r="A178" s="119" t="inlineStr">
        <is>
          <t>DOMINANT_INFLUENCE</t>
        </is>
      </c>
      <c r="B178" s="120" t="n">
        <v>132</v>
      </c>
      <c r="C178" s="123" t="inlineStr">
        <is>
          <t>Dominant influence company LEI code</t>
        </is>
      </c>
      <c r="D178" s="122" t="inlineStr">
        <is>
          <t>C
O for AIF predominant type “Private Equity funds”
F otherwise</t>
        </is>
      </c>
      <c r="E178"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is>
      </c>
    </row>
    <row r="179" ht="31.5" customHeight="1">
      <c r="A179" s="119" t="inlineStr">
        <is>
          <t>DOMINANT_INFLUENCE</t>
        </is>
      </c>
      <c r="B179" s="120" t="n">
        <v>133</v>
      </c>
      <c r="C179" s="123" t="inlineStr">
        <is>
          <t xml:space="preserve">Dominant influence company BIC code </t>
        </is>
      </c>
      <c r="D179" s="122" t="inlineStr">
        <is>
          <t>C
O for AIF predominant type “Private Equity funds”
F otherwise</t>
        </is>
      </c>
      <c r="E179" s="123" t="inlineStr">
        <is>
          <t>11 Character BIC code (ISO 9362 standard)
The field is forbidden for AIF predominant type different from “Private Equity funds”.</t>
        </is>
      </c>
    </row>
    <row r="180" ht="136.5" customHeight="1">
      <c r="A180" s="119" t="inlineStr">
        <is>
          <t>DOMINANT_INFLUENCE</t>
        </is>
      </c>
      <c r="B180" s="120" t="n">
        <v>134</v>
      </c>
      <c r="C180" s="123" t="inlineStr">
        <is>
          <t>Transaction type</t>
        </is>
      </c>
      <c r="D180" s="122" t="inlineStr">
        <is>
          <t>C
M for AIF predominant type “Private Equity funds”
F otherwise</t>
        </is>
      </c>
      <c r="E180" s="123" t="inlineStr">
        <is>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is>
      </c>
      <c r="F180" s="131" t="inlineStr">
        <is>
          <t>See tab: #DOC Annex II Tables - Table 5 for allowed values</t>
        </is>
      </c>
    </row>
    <row r="181" ht="31.5" customHeight="1">
      <c r="A181" s="119" t="inlineStr">
        <is>
          <t>DOMINANT_INFLUENCE</t>
        </is>
      </c>
      <c r="B181" s="120" t="n">
        <v>135</v>
      </c>
      <c r="C181" s="123" t="inlineStr">
        <is>
          <t>Description of other transaction type</t>
        </is>
      </c>
      <c r="D181" s="122" t="inlineStr">
        <is>
          <t>C
M for transaction type equal to "OTHR"
F otherwise</t>
        </is>
      </c>
      <c r="E181" s="123" t="inlineStr">
        <is>
          <t>Free text.
The field is mandatory for transaction type equal to “OTHR”</t>
        </is>
      </c>
    </row>
    <row r="182" ht="31.5" customHeight="1">
      <c r="A182" s="119" t="inlineStr">
        <is>
          <t>DOMINANT_INFLUENCE</t>
        </is>
      </c>
      <c r="B182" s="120" t="n">
        <v>136</v>
      </c>
      <c r="C182" s="123" t="inlineStr">
        <is>
          <t>% Voting rights</t>
        </is>
      </c>
      <c r="D182" s="122" t="inlineStr">
        <is>
          <t>C
M for AIF predominant type “PEQF”
F otherwise</t>
        </is>
      </c>
      <c r="E182" s="123" t="inlineStr">
        <is>
          <t>Rate expressed as a percentage.
The field is mandatory for AIF predominant type “Private Equity funds” and forbidden otherwise.</t>
        </is>
      </c>
    </row>
    <row r="183">
      <c r="A183" s="119" t="n"/>
      <c r="B183" s="120" t="n"/>
      <c r="C183" s="121" t="n"/>
    </row>
    <row r="184">
      <c r="A184" s="115" t="inlineStr">
        <is>
          <t>Risk metrics</t>
        </is>
      </c>
      <c r="B184" s="125" t="n"/>
      <c r="C184" s="126" t="n"/>
      <c r="D184" s="127" t="inlineStr">
        <is>
          <t>C</t>
        </is>
      </c>
      <c r="E184" s="128" t="inlineStr">
        <is>
          <t>The RISK record is optional for AIFs with content type 2 and 4, and forbidden otherwise.</t>
        </is>
      </c>
      <c r="F184" s="129" t="n"/>
    </row>
    <row r="185">
      <c r="A185" s="119" t="inlineStr">
        <is>
          <t>RISK</t>
        </is>
      </c>
      <c r="B185" s="120" t="inlineStr">
        <is>
          <t>AIF_ID</t>
        </is>
      </c>
      <c r="C185" s="121" t="inlineStr">
        <is>
          <t>Custom AIF Identification</t>
        </is>
      </c>
      <c r="D185" s="122" t="inlineStr">
        <is>
          <t>Mandatory</t>
        </is>
      </c>
      <c r="E185" s="121" t="inlineStr">
        <is>
          <t>Custom AIF Identification to link AIF records to the correct AIF</t>
        </is>
      </c>
    </row>
    <row r="186" ht="84" customHeight="1">
      <c r="A186" s="119" t="inlineStr">
        <is>
          <t>RISK</t>
        </is>
      </c>
      <c r="B186" s="120" t="n">
        <v>138</v>
      </c>
      <c r="C186" s="123" t="inlineStr">
        <is>
          <t>Risk measure type</t>
        </is>
      </c>
      <c r="D186" s="122" t="inlineStr">
        <is>
          <t>Optional</t>
        </is>
      </c>
      <c r="E186" s="123" t="inlineStr">
        <is>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is>
      </c>
      <c r="F186" s="123" t="inlineStr">
        <is>
          <t>These metrics are position type dependent - 
See tab: #DOC Annex II Tables - Table risk for which risk method to apply</t>
        </is>
      </c>
    </row>
    <row r="187" ht="42" customHeight="1">
      <c r="A187" s="119" t="inlineStr">
        <is>
          <t>RISK</t>
        </is>
      </c>
      <c r="B187" s="120" t="n">
        <v>139</v>
      </c>
      <c r="C187" s="123" t="inlineStr">
        <is>
          <t>Risk measure value</t>
        </is>
      </c>
      <c r="D187" s="122" t="inlineStr">
        <is>
          <t>C
O for risk measure type equal to "NET_EQTY_DELTA" and "NET_FX_DELTA" and "NET_CTY_DELTA"
F otherwise</t>
        </is>
      </c>
      <c r="E187" s="123" t="inlineStr">
        <is>
          <t>This field is mandatory for risk measure type equal to "NET_EQTY_DELTA" and "NET_FX_DELTA" and "NET_CTY_DELTA" and forbidden otherwise. Expressed in base currency.</t>
        </is>
      </c>
    </row>
    <row r="188" ht="42" customHeight="1">
      <c r="A188" s="119" t="inlineStr">
        <is>
          <t>RISK</t>
        </is>
      </c>
      <c r="B188" s="120" t="n">
        <v>140</v>
      </c>
      <c r="C188" s="121" t="inlineStr">
        <is>
          <t>Risk measure value for bucket &lt; 5 years</t>
        </is>
      </c>
      <c r="D188" s="122" t="inlineStr">
        <is>
          <t>C
M for risk measure type equal to "NET_DV01" and "NET_CS01"
F otherwise</t>
        </is>
      </c>
      <c r="E188" s="123" t="inlineStr">
        <is>
          <t>This field is mandatory for risk measure type equal to "NET_DV01" and "NET_CS01" and forbidden otherwise. Expressed in base currency.</t>
        </is>
      </c>
    </row>
    <row r="189" ht="42" customHeight="1">
      <c r="A189" s="119" t="inlineStr">
        <is>
          <t>RISK</t>
        </is>
      </c>
      <c r="B189" s="120" t="n">
        <v>141</v>
      </c>
      <c r="C189" s="121" t="inlineStr">
        <is>
          <t>Risk measure value for bucket 5-15 years</t>
        </is>
      </c>
      <c r="D189" s="122" t="inlineStr">
        <is>
          <t>C
M for risk measure type equal to "NET_DV01" and "NET_CS01"
F otherwise</t>
        </is>
      </c>
      <c r="E189" s="123" t="inlineStr">
        <is>
          <t>This field is mandatory for risk measure type equal to "NET_DV01" and "NET_CS01" and forbidden otherwise. Expressed in base currency.</t>
        </is>
      </c>
    </row>
    <row r="190" ht="42" customHeight="1">
      <c r="A190" s="119" t="inlineStr">
        <is>
          <t>RISK</t>
        </is>
      </c>
      <c r="B190" s="120" t="n">
        <v>142</v>
      </c>
      <c r="C190" s="121" t="inlineStr">
        <is>
          <t>Risk measure value for bucket &gt; 15 years</t>
        </is>
      </c>
      <c r="D190" s="122" t="inlineStr">
        <is>
          <t>C
M for risk measure type equal to "NET_DV01" and "NET_CS01"
F otherwise</t>
        </is>
      </c>
      <c r="E190" s="123" t="inlineStr">
        <is>
          <t>This field is mandatory for risk measure type equal to "NET_DV01" and "NET_CS01" and forbidden otherwise. Expressed in base currency.</t>
        </is>
      </c>
    </row>
    <row r="191" ht="31.5" customHeight="1">
      <c r="A191" s="119" t="inlineStr">
        <is>
          <t>RISK</t>
        </is>
      </c>
      <c r="B191" s="120" t="n">
        <v>143</v>
      </c>
      <c r="C191" s="121" t="inlineStr">
        <is>
          <t>Risk measure value for Vega exposure at current market levels</t>
        </is>
      </c>
      <c r="D191" s="122" t="inlineStr">
        <is>
          <t>C
M for risk measure type equal to "VEGA_EXPO"
F otherwise</t>
        </is>
      </c>
      <c r="E191" s="123" t="inlineStr">
        <is>
          <t>This field is mandatory for risk measure type equal to "VEGA_EXPO" and forbidden otherwise. Expressed in base currency.</t>
        </is>
      </c>
    </row>
    <row r="192" ht="31.5" customHeight="1">
      <c r="A192" s="119" t="inlineStr">
        <is>
          <t>RISK</t>
        </is>
      </c>
      <c r="B192" s="120" t="n">
        <v>144</v>
      </c>
      <c r="C192" s="121" t="inlineStr">
        <is>
          <t>Risk measure value for Vega exposure at market levels 10% lower</t>
        </is>
      </c>
      <c r="D192" s="122" t="inlineStr">
        <is>
          <t>C
M for risk measure type equal to "VEGA_EXPO"
F otherwise</t>
        </is>
      </c>
      <c r="E192" s="123" t="inlineStr">
        <is>
          <t>This field is mandatory for risk measure type equal to "VEGA_EXPO" and forbidden otherwise. Expressed in base currency.</t>
        </is>
      </c>
    </row>
    <row r="193" ht="31.5" customHeight="1">
      <c r="A193" s="119" t="inlineStr">
        <is>
          <t>RISK</t>
        </is>
      </c>
      <c r="B193" s="120" t="n">
        <v>145</v>
      </c>
      <c r="C193" s="121" t="inlineStr">
        <is>
          <t>Risk measure value for Vega exposure at market levels 10% higher</t>
        </is>
      </c>
      <c r="D193" s="122" t="inlineStr">
        <is>
          <t>C
M for risk measure type equal to "VEGA_EXPO"
F otherwise</t>
        </is>
      </c>
      <c r="E193" s="123" t="inlineStr">
        <is>
          <t>This field is mandatory for risk measure type equal to "VEGA_EXPO" and forbidden otherwise. Expressed in base currency.</t>
        </is>
      </c>
    </row>
    <row r="194" ht="31.5" customHeight="1">
      <c r="A194" s="119" t="inlineStr">
        <is>
          <t>RISK</t>
        </is>
      </c>
      <c r="B194" s="120" t="n">
        <v>302</v>
      </c>
      <c r="C194" s="121" t="inlineStr">
        <is>
          <t>VAR Value</t>
        </is>
      </c>
      <c r="D194" s="122" t="inlineStr">
        <is>
          <t>C
M for risk measure type equal to "VAR"
F otherwise</t>
        </is>
      </c>
      <c r="E194" s="123" t="inlineStr">
        <is>
          <t>This field is mandatory for risk measure type equal to "VAR" and forbidden otherwise. Expressed as a percentage.</t>
        </is>
      </c>
    </row>
    <row r="195" ht="52.5" customHeight="1">
      <c r="A195" s="119" t="inlineStr">
        <is>
          <t>RISK</t>
        </is>
      </c>
      <c r="B195" s="120" t="n">
        <v>146</v>
      </c>
      <c r="C195" s="123" t="inlineStr">
        <is>
          <t>VAR Calculation Method Code Type</t>
        </is>
      </c>
      <c r="D195" s="122" t="inlineStr">
        <is>
          <t>C
M for risk measure type equal to "VAR"
F otherwise</t>
        </is>
      </c>
      <c r="E195" s="123" t="inlineStr">
        <is>
          <t>Allowed values are:
- HISTO for Historical simulation
- CARLO for Monte Carlo simulation
- PARAM for Parametric
This field mandory for risk measure type equal to "VAR" and forbidden otherwise.</t>
        </is>
      </c>
    </row>
    <row r="196" ht="21" customHeight="1">
      <c r="A196" s="119" t="inlineStr">
        <is>
          <t>RISK</t>
        </is>
      </c>
      <c r="B196" s="120" t="n">
        <v>147</v>
      </c>
      <c r="C196" s="123" t="inlineStr">
        <is>
          <t>Risk Measure description</t>
        </is>
      </c>
      <c r="D196" s="122" t="inlineStr">
        <is>
          <t>C
M for risk measure values equal to 0</t>
        </is>
      </c>
      <c r="E196" s="123" t="inlineStr">
        <is>
          <t>Free description.
The field is mandatory for  risk measure values equal to 0 and optional otherwise.</t>
        </is>
      </c>
    </row>
    <row r="197">
      <c r="A197" s="119" t="n"/>
      <c r="B197" s="120" t="n"/>
      <c r="C197" s="123" t="n"/>
    </row>
    <row r="198">
      <c r="A198" s="115" t="inlineStr">
        <is>
          <t>Counterparty risk profile - This describes the risk profile of the counterparties</t>
        </is>
      </c>
      <c r="B198" s="125" t="n"/>
      <c r="C198" s="126" t="n"/>
      <c r="D198" s="127" t="inlineStr">
        <is>
          <t>C</t>
        </is>
      </c>
      <c r="E198" s="128" t="inlineStr">
        <is>
          <t>The COUNTERPARTY_RISK_PROFILE record is optional for AIFs with content type 2 and 4, and forbidden otherwise.</t>
        </is>
      </c>
      <c r="F198" s="129" t="n"/>
    </row>
    <row r="199">
      <c r="A199" s="119" t="inlineStr">
        <is>
          <t>COUNTERPARTY_RISK_PROFILE</t>
        </is>
      </c>
      <c r="B199" s="120" t="inlineStr">
        <is>
          <t>AIF_ID</t>
        </is>
      </c>
      <c r="C199" s="121" t="inlineStr">
        <is>
          <t>Custom AIF Identification</t>
        </is>
      </c>
      <c r="D199" s="122" t="inlineStr">
        <is>
          <t>Mandatory</t>
        </is>
      </c>
      <c r="E199" s="121" t="inlineStr">
        <is>
          <t>Custom AIF Identification to link AIF records to the correct AIF</t>
        </is>
      </c>
    </row>
    <row r="200" ht="21" customHeight="1">
      <c r="A200" s="119" t="inlineStr">
        <is>
          <t>COUNTERPARTY_RISK_PROFILE</t>
        </is>
      </c>
      <c r="B200" s="120" t="n">
        <v>148</v>
      </c>
      <c r="C200" s="123" t="inlineStr">
        <is>
          <t>Percentage of market value for securities traded on regulated markets (non-OTC)</t>
        </is>
      </c>
      <c r="D200" s="122" t="inlineStr">
        <is>
          <t>Optional</t>
        </is>
      </c>
      <c r="E200" s="123" t="inlineStr">
        <is>
          <t>Estimated % in terms of market value of securities traded on regulated exchange markets.
Rate expressed as a percentage.</t>
        </is>
      </c>
    </row>
    <row r="201" ht="42" customHeight="1">
      <c r="A201" s="119" t="inlineStr">
        <is>
          <t>COUNTERPARTY_RISK_PROFILE</t>
        </is>
      </c>
      <c r="B201" s="120" t="n">
        <v>149</v>
      </c>
      <c r="C201" s="123" t="inlineStr">
        <is>
          <t>Percentage of market value for securities traded on OTC markets</t>
        </is>
      </c>
      <c r="D201" s="122" t="inlineStr">
        <is>
          <t>Legacy</t>
        </is>
      </c>
      <c r="E201" s="123" t="inlineStr">
        <is>
          <t>Legacy, not needed anymore. Now determined as 100 - [field 148], only when a value is present in field 148.
Estimated % in terms of market value of securities traded on OTC markets.
Rate expressed as a percentage.</t>
        </is>
      </c>
    </row>
    <row r="202" ht="21" customHeight="1">
      <c r="A202" s="119" t="inlineStr">
        <is>
          <t>COUNTERPARTY_RISK_PROFILE</t>
        </is>
      </c>
      <c r="B202" s="120" t="n">
        <v>150</v>
      </c>
      <c r="C202" s="123" t="inlineStr">
        <is>
          <t>Percentage of trade volumes for derivatives traded on regulated markets (non-OTC)</t>
        </is>
      </c>
      <c r="D202" s="122" t="inlineStr">
        <is>
          <t>Optional</t>
        </is>
      </c>
      <c r="E202" s="123" t="inlineStr">
        <is>
          <t>Estimated % in terms of trade volumes of derivatives that are traded on regulated exchange markets.
Rate expressed as a percentage.</t>
        </is>
      </c>
    </row>
    <row r="203" ht="42" customHeight="1">
      <c r="A203" s="119" t="inlineStr">
        <is>
          <t>COUNTERPARTY_RISK_PROFILE</t>
        </is>
      </c>
      <c r="B203" s="120" t="n">
        <v>151</v>
      </c>
      <c r="C203" s="123" t="inlineStr">
        <is>
          <t>Percentage of trade volumes for derivatives traded on OTC markets</t>
        </is>
      </c>
      <c r="D203" s="122" t="inlineStr">
        <is>
          <t>Legacy</t>
        </is>
      </c>
      <c r="E203" s="123" t="inlineStr">
        <is>
          <t>Legacy, not needed anymore. Now determined as 100 - [field 150], only when a value is present in field 150.
Estimated % in terms of trade volumes of derivatives that are traded on OTC markets.
Rate expressed as a percentage.</t>
        </is>
      </c>
    </row>
    <row r="204" ht="21" customHeight="1">
      <c r="A204" s="119" t="inlineStr">
        <is>
          <t>COUNTERPARTY_RISK_PROFILE</t>
        </is>
      </c>
      <c r="B204" s="120" t="n">
        <v>152</v>
      </c>
      <c r="C204" s="123" t="inlineStr">
        <is>
          <t>Percentage of trade volumes for derivatives cleared by a CCP</t>
        </is>
      </c>
      <c r="D204" s="122" t="inlineStr">
        <is>
          <t>Optional</t>
        </is>
      </c>
      <c r="E204" s="123" t="inlineStr">
        <is>
          <t>Estimated % in terms of trade volumes of derivatives transactions that are cleared by a CCP.
Rate expressed as a percentage.</t>
        </is>
      </c>
    </row>
    <row r="205" ht="42" customHeight="1">
      <c r="A205" s="119" t="inlineStr">
        <is>
          <t>COUNTERPARTY_RISK_PROFILE</t>
        </is>
      </c>
      <c r="B205" s="120" t="n">
        <v>153</v>
      </c>
      <c r="C205" s="123" t="inlineStr">
        <is>
          <t>Percentage of trade volumes for derivatives cleared bilaterally</t>
        </is>
      </c>
      <c r="D205" s="122" t="inlineStr">
        <is>
          <t>Legacy</t>
        </is>
      </c>
      <c r="E205" s="123" t="inlineStr">
        <is>
          <t>Legacy, not needed anymore. Now determined as 100 - [field 152], only when a value is present in field 152.
Estimated % in terms of trade volumes of derivatives transactions that are cleared bilateraly.
Rate expressed as a percentage.</t>
        </is>
      </c>
    </row>
    <row r="206" ht="21" customHeight="1">
      <c r="A206" s="119" t="inlineStr">
        <is>
          <t>COUNTERPARTY_RISK_PROFILE</t>
        </is>
      </c>
      <c r="B206" s="120" t="n">
        <v>154</v>
      </c>
      <c r="C206" s="123" t="inlineStr">
        <is>
          <t>Percentage of market value for repos trades cleared by a CCP</t>
        </is>
      </c>
      <c r="D206" s="122" t="inlineStr">
        <is>
          <t>Optional</t>
        </is>
      </c>
      <c r="E206" s="123" t="inlineStr">
        <is>
          <t>Estimated % in terms of market value of repo trades that are cleared by a CCP.
Rate expressed as a percentage.</t>
        </is>
      </c>
    </row>
    <row r="207" ht="21" customHeight="1">
      <c r="A207" s="119" t="inlineStr">
        <is>
          <t>COUNTERPARTY_RISK_PROFILE</t>
        </is>
      </c>
      <c r="B207" s="120" t="n">
        <v>155</v>
      </c>
      <c r="C207" s="123" t="inlineStr">
        <is>
          <t>Percentage of market value for repos trades cleared bilaterally</t>
        </is>
      </c>
      <c r="D207" s="122" t="inlineStr">
        <is>
          <t>Optional</t>
        </is>
      </c>
      <c r="E207" s="123" t="inlineStr">
        <is>
          <t>Estimated % in terms of market value of repo trades that are cleared bilateraly.
Rate expressed as a percentage.</t>
        </is>
      </c>
    </row>
    <row r="208" ht="21" customHeight="1">
      <c r="A208" s="119" t="inlineStr">
        <is>
          <t>COUNTERPARTY_RISK_PROFILE</t>
        </is>
      </c>
      <c r="B208" s="120" t="n">
        <v>156</v>
      </c>
      <c r="C208" s="123" t="inlineStr">
        <is>
          <t>Percentage of market value for repos trades cleared with triparty repos</t>
        </is>
      </c>
      <c r="D208" s="122" t="inlineStr">
        <is>
          <t>Optional</t>
        </is>
      </c>
      <c r="E208" s="123" t="inlineStr">
        <is>
          <t>Estimated % in terms of market value of repo trades that are cleared via tri party repos.
Rate expressed as a percentage.</t>
        </is>
      </c>
    </row>
    <row r="209">
      <c r="A209" s="119" t="inlineStr">
        <is>
          <t>COUNTERPARTY_RISK_PROFILE</t>
        </is>
      </c>
      <c r="B209" s="120" t="n">
        <v>157</v>
      </c>
      <c r="C209" s="123" t="inlineStr">
        <is>
          <t>Collateral Cash amount posted to all counterparties</t>
        </is>
      </c>
      <c r="D209" s="122" t="inlineStr">
        <is>
          <t>Optional</t>
        </is>
      </c>
      <c r="E209" s="123" t="inlineStr">
        <is>
          <t>Value of collateral posted in the form of cash and cash equivalent expressed in base currency filled in without decimal places.</t>
        </is>
      </c>
    </row>
    <row r="210" ht="21" customHeight="1">
      <c r="A210" s="119" t="inlineStr">
        <is>
          <t>COUNTERPARTY_RISK_PROFILE</t>
        </is>
      </c>
      <c r="B210" s="120" t="n">
        <v>158</v>
      </c>
      <c r="C210" s="123" t="inlineStr">
        <is>
          <t>Collateral Securities amount posted to all counterparties</t>
        </is>
      </c>
      <c r="D210" s="122" t="inlineStr">
        <is>
          <t>Optional</t>
        </is>
      </c>
      <c r="E210" s="123" t="inlineStr">
        <is>
          <t>Value of collateral posted in the form of other securities (excluding cash and cash equivalent) expressed in base currency filled in without decimal places.</t>
        </is>
      </c>
    </row>
    <row r="211" ht="21" customHeight="1">
      <c r="A211" s="119" t="inlineStr">
        <is>
          <t>COUNTERPARTY_RISK_PROFILE</t>
        </is>
      </c>
      <c r="B211" s="120" t="n">
        <v>159</v>
      </c>
      <c r="C211" s="123" t="inlineStr">
        <is>
          <t>Other Collateral amount posted to all counterparties</t>
        </is>
      </c>
      <c r="D211" s="122" t="inlineStr">
        <is>
          <t>Optional</t>
        </is>
      </c>
      <c r="E211" s="123" t="inlineStr">
        <is>
          <t>Value of other collateral and credit support posted (including face amount of letters of credit and similar third party credit support) expressed in base currency filled in without decimal places.</t>
        </is>
      </c>
    </row>
    <row r="212">
      <c r="A212" s="119" t="n"/>
      <c r="B212" s="120" t="n"/>
      <c r="C212" s="123" t="n"/>
    </row>
    <row r="213">
      <c r="A213" s="115" t="inlineStr">
        <is>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is>
      </c>
      <c r="B213" s="125" t="n"/>
      <c r="C213" s="126" t="n"/>
      <c r="D213" s="127" t="inlineStr">
        <is>
          <t>C</t>
        </is>
      </c>
      <c r="E213" s="128" t="inlineStr">
        <is>
          <t>The PORTFOLIO_LIQUIDITY_PROFILE record is mandatory for AIFs with content type 2 and 4, and forbidden otherwise.</t>
        </is>
      </c>
      <c r="F213" s="129" t="n"/>
    </row>
    <row r="214">
      <c r="A214" s="119" t="inlineStr">
        <is>
          <t>PORTFOLIO_LIQUIDITY_PROFILE</t>
        </is>
      </c>
      <c r="B214" s="120" t="inlineStr">
        <is>
          <t>AIF_ID</t>
        </is>
      </c>
      <c r="C214" s="121" t="inlineStr">
        <is>
          <t>Custom AIF Identification</t>
        </is>
      </c>
      <c r="D214" s="122" t="inlineStr">
        <is>
          <t>Mandatory</t>
        </is>
      </c>
      <c r="E214" s="121" t="inlineStr">
        <is>
          <t>Custom AIF Identification to link AIF records to the correct AIF</t>
        </is>
      </c>
    </row>
    <row r="215" ht="31.5" customHeight="1">
      <c r="A215" s="119" t="inlineStr">
        <is>
          <t>PORTFOLIO_LIQUIDITY_PROFILE</t>
        </is>
      </c>
      <c r="B215" s="120" t="n">
        <v>178</v>
      </c>
      <c r="C215" s="121" t="inlineStr">
        <is>
          <t>Percentage of portfolio liquidity in 0 to 1 day</t>
        </is>
      </c>
      <c r="D215" s="122" t="inlineStr">
        <is>
          <t>Mandatory</t>
        </is>
      </c>
      <c r="E215" s="123" t="inlineStr">
        <is>
          <t>The percentage of portfolio capable of being liquidated within 1 day or less.
The total sum of the percentage of the fund’s portfolio that is capable of being liquidated within each of the liquidity periods specified should equal 100%.</t>
        </is>
      </c>
    </row>
    <row r="216" ht="31.5" customHeight="1">
      <c r="A216" s="119" t="inlineStr">
        <is>
          <t>PORTFOLIO_LIQUIDITY_PROFILE</t>
        </is>
      </c>
      <c r="B216" s="120" t="n">
        <v>179</v>
      </c>
      <c r="C216" s="121" t="inlineStr">
        <is>
          <t>Percentage of portfolio liquidity in 2 to 7 days</t>
        </is>
      </c>
      <c r="D216" s="122" t="inlineStr">
        <is>
          <t>Mandatory</t>
        </is>
      </c>
      <c r="E216" s="123" t="inlineStr">
        <is>
          <t>The percentage of portfolio capable of being liquidated in 2 to 7 days.
The total sum of the percentage of the fund’s portfolio that is capable of being liquidated within each of the liquidity periods specified should equal 100%.</t>
        </is>
      </c>
    </row>
    <row r="217" ht="31.5" customHeight="1">
      <c r="A217" s="119" t="inlineStr">
        <is>
          <t>PORTFOLIO_LIQUIDITY_PROFILE</t>
        </is>
      </c>
      <c r="B217" s="120" t="n">
        <v>180</v>
      </c>
      <c r="C217" s="121" t="inlineStr">
        <is>
          <t>Percentage of portfolio liquidity in 8 to 30 days</t>
        </is>
      </c>
      <c r="D217" s="122" t="inlineStr">
        <is>
          <t>Mandatory</t>
        </is>
      </c>
      <c r="E217" s="123" t="inlineStr">
        <is>
          <t>The percentage of portfolio capable of being liquidated in 8 to 30 days.
The total sum of the percentage of the fund’s portfolio that is capable of being liquidated within each of the liquidity periods specified should equal 100%.</t>
        </is>
      </c>
    </row>
    <row r="218" ht="31.5" customHeight="1">
      <c r="A218" s="119" t="inlineStr">
        <is>
          <t>PORTFOLIO_LIQUIDITY_PROFILE</t>
        </is>
      </c>
      <c r="B218" s="120" t="n">
        <v>181</v>
      </c>
      <c r="C218" s="121" t="inlineStr">
        <is>
          <t>Percentage of portfolio liquidity in 31 to 90 days</t>
        </is>
      </c>
      <c r="D218" s="122" t="inlineStr">
        <is>
          <t>Mandatory</t>
        </is>
      </c>
      <c r="E218" s="123" t="inlineStr">
        <is>
          <t>The percentage of portfolio capable of being liquidated in 31 to 90 days.
The total sum of the percentage of the fund’s portfolio that is capable of being liquidated within each of the liquidity periods specified should equal 100%.</t>
        </is>
      </c>
    </row>
    <row r="219" ht="31.5" customHeight="1">
      <c r="A219" s="119" t="inlineStr">
        <is>
          <t>PORTFOLIO_LIQUIDITY_PROFILE</t>
        </is>
      </c>
      <c r="B219" s="120" t="n">
        <v>182</v>
      </c>
      <c r="C219" s="121" t="inlineStr">
        <is>
          <t>Percentage of portfolio liquidity in 91 to 180 days</t>
        </is>
      </c>
      <c r="D219" s="122" t="inlineStr">
        <is>
          <t>Mandatory</t>
        </is>
      </c>
      <c r="E219" s="123" t="inlineStr">
        <is>
          <t>The percentage of portfolio capable of being liquidated in 91 to 180 days.
The total sum of the percentage of the fund’s portfolio that is capable of being liquidated within each of the liquidity periods specified should equal 100%.</t>
        </is>
      </c>
    </row>
    <row r="220" ht="31.5" customHeight="1">
      <c r="A220" s="119" t="inlineStr">
        <is>
          <t>PORTFOLIO_LIQUIDITY_PROFILE</t>
        </is>
      </c>
      <c r="B220" s="120" t="n">
        <v>183</v>
      </c>
      <c r="C220" s="121" t="inlineStr">
        <is>
          <t>Percentage of portfolio liquidity in 181 to 365 days</t>
        </is>
      </c>
      <c r="D220" s="122" t="inlineStr">
        <is>
          <t>Mandatory</t>
        </is>
      </c>
      <c r="E220" s="123" t="inlineStr">
        <is>
          <t>The percentage of portfolio capable of being liquidated in 181 to 365 days.
The total sum of the percentage of the fund’s portfolio that is capable of being liquidated within each of the liquidity periods specified should equal 100%.</t>
        </is>
      </c>
    </row>
    <row r="221" ht="31.5" customHeight="1">
      <c r="A221" s="119" t="inlineStr">
        <is>
          <t>PORTFOLIO_LIQUIDITY_PROFILE</t>
        </is>
      </c>
      <c r="B221" s="120" t="n">
        <v>184</v>
      </c>
      <c r="C221" s="121" t="inlineStr">
        <is>
          <t>Percentage of portfolio liquidity in more than 365 days</t>
        </is>
      </c>
      <c r="D221" s="122" t="inlineStr">
        <is>
          <t>Mandatory</t>
        </is>
      </c>
      <c r="E221" s="123" t="inlineStr">
        <is>
          <t>The percentage of portfolio capable of being liquidated in more than 365 days.
The total sum of the percentage of the fund’s portfolio that is capable of being liquidated within each of the liquidity periods specified should equal 100%.</t>
        </is>
      </c>
    </row>
    <row r="222">
      <c r="A222" s="119" t="inlineStr">
        <is>
          <t>PORTFOLIO_LIQUIDITY_PROFILE</t>
        </is>
      </c>
      <c r="B222" s="120" t="n">
        <v>185</v>
      </c>
      <c r="C222" s="121" t="inlineStr">
        <is>
          <t>Unencumbered cash amount</t>
        </is>
      </c>
      <c r="D222" s="122" t="inlineStr">
        <is>
          <t>Mandatory</t>
        </is>
      </c>
      <c r="E222" s="123" t="inlineStr">
        <is>
          <t>Amount expressed in Base currency.</t>
        </is>
      </c>
    </row>
    <row r="223">
      <c r="A223" s="119" t="n"/>
      <c r="B223" s="120" t="n"/>
      <c r="C223" s="121" t="n"/>
    </row>
    <row r="224">
      <c r="A224" s="115" t="inlineStr">
        <is>
          <t>Investor liquidity - This describes how easily an investor can redeme investment (withdraw from fund)</t>
        </is>
      </c>
      <c r="B224" s="125" t="n"/>
      <c r="C224" s="126" t="n"/>
      <c r="D224" s="127" t="inlineStr">
        <is>
          <t>C</t>
        </is>
      </c>
      <c r="E224" s="128" t="inlineStr">
        <is>
          <t>The INVESTOR_LIQUIDITY_PROFILE record is mandatory for AIFs with content type 2 and 4, and forbidden otherwise.</t>
        </is>
      </c>
      <c r="F224" s="129" t="n"/>
    </row>
    <row r="225">
      <c r="A225" s="119" t="inlineStr">
        <is>
          <t>INVESTOR_LIQUIDITY_PROFILE</t>
        </is>
      </c>
      <c r="B225" s="120" t="inlineStr">
        <is>
          <t>AIF_ID</t>
        </is>
      </c>
      <c r="C225" s="121" t="inlineStr">
        <is>
          <t>Custom AIF Identification</t>
        </is>
      </c>
      <c r="D225" s="122" t="inlineStr">
        <is>
          <t>Mandatory</t>
        </is>
      </c>
      <c r="E225" s="121" t="inlineStr">
        <is>
          <t>Custom AIF Identification to link AIF records to the correct AIF</t>
        </is>
      </c>
    </row>
    <row r="226" ht="21" customHeight="1">
      <c r="A226" s="119" t="inlineStr">
        <is>
          <t>INVESTOR_LIQUIDITY_PROFILE</t>
        </is>
      </c>
      <c r="B226" s="120" t="n">
        <v>186</v>
      </c>
      <c r="C226" s="121" t="inlineStr">
        <is>
          <t>Percentage of investor liquidity in 0 to 1 day</t>
        </is>
      </c>
      <c r="D226" s="122" t="inlineStr">
        <is>
          <t>Mandatory</t>
        </is>
      </c>
      <c r="E226" s="123" t="inlineStr">
        <is>
          <t>Breakdown of the NAV divided among the 1 day or less period depending on  the shortest period within which the invested funds could be withdrawn or investors could receive redemption payments. The total should equal 100%.</t>
        </is>
      </c>
    </row>
    <row r="227" ht="21" customHeight="1">
      <c r="A227" s="119" t="inlineStr">
        <is>
          <t>INVESTOR_LIQUIDITY_PROFILE</t>
        </is>
      </c>
      <c r="B227" s="120" t="n">
        <v>187</v>
      </c>
      <c r="C227" s="121" t="inlineStr">
        <is>
          <t>Percentage of investor liquidity in 2 to 7 days</t>
        </is>
      </c>
      <c r="D227" s="122" t="inlineStr">
        <is>
          <t>Mandatory</t>
        </is>
      </c>
      <c r="E227" s="123" t="inlineStr">
        <is>
          <t>Breakdown of the NAV divided among the “2 to 7 days” period depending on  the shortest period within which the invested funds could be withdrawn or investors could receive redemption payments. The total should equal 100%.</t>
        </is>
      </c>
    </row>
    <row r="228" ht="21" customHeight="1">
      <c r="A228" s="119" t="inlineStr">
        <is>
          <t>INVESTOR_LIQUIDITY_PROFILE</t>
        </is>
      </c>
      <c r="B228" s="120" t="n">
        <v>188</v>
      </c>
      <c r="C228" s="121" t="inlineStr">
        <is>
          <t>Percentage of investor liquidity in 8 to 30 days</t>
        </is>
      </c>
      <c r="D228" s="122" t="inlineStr">
        <is>
          <t>Mandatory</t>
        </is>
      </c>
      <c r="E228" s="123" t="inlineStr">
        <is>
          <t>Breakdown of the NAV divided among the “8 to 30 days” period depending on  the shortest period within which the invested funds could be withdrawn or investors could receive redemption payments. The total should equal 100%.</t>
        </is>
      </c>
    </row>
    <row r="229" ht="21" customHeight="1">
      <c r="A229" s="119" t="inlineStr">
        <is>
          <t>INVESTOR_LIQUIDITY_PROFILE</t>
        </is>
      </c>
      <c r="B229" s="120" t="n">
        <v>189</v>
      </c>
      <c r="C229" s="121" t="inlineStr">
        <is>
          <t>Percentage of investor liquidity in 31 to 90 days</t>
        </is>
      </c>
      <c r="D229" s="122" t="inlineStr">
        <is>
          <t>Mandatory</t>
        </is>
      </c>
      <c r="E229" s="123" t="inlineStr">
        <is>
          <t>Breakdown of the NAV divided among the “31 to 90 days” period depending on  the shortest period within which the invested funds could be withdrawn or investors could receive redemption payments. The total should equal 100%.</t>
        </is>
      </c>
    </row>
    <row r="230" ht="21" customHeight="1">
      <c r="A230" s="119" t="inlineStr">
        <is>
          <t>INVESTOR_LIQUIDITY_PROFILE</t>
        </is>
      </c>
      <c r="B230" s="120" t="n">
        <v>190</v>
      </c>
      <c r="C230" s="121" t="inlineStr">
        <is>
          <t>Percentage of investor liquidity in 91 to 180 days</t>
        </is>
      </c>
      <c r="D230" s="122" t="inlineStr">
        <is>
          <t>Mandatory</t>
        </is>
      </c>
      <c r="E230" s="123" t="inlineStr">
        <is>
          <t>Breakdown of the NAV divided among the “91 to 180 days” period depending on  the shortest period within which the invested funds could be withdrawn or investors could receive redemption payments. The total should equal 100%.</t>
        </is>
      </c>
    </row>
    <row r="231" ht="21" customHeight="1">
      <c r="A231" s="119" t="inlineStr">
        <is>
          <t>INVESTOR_LIQUIDITY_PROFILE</t>
        </is>
      </c>
      <c r="B231" s="120" t="n">
        <v>191</v>
      </c>
      <c r="C231" s="121" t="inlineStr">
        <is>
          <t>Percentage of investor liquidity in 181 to 365 days</t>
        </is>
      </c>
      <c r="D231" s="122" t="inlineStr">
        <is>
          <t>Mandatory</t>
        </is>
      </c>
      <c r="E231" s="123" t="inlineStr">
        <is>
          <t>Breakdown of the NAV divided among the “181 to 365 days” period depending on  the shortest period within which the invested funds could be withdrawn or investors could receive redemption payments. The total should equal 100%.</t>
        </is>
      </c>
    </row>
    <row r="232" ht="21" customHeight="1">
      <c r="A232" s="119" t="inlineStr">
        <is>
          <t>INVESTOR_LIQUIDITY_PROFILE</t>
        </is>
      </c>
      <c r="B232" s="120" t="n">
        <v>192</v>
      </c>
      <c r="C232" s="121" t="inlineStr">
        <is>
          <t>Percentage of investor liquidity in more than 365 days</t>
        </is>
      </c>
      <c r="D232" s="122" t="inlineStr">
        <is>
          <t>Mandatory</t>
        </is>
      </c>
      <c r="E232" s="123" t="inlineStr">
        <is>
          <t>Breakdown of the NAV divided among the “more than 365 days” period depending on  the shortest period within which the invested funds could be withdrawn or investors could receive redemption payments. The total should equal 100%.</t>
        </is>
      </c>
    </row>
    <row r="233">
      <c r="A233" s="119" t="n"/>
      <c r="B233" s="120" t="n"/>
      <c r="C233" s="121" t="n"/>
    </row>
    <row r="234">
      <c r="A234" s="115" t="inlineStr">
        <is>
          <t>Investor redemption rules - Most funds have rules on how easily an investor can withdraw capital from a fund</t>
        </is>
      </c>
      <c r="B234" s="125" t="n"/>
      <c r="C234" s="126" t="n"/>
      <c r="D234" s="127" t="inlineStr">
        <is>
          <t>C</t>
        </is>
      </c>
      <c r="E234" s="128" t="inlineStr">
        <is>
          <t>The INVESTOR_REDEMPTION record is optional for AIFs with content type 2 and 4, and forbidden otherwise.</t>
        </is>
      </c>
      <c r="F234" s="129" t="n"/>
    </row>
    <row r="235">
      <c r="A235" s="119" t="inlineStr">
        <is>
          <t>INVESTOR_REDEMPTION</t>
        </is>
      </c>
      <c r="B235" s="120" t="inlineStr">
        <is>
          <t>AIF_ID</t>
        </is>
      </c>
      <c r="C235" s="121" t="inlineStr">
        <is>
          <t>Custom AIF Identification</t>
        </is>
      </c>
      <c r="D235" s="122" t="inlineStr">
        <is>
          <t>Mandatory</t>
        </is>
      </c>
      <c r="E235" s="121" t="inlineStr">
        <is>
          <t>Custom AIF Identification to link AIF records to the correct AIF</t>
        </is>
      </c>
    </row>
    <row r="236" ht="42" customHeight="1">
      <c r="A236" s="119" t="inlineStr">
        <is>
          <t>INVESTOR_REDEMPTION</t>
        </is>
      </c>
      <c r="B236" s="120" t="n">
        <v>193</v>
      </c>
      <c r="C236" s="121" t="inlineStr">
        <is>
          <t>Withdrawal redemption rights flag</t>
        </is>
      </c>
      <c r="D236" s="179" t="inlineStr">
        <is>
          <t>Legacy</t>
        </is>
      </c>
      <c r="E236" s="150" t="inlineStr">
        <is>
          <t>Legacy, not needed anymore. Now determined based on fields 194-196.
Flag indicating whether the AIF provides investors with withdrawal/redemption rights in the ordinary course.
true or false</t>
        </is>
      </c>
    </row>
    <row r="237" ht="126" customHeight="1">
      <c r="A237" s="119" t="inlineStr">
        <is>
          <t>INVESTOR_REDEMPTION</t>
        </is>
      </c>
      <c r="B237" s="120" t="n">
        <v>194</v>
      </c>
      <c r="C237" s="121" t="inlineStr">
        <is>
          <t>Investor Redemption Frequency</t>
        </is>
      </c>
      <c r="D237" s="122" t="inlineStr">
        <is>
          <t>Optional</t>
        </is>
      </c>
      <c r="E237" s="150" t="inlineStr">
        <is>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is>
      </c>
      <c r="F237" s="131" t="inlineStr">
        <is>
          <t>See tab: #DOC Annex II Tables - Table 6 for allowed values</t>
        </is>
      </c>
    </row>
    <row r="238" ht="21" customHeight="1">
      <c r="A238" s="119" t="inlineStr">
        <is>
          <t>INVESTOR_REDEMPTION</t>
        </is>
      </c>
      <c r="B238" s="120" t="n">
        <v>195</v>
      </c>
      <c r="C238" s="121" t="inlineStr">
        <is>
          <t>Investor Redemption Notice Period</t>
        </is>
      </c>
      <c r="D238" s="122" t="inlineStr">
        <is>
          <t>Optional</t>
        </is>
      </c>
      <c r="E238" s="150" t="inlineStr">
        <is>
          <t>The notice period required by investors for redemptions in days.
If there are multiple classes of shares or units, the notice period reported is the asset weighted notice period.</t>
        </is>
      </c>
    </row>
    <row r="239" ht="21" customHeight="1">
      <c r="A239" s="119" t="inlineStr">
        <is>
          <t>INVESTOR_REDEMPTION</t>
        </is>
      </c>
      <c r="B239" s="120" t="n">
        <v>196</v>
      </c>
      <c r="C239" s="121" t="inlineStr">
        <is>
          <t>Investor Redemption Lock Up Period</t>
        </is>
      </c>
      <c r="D239" s="122" t="inlineStr">
        <is>
          <t>Optional</t>
        </is>
      </c>
      <c r="E239" s="150" t="inlineStr">
        <is>
          <t>The investor lock-up period in days.
If there are multiple classes of shares or units, the notice period reported is the asset weighted lock-up period.</t>
        </is>
      </c>
    </row>
    <row r="240">
      <c r="A240" s="119" t="n"/>
      <c r="B240" s="120" t="n"/>
      <c r="C240" s="121" t="n"/>
    </row>
    <row r="241">
      <c r="A241" s="115" t="inlineStr">
        <is>
          <t>Special Arrangements - details whether the fund has provided any special arrangements for a particular share class or investor.</t>
        </is>
      </c>
      <c r="B241" s="125" t="n"/>
      <c r="C241" s="126" t="n"/>
      <c r="D241" s="127" t="inlineStr">
        <is>
          <t>O</t>
        </is>
      </c>
      <c r="E241" s="128" t="inlineStr">
        <is>
          <t>The SPECIAL_ARRANGEMENT record is optional for AIFs with content type 2 and 4, and forbidden otherwise.</t>
        </is>
      </c>
      <c r="F241" s="129" t="n"/>
    </row>
    <row r="242">
      <c r="A242" s="119" t="inlineStr">
        <is>
          <t>SPECIAL_ARRANGEMENT</t>
        </is>
      </c>
      <c r="B242" s="120" t="inlineStr">
        <is>
          <t>AIF_ID</t>
        </is>
      </c>
      <c r="C242" s="121" t="inlineStr">
        <is>
          <t>Custom AIF Identification</t>
        </is>
      </c>
      <c r="D242" s="122" t="inlineStr">
        <is>
          <t>Mandatory</t>
        </is>
      </c>
      <c r="E242" s="121" t="inlineStr">
        <is>
          <t>Custom AIF Identification to link AIF records to the correct AIF</t>
        </is>
      </c>
    </row>
    <row r="243" ht="21" customHeight="1">
      <c r="A243" s="119" t="inlineStr">
        <is>
          <t>SPECIAL_ARRANGEMENT</t>
        </is>
      </c>
      <c r="B243" s="120" t="n">
        <v>197</v>
      </c>
      <c r="C243" s="121" t="inlineStr">
        <is>
          <t>Side Pocket percentage</t>
        </is>
      </c>
      <c r="D243" s="122" t="inlineStr">
        <is>
          <t>Optional</t>
        </is>
      </c>
      <c r="E243" s="123" t="inlineStr">
        <is>
          <t>The NAV percentage of the AIF's assets that are currently subject to side pockets arrangements.
Rate expressed as a percentage.</t>
        </is>
      </c>
    </row>
    <row r="244" ht="21" customHeight="1">
      <c r="A244" s="119" t="inlineStr">
        <is>
          <t>SPECIAL_ARRANGEMENT</t>
        </is>
      </c>
      <c r="B244" s="120" t="n">
        <v>198</v>
      </c>
      <c r="C244" s="121" t="inlineStr">
        <is>
          <t>Gates percentage</t>
        </is>
      </c>
      <c r="D244" s="122" t="inlineStr">
        <is>
          <t>Optional</t>
        </is>
      </c>
      <c r="E244" s="123" t="inlineStr">
        <is>
          <t>The NAV percentage of the AIF's assets that are currently subject to Gates arrangements.
Rate expressed as a percentage.</t>
        </is>
      </c>
    </row>
    <row r="245" ht="21" customHeight="1">
      <c r="A245" s="119" t="inlineStr">
        <is>
          <t>SPECIAL_ARRANGEMENT</t>
        </is>
      </c>
      <c r="B245" s="120" t="n">
        <v>199</v>
      </c>
      <c r="C245" s="121" t="inlineStr">
        <is>
          <t>Dealing Suspension percentage</t>
        </is>
      </c>
      <c r="D245" s="122" t="inlineStr">
        <is>
          <t>Optional</t>
        </is>
      </c>
      <c r="E245" s="123" t="inlineStr">
        <is>
          <t>The NAV percentage of the AIF's assets that are currently subject to suspension of dealing arrangements.
Rate expressed as a percentage.</t>
        </is>
      </c>
    </row>
    <row r="246" ht="31.5" customHeight="1">
      <c r="A246" s="119" t="inlineStr">
        <is>
          <t>SPECIAL_ARRANGEMENT</t>
        </is>
      </c>
      <c r="B246" s="120" t="n">
        <v>200</v>
      </c>
      <c r="C246" s="121" t="inlineStr">
        <is>
          <t>Other Arrangement Type</t>
        </is>
      </c>
      <c r="D246" s="122" t="inlineStr">
        <is>
          <t>C
M when "Other arrangement percentage" (201) is filled in,
O otherwise.</t>
        </is>
      </c>
      <c r="E246" s="123" t="inlineStr">
        <is>
          <t>Free text for other arrangement for managing illiquid assets.</t>
        </is>
      </c>
    </row>
    <row r="247" ht="31.5" customHeight="1">
      <c r="A247" s="119" t="inlineStr">
        <is>
          <t>SPECIAL_ARRANGEMENT</t>
        </is>
      </c>
      <c r="B247" s="120" t="n">
        <v>201</v>
      </c>
      <c r="C247" s="121" t="inlineStr">
        <is>
          <t>Other arrangement percentage</t>
        </is>
      </c>
      <c r="D247" s="122" t="inlineStr">
        <is>
          <t>C
M when "Other Arrangement Type" (200) is filled in,
O otherwise.</t>
        </is>
      </c>
      <c r="E247" s="123" t="inlineStr">
        <is>
          <t>The NAV percentage of the AIF's assets that are currently subject to other arrangements for managing illiquid assets.
Rate expressed as a percentage.</t>
        </is>
      </c>
    </row>
    <row r="248" ht="31.5" customHeight="1">
      <c r="A248" s="119" t="inlineStr">
        <is>
          <t>SPECIAL_ARRANGEMENT</t>
        </is>
      </c>
      <c r="B248" s="120" t="n">
        <v>202</v>
      </c>
      <c r="C248" s="121" t="inlineStr">
        <is>
          <t>Total arrangement percentage</t>
        </is>
      </c>
      <c r="D248" s="122" t="inlineStr">
        <is>
          <t>Optional</t>
        </is>
      </c>
      <c r="E248" s="123" t="inlineStr">
        <is>
          <t>The NAV percentage of the AIF's assets that are currently subject to the special arrangements arising fron their illiquid nature under Article 23.4 of the AIFMD.
Rate expressed as a percentage.</t>
        </is>
      </c>
    </row>
    <row r="249" ht="42" customHeight="1">
      <c r="A249" s="119" t="inlineStr">
        <is>
          <t>SPECIAL_ARRANGEMENT</t>
        </is>
      </c>
      <c r="B249" s="120" t="n">
        <v>203</v>
      </c>
      <c r="C249" s="121" t="inlineStr">
        <is>
          <t>Investor preferential treatment Flag</t>
        </is>
      </c>
      <c r="D249" s="179" t="inlineStr">
        <is>
          <t>Legacy</t>
        </is>
      </c>
      <c r="E249" s="123" t="inlineStr">
        <is>
          <t>Legacy, not needed anymore. Now determined based on fields 204-207.
Flag indicating whether there are any investors who obtain preferential treatment or the right to preferential treatment.
true or false</t>
        </is>
      </c>
    </row>
    <row r="250" ht="21" customHeight="1">
      <c r="A250" s="119" t="inlineStr">
        <is>
          <t>SPECIAL_ARRANGEMENT</t>
        </is>
      </c>
      <c r="B250" s="120" t="n">
        <v>204</v>
      </c>
      <c r="C250" s="121" t="inlineStr">
        <is>
          <t>Disclosure Terms Preferential Treatment Flag</t>
        </is>
      </c>
      <c r="D250" s="122" t="inlineStr">
        <is>
          <t>Optional</t>
        </is>
      </c>
      <c r="E250" s="123" t="inlineStr">
        <is>
          <t>Flag indicating whether there are any different disclosure/reporting to investors
true or false</t>
        </is>
      </c>
    </row>
    <row r="251" ht="21" customHeight="1">
      <c r="A251" s="119" t="inlineStr">
        <is>
          <t>SPECIAL_ARRANGEMENT</t>
        </is>
      </c>
      <c r="B251" s="120" t="n">
        <v>205</v>
      </c>
      <c r="C251" s="121" t="inlineStr">
        <is>
          <t>Liquidity Terms Preferential Treatment Flag</t>
        </is>
      </c>
      <c r="D251" s="122" t="inlineStr">
        <is>
          <t>Optional</t>
        </is>
      </c>
      <c r="E251" s="123" t="inlineStr">
        <is>
          <t>Flag indicating whether there are any different investor liquidity terms
true or false</t>
        </is>
      </c>
    </row>
    <row r="252" ht="21" customHeight="1">
      <c r="A252" s="119" t="inlineStr">
        <is>
          <t>SPECIAL_ARRANGEMENT</t>
        </is>
      </c>
      <c r="B252" s="120" t="n">
        <v>206</v>
      </c>
      <c r="C252" s="121" t="inlineStr">
        <is>
          <t>Fee Terms Preferential Treatment Flag</t>
        </is>
      </c>
      <c r="D252" s="122" t="inlineStr">
        <is>
          <t>Optional</t>
        </is>
      </c>
      <c r="E252" s="123" t="inlineStr">
        <is>
          <t>Flag indicating whether there are any different fee terms for investors
true or false</t>
        </is>
      </c>
    </row>
    <row r="253" ht="21" customHeight="1">
      <c r="A253" s="119" t="inlineStr">
        <is>
          <t>SPECIAL_ARRANGEMENT</t>
        </is>
      </c>
      <c r="B253" s="120" t="n">
        <v>207</v>
      </c>
      <c r="C253" s="121" t="inlineStr">
        <is>
          <t>Other Terms Preferential Treatment Flag</t>
        </is>
      </c>
      <c r="D253" s="122" t="inlineStr">
        <is>
          <t>Optional</t>
        </is>
      </c>
      <c r="E253" s="123" t="inlineStr">
        <is>
          <t>Flag indicating whether there are any other preferential treatment
true or false</t>
        </is>
      </c>
    </row>
    <row r="254">
      <c r="A254" s="119" t="n"/>
      <c r="B254" s="120" t="n"/>
      <c r="C254" s="121" t="n"/>
      <c r="D254" s="138" t="n"/>
    </row>
    <row r="255">
      <c r="A255" s="115" t="inlineStr">
        <is>
          <t>Investor  - Breakdown of investor types (individual investor not needed but type of investor, % of NAV ownership required)</t>
        </is>
      </c>
      <c r="B255" s="125" t="n"/>
      <c r="C255" s="126" t="n"/>
      <c r="D255" s="127" t="inlineStr">
        <is>
          <t>C</t>
        </is>
      </c>
      <c r="E255" s="128" t="inlineStr">
        <is>
          <t>The INVESTOR record is mandatory for AIFs with content type 2 and 4, and forbidden otherwise.</t>
        </is>
      </c>
      <c r="F255" s="129" t="n"/>
    </row>
    <row r="256">
      <c r="A256" s="119" t="inlineStr">
        <is>
          <t>INVESTOR</t>
        </is>
      </c>
      <c r="B256" s="120" t="inlineStr">
        <is>
          <t>AIF_ID</t>
        </is>
      </c>
      <c r="C256" s="121" t="inlineStr">
        <is>
          <t>Custom AIF Identification</t>
        </is>
      </c>
      <c r="D256" s="122" t="inlineStr">
        <is>
          <t>Mandatory</t>
        </is>
      </c>
      <c r="E256" s="121" t="inlineStr">
        <is>
          <t>Custom AIF Identification to link AIF records to the correct AIF</t>
        </is>
      </c>
      <c r="F256" s="123" t="n">
        <v>1</v>
      </c>
    </row>
    <row r="257" ht="136.5" customHeight="1">
      <c r="A257" s="119" t="inlineStr">
        <is>
          <t>INVESTOR</t>
        </is>
      </c>
      <c r="B257" s="120" t="n">
        <v>208</v>
      </c>
      <c r="C257" s="121" t="inlineStr">
        <is>
          <t>Investor Group Type</t>
        </is>
      </c>
      <c r="D257" s="122" t="inlineStr">
        <is>
          <t>Mandatory</t>
        </is>
      </c>
      <c r="E257" s="123" t="inlineStr">
        <is>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is>
      </c>
      <c r="F257" s="131" t="inlineStr">
        <is>
          <t>See tab: Annex II Table 4-7</t>
        </is>
      </c>
    </row>
    <row r="258">
      <c r="A258" s="119" t="inlineStr">
        <is>
          <t>INVESTOR</t>
        </is>
      </c>
      <c r="B258" s="120" t="n">
        <v>209</v>
      </c>
      <c r="C258" s="121" t="inlineStr">
        <is>
          <t>Investor group NAV rate</t>
        </is>
      </c>
      <c r="D258" s="122" t="inlineStr">
        <is>
          <t>Mandatory</t>
        </is>
      </c>
      <c r="E258" s="123" t="inlineStr">
        <is>
          <t>The percentage of NAV for each typology of investors.</t>
        </is>
      </c>
    </row>
    <row r="259">
      <c r="A259" s="119" t="n"/>
      <c r="B259" s="120" t="n"/>
      <c r="C259" s="121" t="n"/>
    </row>
    <row r="260">
      <c r="A260" s="115" t="inlineStr">
        <is>
          <t>Financing Liquidity - describes liquidity of financing buckets of a fund (how long certain financing is available for)</t>
        </is>
      </c>
      <c r="B260" s="139" t="n"/>
      <c r="C260" s="115" t="n"/>
      <c r="D260" s="127" t="inlineStr">
        <is>
          <t>O</t>
        </is>
      </c>
      <c r="E260" s="128" t="inlineStr">
        <is>
          <t>The FINANCING_LIQUIDITY record is optional for AIFs with content type 2 and 4, and forbidden otherwise.</t>
        </is>
      </c>
      <c r="F260" s="118" t="n"/>
    </row>
    <row r="261">
      <c r="A261" s="119" t="inlineStr">
        <is>
          <t>FINANCING_LIQUIDITY</t>
        </is>
      </c>
      <c r="B261" s="120" t="inlineStr">
        <is>
          <t>AIF_ID</t>
        </is>
      </c>
      <c r="C261" s="121" t="inlineStr">
        <is>
          <t>Custom AIF Identification</t>
        </is>
      </c>
      <c r="D261" s="122" t="inlineStr">
        <is>
          <t>Mandatory</t>
        </is>
      </c>
      <c r="E261" s="121" t="inlineStr">
        <is>
          <t>Custom AIF Identification to link AIF records to the correct AIF</t>
        </is>
      </c>
    </row>
    <row r="262" ht="31.5" customHeight="1">
      <c r="A262" s="119" t="inlineStr">
        <is>
          <t>FINANCING_LIQUIDITY</t>
        </is>
      </c>
      <c r="B262" s="120" t="n">
        <v>210</v>
      </c>
      <c r="C262" s="121" t="inlineStr">
        <is>
          <t>Available financing amount</t>
        </is>
      </c>
      <c r="D262" s="122" t="inlineStr">
        <is>
          <t>Mandatory</t>
        </is>
      </c>
      <c r="E262" s="123" t="inlineStr">
        <is>
          <t>The amount of borrowing by and cash financing available to the AIF (including all drawn and undrawn, committed and uncommitted lines of credit as well as any term financing.
Amount expressed in base currency filled in without decimal places.</t>
        </is>
      </c>
    </row>
    <row r="263" ht="21" customHeight="1">
      <c r="A263" s="119" t="inlineStr">
        <is>
          <t>FINANCING_LIQUIDITY</t>
        </is>
      </c>
      <c r="B263" s="120" t="n">
        <v>211</v>
      </c>
      <c r="C263" s="121" t="inlineStr">
        <is>
          <t>Percentage of financing amount in 0 to 1 day</t>
        </is>
      </c>
      <c r="D263" s="122" t="inlineStr">
        <is>
          <t>Mandatory</t>
        </is>
      </c>
      <c r="E263" s="123" t="inlineStr">
        <is>
          <t>Breakdown of the total financing amount divided among the 1 day or less period depending on  the longest period for which the creditor is contractually committed to provide such financing. The total should equal 100%.</t>
        </is>
      </c>
    </row>
    <row r="264" ht="21" customHeight="1">
      <c r="A264" s="119" t="inlineStr">
        <is>
          <t>FINANCING_LIQUIDITY</t>
        </is>
      </c>
      <c r="B264" s="120" t="n">
        <v>212</v>
      </c>
      <c r="C264" s="121" t="inlineStr">
        <is>
          <t>Percentage of financing amount in 2 to 7 days</t>
        </is>
      </c>
      <c r="D264" s="122" t="inlineStr">
        <is>
          <t>Mandatory</t>
        </is>
      </c>
      <c r="E264" s="123" t="inlineStr">
        <is>
          <t>Breakdown of the total financing amount divided among the “2 to 7 days” period depending on  the longest period for which the creditor is contractually committed to provide such financing. The total should equal 100%.</t>
        </is>
      </c>
    </row>
    <row r="265" ht="21" customHeight="1">
      <c r="A265" s="119" t="inlineStr">
        <is>
          <t>FINANCING_LIQUIDITY</t>
        </is>
      </c>
      <c r="B265" s="120" t="n">
        <v>213</v>
      </c>
      <c r="C265" s="121" t="inlineStr">
        <is>
          <t>Percentage of financing amount in 8 to 30 days</t>
        </is>
      </c>
      <c r="D265" s="122" t="inlineStr">
        <is>
          <t>Mandatory</t>
        </is>
      </c>
      <c r="E265" s="123" t="inlineStr">
        <is>
          <t>Breakdown of the total financing amount divided among the “8 to 30 days” period depending on  the longest period for which the creditor is contractually committed to provide such financing. The total should equal 100%.</t>
        </is>
      </c>
    </row>
    <row r="266" ht="21" customHeight="1">
      <c r="A266" s="119" t="inlineStr">
        <is>
          <t>FINANCING_LIQUIDITY</t>
        </is>
      </c>
      <c r="B266" s="120" t="n">
        <v>214</v>
      </c>
      <c r="C266" s="121" t="inlineStr">
        <is>
          <t>Percentage of financing amount in 31 to 90 days</t>
        </is>
      </c>
      <c r="D266" s="122" t="inlineStr">
        <is>
          <t>Mandatory</t>
        </is>
      </c>
      <c r="E266" s="123" t="inlineStr">
        <is>
          <t>Breakdown of the total financing amount divided among the “91 to 180 days” period depending on  the longest period for which the creditor is contractually committed to provide such financing. The total should equal 100%.</t>
        </is>
      </c>
    </row>
    <row r="267" ht="21" customHeight="1">
      <c r="A267" s="119" t="inlineStr">
        <is>
          <t>FINANCING_LIQUIDITY</t>
        </is>
      </c>
      <c r="B267" s="120" t="n">
        <v>215</v>
      </c>
      <c r="C267" s="121" t="inlineStr">
        <is>
          <t>Percentage of financing amount in 91 to 180 days</t>
        </is>
      </c>
      <c r="D267" s="122" t="inlineStr">
        <is>
          <t>Mandatory</t>
        </is>
      </c>
      <c r="E267" s="123" t="inlineStr">
        <is>
          <t>Breakdown of the total financing amount divided among the “8 to 30 days” period depending on  the longest period for which the creditor is contractually committed to provide such financing. The total should equal 100%.</t>
        </is>
      </c>
    </row>
    <row r="268" ht="21" customHeight="1">
      <c r="A268" s="119" t="inlineStr">
        <is>
          <t>FINANCING_LIQUIDITY</t>
        </is>
      </c>
      <c r="B268" s="120" t="n">
        <v>216</v>
      </c>
      <c r="C268" s="121" t="inlineStr">
        <is>
          <t>Percentage of financing amount in 181 to 365 days</t>
        </is>
      </c>
      <c r="D268" s="122" t="inlineStr">
        <is>
          <t>Mandatory</t>
        </is>
      </c>
      <c r="E268" s="123" t="inlineStr">
        <is>
          <t>Breakdown of the total financing amount divided among the “181 to 365 days” period depending on  the longest period for which the creditor is contractually committed to provide such financing. The total should equal 100%.</t>
        </is>
      </c>
    </row>
    <row r="269" ht="21" customHeight="1">
      <c r="A269" s="119" t="inlineStr">
        <is>
          <t>FINANCING_LIQUIDITY</t>
        </is>
      </c>
      <c r="B269" s="120" t="n">
        <v>217</v>
      </c>
      <c r="C269" s="121" t="inlineStr">
        <is>
          <t>Percentage of financing amount longer than 365 days</t>
        </is>
      </c>
      <c r="D269" s="122" t="inlineStr">
        <is>
          <t>Mandatory</t>
        </is>
      </c>
      <c r="E269" s="123" t="inlineStr">
        <is>
          <t>Breakdown of the total financing amount divided among the “more than 365 days” period depending on  the longest period for which the creditor is contractually committed to provide such financing. The total should equal 100%.</t>
        </is>
      </c>
    </row>
    <row r="270">
      <c r="A270" s="119" t="n"/>
      <c r="B270" s="120" t="n"/>
      <c r="C270" s="121" t="n"/>
    </row>
    <row r="271">
      <c r="A271" s="115" t="inlineStr">
        <is>
          <t>Historical Risk Profile - For months that the fund is reporting for need to detail fund returns, NAV changes, subscriptions, redemptions)</t>
        </is>
      </c>
      <c r="B271" s="125" t="n"/>
      <c r="C271" s="126" t="n"/>
      <c r="D271" s="127" t="inlineStr">
        <is>
          <t>C</t>
        </is>
      </c>
      <c r="E271" s="128" t="inlineStr">
        <is>
          <t>The HISTORICAL_RISK_PROFILE record is mandatory for AIFs with content type 2 and 4, and forbidden otherwise.</t>
        </is>
      </c>
      <c r="F271" s="129" t="n"/>
    </row>
    <row r="272">
      <c r="A272" s="119" t="inlineStr">
        <is>
          <t>HISTORICAL_RISK_PROFILE</t>
        </is>
      </c>
      <c r="B272" s="120" t="inlineStr">
        <is>
          <t>AIF_ID</t>
        </is>
      </c>
      <c r="C272" s="121" t="inlineStr">
        <is>
          <t>Custom AIF Identification</t>
        </is>
      </c>
      <c r="D272" s="122" t="inlineStr">
        <is>
          <t>Mandatory</t>
        </is>
      </c>
      <c r="E272" s="124" t="inlineStr">
        <is>
          <t>Custom AIF Identification to link AIF records to the correct AIF</t>
        </is>
      </c>
    </row>
    <row r="273" ht="31.5" customHeight="1">
      <c r="A273" s="119" t="inlineStr">
        <is>
          <t>HISTORICAL_RISK_PROFILE</t>
        </is>
      </c>
      <c r="B273" s="120" t="inlineStr">
        <is>
          <t>MONTH</t>
        </is>
      </c>
      <c r="C273" s="121" t="inlineStr">
        <is>
          <t>Month</t>
        </is>
      </c>
      <c r="D273" s="122" t="inlineStr">
        <is>
          <t>Mandatory</t>
        </is>
      </c>
      <c r="E273" s="123" t="inlineStr">
        <is>
          <t>Number of month: 1-12.
Make a separate row per month. Only for months within the reporting period (i.e. Q1 =&gt; 1, 2 &amp; 3).
Any missing months are amended with records with all zero values.</t>
        </is>
      </c>
    </row>
    <row r="274" ht="21" customHeight="1">
      <c r="A274" s="119" t="inlineStr">
        <is>
          <t>HISTORICAL_RISK_PROFILE</t>
        </is>
      </c>
      <c r="B274" s="120" t="inlineStr">
        <is>
          <t>219-230</t>
        </is>
      </c>
      <c r="C274" s="121" t="inlineStr">
        <is>
          <t>Percentage of gross investment returns</t>
        </is>
      </c>
      <c r="D274" s="122" t="inlineStr">
        <is>
          <t>Mandatory</t>
        </is>
      </c>
      <c r="E274" s="123" t="inlineStr">
        <is>
          <t>Gross investment returns or IRR of the AIF for the month (in %, gross of management and performance fees).
Rate expressed as a percentage.</t>
        </is>
      </c>
    </row>
    <row r="275" ht="21" customHeight="1">
      <c r="A275" s="119" t="inlineStr">
        <is>
          <t>HISTORICAL_RISK_PROFILE</t>
        </is>
      </c>
      <c r="B275" s="120" t="inlineStr">
        <is>
          <t>231-242</t>
        </is>
      </c>
      <c r="C275" s="121" t="inlineStr">
        <is>
          <t>Percentage of net investment returns</t>
        </is>
      </c>
      <c r="D275" s="122" t="inlineStr">
        <is>
          <t>Mandatory</t>
        </is>
      </c>
      <c r="E275" s="123" t="inlineStr">
        <is>
          <t>Net investment returns or IRR of the AIF for the month (in %, gross of management and performance fees).
Rate expressed as a percentage.</t>
        </is>
      </c>
    </row>
    <row r="276" ht="21" customHeight="1">
      <c r="A276" s="119" t="inlineStr">
        <is>
          <t>HISTORICAL_RISK_PROFILE</t>
        </is>
      </c>
      <c r="B276" s="120" t="inlineStr">
        <is>
          <t>243-254</t>
        </is>
      </c>
      <c r="C276" s="121" t="inlineStr">
        <is>
          <t>Percentage of NAV change</t>
        </is>
      </c>
      <c r="D276" s="122" t="inlineStr">
        <is>
          <t>Mandatory</t>
        </is>
      </c>
      <c r="E276" s="123" t="inlineStr">
        <is>
          <t>Month-to-month change in NAV including the impact of subscriptions and redemptions for the month.
Rate expressed as a percentage.</t>
        </is>
      </c>
    </row>
    <row r="277">
      <c r="A277" s="119" t="inlineStr">
        <is>
          <t>HISTORICAL_RISK_PROFILE</t>
        </is>
      </c>
      <c r="B277" s="120" t="inlineStr">
        <is>
          <t>255-266</t>
        </is>
      </c>
      <c r="C277" s="121" t="inlineStr">
        <is>
          <t>Subscriptions in base currency</t>
        </is>
      </c>
      <c r="D277" s="122" t="inlineStr">
        <is>
          <t>Mandatory</t>
        </is>
      </c>
      <c r="E277" s="121" t="inlineStr">
        <is>
          <t>Subscriptions in base currency during the month.</t>
        </is>
      </c>
    </row>
    <row r="278">
      <c r="A278" s="119" t="inlineStr">
        <is>
          <t>HISTORICAL_RISK_PROFILE</t>
        </is>
      </c>
      <c r="B278" s="120" t="inlineStr">
        <is>
          <t>267-278</t>
        </is>
      </c>
      <c r="C278" s="121" t="inlineStr">
        <is>
          <t>Redemptions in base currency</t>
        </is>
      </c>
      <c r="D278" s="122" t="inlineStr">
        <is>
          <t>Mandatory</t>
        </is>
      </c>
      <c r="E278" s="121" t="inlineStr">
        <is>
          <t>Redemptions in base currency during the month.</t>
        </is>
      </c>
    </row>
    <row r="279">
      <c r="A279" s="119" t="n"/>
      <c r="B279" s="120" t="n"/>
      <c r="C279" s="121" t="n"/>
    </row>
    <row r="280">
      <c r="A280" s="115" t="inlineStr">
        <is>
          <t>Stress Test - details any stress tests a fund has performed on portfolio</t>
        </is>
      </c>
      <c r="B280" s="125" t="n"/>
      <c r="C280" s="126" t="n"/>
      <c r="D280" s="127" t="inlineStr">
        <is>
          <t>C</t>
        </is>
      </c>
      <c r="E280" s="128" t="inlineStr">
        <is>
          <t>The STRESS_TEST record is mandatory for AIFs with content type 2 and 4, and forbidden otherwise.</t>
        </is>
      </c>
      <c r="F280" s="129" t="n"/>
    </row>
    <row r="281">
      <c r="A281" s="119" t="inlineStr">
        <is>
          <t>STRESS_TEST</t>
        </is>
      </c>
      <c r="B281" s="120" t="inlineStr">
        <is>
          <t>AIF_ID</t>
        </is>
      </c>
      <c r="C281" s="121" t="inlineStr">
        <is>
          <t>Custom AIF Identification</t>
        </is>
      </c>
      <c r="D281" s="122" t="inlineStr">
        <is>
          <t>Mandatory</t>
        </is>
      </c>
      <c r="E281" s="121" t="inlineStr">
        <is>
          <t>Custom AIF Identification to link AIF records to the correct AIF</t>
        </is>
      </c>
    </row>
    <row r="282" ht="31.5" customHeight="1">
      <c r="A282" s="119" t="inlineStr">
        <is>
          <t>STRESS_TEST</t>
        </is>
      </c>
      <c r="B282" s="120" t="n">
        <v>279</v>
      </c>
      <c r="C282" s="121" t="inlineStr">
        <is>
          <t>Results of stress tests performed in accordance with point(b) of Article 15(3)</t>
        </is>
      </c>
      <c r="D282" s="122" t="inlineStr">
        <is>
          <t>Mandatory</t>
        </is>
      </c>
      <c r="E282" s="123" t="inlineStr">
        <is>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is>
      </c>
    </row>
    <row r="283" ht="31.5" customHeight="1">
      <c r="A283" s="119" t="inlineStr">
        <is>
          <t>STRESS_TEST</t>
        </is>
      </c>
      <c r="B283" s="120" t="n">
        <v>280</v>
      </c>
      <c r="C283" s="121" t="inlineStr">
        <is>
          <t>Results of stress tests performed in accordance with the second subparagraph of Article 16(1)</t>
        </is>
      </c>
      <c r="D283" s="122" t="inlineStr">
        <is>
          <t>Mandatory</t>
        </is>
      </c>
      <c r="E283" s="123" t="inlineStr">
        <is>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is>
      </c>
    </row>
    <row r="284">
      <c r="A284" s="119" t="n"/>
      <c r="B284" s="120" t="n"/>
      <c r="C284" s="121" t="n"/>
      <c r="D284" s="138" t="n"/>
    </row>
    <row r="285">
      <c r="A285" s="115" t="inlineStr">
        <is>
          <t xml:space="preserve">Finance - details any financing the fund has received through cash, rehypothecation, collaterised loans etc), also details leverage under gross and commitment methods. Only required if fund needs to fill in 24(4) </t>
        </is>
      </c>
      <c r="B285" s="125" t="n"/>
      <c r="C285" s="126" t="n"/>
      <c r="D285" s="127" t="inlineStr">
        <is>
          <t>C</t>
        </is>
      </c>
      <c r="E285" s="128" t="inlineStr">
        <is>
          <t>The FINANCE record is mandatory for AIFs with content type 2, 4 and 5, and forbidden otherwise.</t>
        </is>
      </c>
      <c r="F285" s="129" t="n"/>
    </row>
    <row r="286">
      <c r="A286" s="119" t="inlineStr">
        <is>
          <t>FINANCE</t>
        </is>
      </c>
      <c r="B286" s="120" t="inlineStr">
        <is>
          <t>AIF_ID</t>
        </is>
      </c>
      <c r="C286" s="121" t="inlineStr">
        <is>
          <t>Custom AIF Identification</t>
        </is>
      </c>
      <c r="D286" s="122" t="inlineStr">
        <is>
          <t>Mandatory</t>
        </is>
      </c>
      <c r="E286" s="121" t="inlineStr">
        <is>
          <t>Custom AIF Identification to link AIF records to the correct AIF</t>
        </is>
      </c>
    </row>
    <row r="287" ht="21" customHeight="1">
      <c r="A287" s="119" t="inlineStr">
        <is>
          <t>FINANCE</t>
        </is>
      </c>
      <c r="B287" s="120" t="n">
        <v>281</v>
      </c>
      <c r="C287" s="121" t="inlineStr">
        <is>
          <t>Rehypothecation flag</t>
        </is>
      </c>
      <c r="D287" s="122" t="inlineStr">
        <is>
          <t>Mandatory</t>
        </is>
      </c>
      <c r="E287" s="123" t="inlineStr">
        <is>
          <t>Flag indicating whether the contract between the AIFM and the counterparty allow the counterparty to re-hypothecate collateral for a given AIF. true when the contract allows, false otherwise.</t>
        </is>
      </c>
    </row>
    <row r="288" ht="31.5" customHeight="1">
      <c r="A288" s="119" t="inlineStr">
        <is>
          <t>FINANCE</t>
        </is>
      </c>
      <c r="B288" s="120" t="n">
        <v>282</v>
      </c>
      <c r="C288" s="121" t="inlineStr">
        <is>
          <t>Rehypothecated percentage of collateral amount posted to all counterparties</t>
        </is>
      </c>
      <c r="D288" s="122" t="inlineStr">
        <is>
          <t>C
F for rehypothecation flag false
O otherwise</t>
        </is>
      </c>
      <c r="E288" s="123" t="inlineStr">
        <is>
          <t xml:space="preserve">Percentage of the amounts of collateral and other credit support (that the AIF has posted to counterparties) that have been rehypothecated by counterparties.
Rate expressed as a percentage. </t>
        </is>
      </c>
    </row>
    <row r="289" ht="21" customHeight="1">
      <c r="A289" s="119" t="inlineStr">
        <is>
          <t>FINANCE</t>
        </is>
      </c>
      <c r="B289" s="120" t="n">
        <v>283</v>
      </c>
      <c r="C289" s="121" t="inlineStr">
        <is>
          <t>Unsecured borrowing amount</t>
        </is>
      </c>
      <c r="D289" s="122" t="inlineStr">
        <is>
          <t>Optional</t>
        </is>
      </c>
      <c r="E289" s="123" t="inlineStr">
        <is>
          <t>Value of borrowings of cash or securities by unsecured cash borrowing.
Amount expressed in base currency filled in without decimal places.</t>
        </is>
      </c>
    </row>
    <row r="290" ht="21" customHeight="1">
      <c r="A290" s="119" t="inlineStr">
        <is>
          <t>FINANCE</t>
        </is>
      </c>
      <c r="B290" s="120" t="n">
        <v>284</v>
      </c>
      <c r="C290" s="121" t="inlineStr">
        <is>
          <t>Collaterised/secured cash borrowing prime broker amount</t>
        </is>
      </c>
      <c r="D290" s="122" t="inlineStr">
        <is>
          <t>Optional</t>
        </is>
      </c>
      <c r="E290" s="123" t="inlineStr">
        <is>
          <t>Value of borrowings of cash or securities by collateralised/secured cash borrowing - via prime broker.
Amount expressed in base currency filled in without decimal places.</t>
        </is>
      </c>
    </row>
    <row r="291" ht="21" customHeight="1">
      <c r="A291" s="119" t="inlineStr">
        <is>
          <t>FINANCE</t>
        </is>
      </c>
      <c r="B291" s="120" t="n">
        <v>285</v>
      </c>
      <c r="C291" s="121" t="inlineStr">
        <is>
          <t>Collaterised/secured cash borrowing reverse repo amount</t>
        </is>
      </c>
      <c r="D291" s="122" t="inlineStr">
        <is>
          <t>Optional</t>
        </is>
      </c>
      <c r="E291" s="123" t="inlineStr">
        <is>
          <t>Value of borrowings of cash or securities by collateralised/secured cash borrowing - via reverse repo.
Amount expressed in base currency filled in without decimal places.</t>
        </is>
      </c>
    </row>
    <row r="292" ht="21" customHeight="1">
      <c r="A292" s="119" t="inlineStr">
        <is>
          <t>FINANCE</t>
        </is>
      </c>
      <c r="B292" s="120" t="n">
        <v>286</v>
      </c>
      <c r="C292" s="121" t="inlineStr">
        <is>
          <t>Collaterised/secured cash borrowing other amount</t>
        </is>
      </c>
      <c r="D292" s="122" t="inlineStr">
        <is>
          <t>Optional</t>
        </is>
      </c>
      <c r="E292" s="123" t="inlineStr">
        <is>
          <t>Value of borrowings of cash or securities by collateralised/secured cash borrowing - via other.
Amount expressed in base currency filled in without decimal places.</t>
        </is>
      </c>
    </row>
    <row r="293" ht="21" customHeight="1">
      <c r="A293" s="119" t="inlineStr">
        <is>
          <t>FINANCE</t>
        </is>
      </c>
      <c r="B293" s="120" t="n">
        <v>287</v>
      </c>
      <c r="C293" s="121" t="inlineStr">
        <is>
          <t>Exchange traded derivatives exposure amount</t>
        </is>
      </c>
      <c r="D293" s="122" t="inlineStr">
        <is>
          <t>Optional</t>
        </is>
      </c>
      <c r="E293" s="123" t="inlineStr">
        <is>
          <t>Value of borrowing embedded in financial instruments by exchange traded derivatives (gross exposure less margin posted).
Amount expressed in base currency filled in without decimal places.</t>
        </is>
      </c>
    </row>
    <row r="294" ht="21" customHeight="1">
      <c r="A294" s="119" t="inlineStr">
        <is>
          <t>FINANCE</t>
        </is>
      </c>
      <c r="B294" s="120" t="n">
        <v>288</v>
      </c>
      <c r="C294" s="121" t="inlineStr">
        <is>
          <t>OTC derivatives exposure amount</t>
        </is>
      </c>
      <c r="D294" s="122" t="inlineStr">
        <is>
          <t>Optional</t>
        </is>
      </c>
      <c r="E294" s="123" t="inlineStr">
        <is>
          <t>Value of borrowing embedded in financial instruments by OTC derivatives (gross exposure less margin posted).
Amount expressed in base currency filled in without decimal places.</t>
        </is>
      </c>
    </row>
    <row r="295" ht="21" customHeight="1">
      <c r="A295" s="119" t="inlineStr">
        <is>
          <t>FINANCE</t>
        </is>
      </c>
      <c r="B295" s="120" t="n">
        <v>289</v>
      </c>
      <c r="C295" s="121" t="inlineStr">
        <is>
          <t>Short position borrowed securities value</t>
        </is>
      </c>
      <c r="D295" s="122" t="inlineStr">
        <is>
          <t>Optional</t>
        </is>
      </c>
      <c r="E295" s="123" t="inlineStr">
        <is>
          <t>Value of securities borrowed for short positions.
Amount expressed in base currency filled in without decimal places.</t>
        </is>
      </c>
    </row>
    <row r="296">
      <c r="A296" s="119" t="inlineStr">
        <is>
          <t>FINANCE</t>
        </is>
      </c>
      <c r="B296" s="120" t="n">
        <v>294</v>
      </c>
      <c r="C296" s="121" t="inlineStr">
        <is>
          <t>Leverage under gross method</t>
        </is>
      </c>
      <c r="D296" s="122" t="inlineStr">
        <is>
          <t>Mandatory</t>
        </is>
      </c>
      <c r="E296" s="123" t="inlineStr">
        <is>
          <t>Leverage value of the AIF under gross method espressed as a percentage of the NAV.</t>
        </is>
      </c>
    </row>
    <row r="297">
      <c r="A297" s="119" t="inlineStr">
        <is>
          <t>FINANCE</t>
        </is>
      </c>
      <c r="B297" s="120" t="n">
        <v>295</v>
      </c>
      <c r="C297" s="121" t="inlineStr">
        <is>
          <t>Leverage under commitment method</t>
        </is>
      </c>
      <c r="D297" s="122" t="inlineStr">
        <is>
          <t>Mandatory</t>
        </is>
      </c>
      <c r="E297" s="123" t="inlineStr">
        <is>
          <t>Leverage value of the AIF under commitment method espressed as a percentage of the NAV.</t>
        </is>
      </c>
    </row>
    <row r="298">
      <c r="A298" s="119" t="n"/>
      <c r="B298" s="120" t="n"/>
      <c r="C298" s="121" t="n"/>
    </row>
    <row r="299">
      <c r="A299" s="115" t="inlineStr">
        <is>
          <t>Controlled Structure - Gross exposure of financial and, as the case may be, or legal structures controlled by the AIF as defined in Recital 78 of the AIFMD</t>
        </is>
      </c>
      <c r="B299" s="126" t="n"/>
      <c r="C299" s="126" t="n"/>
      <c r="D299" s="127" t="inlineStr">
        <is>
          <t>C</t>
        </is>
      </c>
      <c r="E299" s="128" t="inlineStr">
        <is>
          <t>The CONTROLLED_STRUCTURE record is optional for AIFs with content type 2, 4 and 5, and forbidden otherwise.</t>
        </is>
      </c>
      <c r="F299" s="126" t="n"/>
    </row>
    <row r="300">
      <c r="A300" s="119" t="inlineStr">
        <is>
          <t>CONTROLLED_STRUCTURE</t>
        </is>
      </c>
      <c r="B300" s="120" t="inlineStr">
        <is>
          <t>AIF_ID</t>
        </is>
      </c>
      <c r="C300" s="121" t="inlineStr">
        <is>
          <t>Custom AIF Identification</t>
        </is>
      </c>
      <c r="D300" s="122" t="inlineStr">
        <is>
          <t>Mandatory</t>
        </is>
      </c>
      <c r="E300" s="121" t="inlineStr">
        <is>
          <t>Custom AIF Identification to link AIF records to the correct AIF</t>
        </is>
      </c>
    </row>
    <row r="301" ht="21" customHeight="1">
      <c r="A301" s="119" t="inlineStr">
        <is>
          <t>CONTROLLED_STRUCTURE</t>
        </is>
      </c>
      <c r="B301" s="120" t="n">
        <v>290</v>
      </c>
      <c r="C301" s="121" t="inlineStr">
        <is>
          <t>Controlled structure Name</t>
        </is>
      </c>
      <c r="D301" s="122" t="inlineStr">
        <is>
          <t>Mandatory</t>
        </is>
      </c>
      <c r="E301" s="123" t="inlineStr">
        <is>
          <t>Entity name (no standard).
It is strongly recommended to provide the full name corresponding to the allocated LEI code (or BIC code if any and LEI not available).</t>
        </is>
      </c>
    </row>
    <row r="302" ht="52.5" customHeight="1">
      <c r="A302" s="119" t="inlineStr">
        <is>
          <t>CONTROLLED_STRUCTURE</t>
        </is>
      </c>
      <c r="B302" s="120" t="n">
        <v>291</v>
      </c>
      <c r="C302" s="121" t="inlineStr">
        <is>
          <t>Controlled structure LEI code</t>
        </is>
      </c>
      <c r="D302" s="122" t="inlineStr">
        <is>
          <t>Optional</t>
        </is>
      </c>
      <c r="E302"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03">
      <c r="A303" s="119" t="inlineStr">
        <is>
          <t>CONTROLLED_STRUCTURE</t>
        </is>
      </c>
      <c r="B303" s="120" t="n">
        <v>292</v>
      </c>
      <c r="C303" s="121" t="inlineStr">
        <is>
          <t>Controlled structure BIC code</t>
        </is>
      </c>
      <c r="D303" s="122" t="inlineStr">
        <is>
          <t>Optional</t>
        </is>
      </c>
      <c r="E303" s="123" t="inlineStr">
        <is>
          <t>11 Character BIC code (ISO 9362 standard)</t>
        </is>
      </c>
    </row>
    <row r="304">
      <c r="A304" s="119" t="inlineStr">
        <is>
          <t>CONTROLLED_STRUCTURE</t>
        </is>
      </c>
      <c r="B304" s="120" t="n">
        <v>293</v>
      </c>
      <c r="C304" s="121" t="inlineStr">
        <is>
          <t>Controlled structure Exposure value</t>
        </is>
      </c>
      <c r="D304" s="122" t="inlineStr">
        <is>
          <t>Mandatory</t>
        </is>
      </c>
      <c r="E304" s="123" t="inlineStr">
        <is>
          <t>Gross exposure of financial and/or legal structures controlled by the AIF as defined in Recital 78 of the AIFMD expressed in base currency.</t>
        </is>
      </c>
    </row>
    <row r="305">
      <c r="A305" s="119" t="n"/>
      <c r="B305" s="120" t="n"/>
      <c r="C305" s="121" t="n"/>
    </row>
    <row r="306">
      <c r="A306" s="115" t="inlineStr">
        <is>
          <t>Borrow Source - Five largest sources of borrowed cash or securities (short positions)</t>
        </is>
      </c>
      <c r="B306" s="125" t="n"/>
      <c r="C306" s="126" t="n"/>
      <c r="D306" s="127" t="inlineStr">
        <is>
          <t>C</t>
        </is>
      </c>
      <c r="E306" s="128" t="inlineStr">
        <is>
          <t>The BORROW_SOURCE record is optional for AIFs with content type 4 and 5, and forbidden otherwise.</t>
        </is>
      </c>
      <c r="F306" s="129" t="n"/>
    </row>
    <row r="307">
      <c r="A307" s="114" t="inlineStr">
        <is>
          <t>BORROW_SOURCE</t>
        </is>
      </c>
      <c r="B307" s="120" t="inlineStr">
        <is>
          <t>AIF_ID</t>
        </is>
      </c>
      <c r="C307" s="121" t="inlineStr">
        <is>
          <t>Custom AIF Identification</t>
        </is>
      </c>
      <c r="D307" s="122" t="inlineStr">
        <is>
          <t>Mandatory</t>
        </is>
      </c>
      <c r="E307" s="121" t="inlineStr">
        <is>
          <t>Custom AIF Identification to link AIF records to the correct AIF</t>
        </is>
      </c>
    </row>
    <row r="308" ht="21" customHeight="1">
      <c r="A308" s="114" t="inlineStr">
        <is>
          <t>BORROW_SOURCE</t>
        </is>
      </c>
      <c r="B308" s="140" t="n">
        <v>298</v>
      </c>
      <c r="C308" s="124" t="inlineStr">
        <is>
          <t>Name of the source</t>
        </is>
      </c>
      <c r="D308" s="122" t="inlineStr">
        <is>
          <t>Mandatory</t>
        </is>
      </c>
      <c r="E308" s="123" t="inlineStr">
        <is>
          <t>Entity name (no standard).
It is strongly recommended to provide the full name corresponding to the allocated LEI code (or BIC code if any and LEI not available).</t>
        </is>
      </c>
    </row>
    <row r="309" ht="52.5" customHeight="1">
      <c r="A309" s="114" t="inlineStr">
        <is>
          <t>BORROW_SOURCE</t>
        </is>
      </c>
      <c r="B309" s="140" t="n">
        <v>299</v>
      </c>
      <c r="C309" s="124" t="inlineStr">
        <is>
          <t>LEI code of the source</t>
        </is>
      </c>
      <c r="D309" s="122" t="inlineStr">
        <is>
          <t>Optional</t>
        </is>
      </c>
      <c r="E309"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10">
      <c r="A310" s="114" t="inlineStr">
        <is>
          <t>BORROW_SOURCE</t>
        </is>
      </c>
      <c r="B310" s="140" t="n">
        <v>300</v>
      </c>
      <c r="C310" s="124" t="inlineStr">
        <is>
          <t>BIC code of the source</t>
        </is>
      </c>
      <c r="D310" s="122" t="inlineStr">
        <is>
          <t>Optional</t>
        </is>
      </c>
      <c r="E310" s="123" t="inlineStr">
        <is>
          <t>11 Character BIC code (ISO 9362 standard)</t>
        </is>
      </c>
    </row>
    <row r="311">
      <c r="A311" s="114" t="inlineStr">
        <is>
          <t>BORROW_SOURCE</t>
        </is>
      </c>
      <c r="B311" s="140" t="n">
        <v>301</v>
      </c>
      <c r="C311" s="124" t="inlineStr">
        <is>
          <t>Received leverage amount</t>
        </is>
      </c>
      <c r="D311" s="122" t="inlineStr">
        <is>
          <t>Mandatory</t>
        </is>
      </c>
      <c r="E311" s="123" t="inlineStr">
        <is>
          <t>Received leverage amount expressed in base currency.</t>
        </is>
      </c>
    </row>
    <row r="312"/>
    <row r="313"/>
    <row r="314">
      <c r="A314" s="115" t="inlineStr">
        <is>
          <t>Custom FX rates to overwrite or complement ECB FX rates, used in both AIF and AIFM report.  Optional record, by default standard ECB rates are used (AIF 24/1)</t>
        </is>
      </c>
      <c r="B314" s="125" t="n"/>
      <c r="C314" s="126" t="n"/>
      <c r="D314" s="127" t="inlineStr">
        <is>
          <t>O</t>
        </is>
      </c>
      <c r="E314" s="128" t="inlineStr">
        <is>
          <t>For all AIF Content Types</t>
        </is>
      </c>
      <c r="F314" s="129" t="n"/>
    </row>
    <row r="315">
      <c r="A315" s="114" t="inlineStr">
        <is>
          <t>CUSTOM_FX_RATE</t>
        </is>
      </c>
      <c r="B315" s="141" t="inlineStr">
        <is>
          <t>FX_DATE</t>
        </is>
      </c>
      <c r="C315" s="124" t="inlineStr">
        <is>
          <t>Value Date</t>
        </is>
      </c>
      <c r="D315" s="122" t="inlineStr">
        <is>
          <t>Mandatory</t>
        </is>
      </c>
      <c r="E315" s="123" t="inlineStr">
        <is>
          <t>Date of the FX rate. yyyy-mm-dd (ISO 8601 Date Format)</t>
        </is>
      </c>
    </row>
    <row r="316">
      <c r="A316" s="114" t="inlineStr">
        <is>
          <t>CUSTOM_FX_RATE</t>
        </is>
      </c>
      <c r="B316" s="141" t="n">
        <v>49</v>
      </c>
      <c r="C316" s="124" t="inlineStr">
        <is>
          <t>Currency</t>
        </is>
      </c>
      <c r="D316" s="122" t="inlineStr">
        <is>
          <t>Mandatory</t>
        </is>
      </c>
      <c r="E316" s="123" t="inlineStr">
        <is>
          <t>Currency code (3-character currency code according to the ISO 4217)</t>
        </is>
      </c>
    </row>
    <row r="317">
      <c r="A317" s="114" t="inlineStr">
        <is>
          <t>CUSTOM_FX_RATE</t>
        </is>
      </c>
      <c r="B317" s="141" t="n">
        <v>50</v>
      </c>
      <c r="C317" s="124" t="inlineStr">
        <is>
          <t>Currency / EUR FX rate</t>
        </is>
      </c>
      <c r="D317" s="122" t="inlineStr">
        <is>
          <t>Mandatory</t>
        </is>
      </c>
      <c r="E317" s="123" t="inlineStr">
        <is>
          <t>Conversion rate filled in with 4 decimal places. Rate in the non-eur currency. E.g. 2019-03-31 JPY: 124.45</t>
        </is>
      </c>
    </row>
    <row r="318" ht="31.5" customHeight="1">
      <c r="A318" s="114" t="inlineStr">
        <is>
          <t>CUSTOM_FX_RATE</t>
        </is>
      </c>
      <c r="B318" s="141" t="n">
        <v>51</v>
      </c>
      <c r="C318" s="124" t="inlineStr">
        <is>
          <t>Rate type (ECB or OTH)</t>
        </is>
      </c>
      <c r="D318" s="122" t="inlineStr">
        <is>
          <t>Mandatory</t>
        </is>
      </c>
      <c r="E318" s="123" t="inlineStr">
        <is>
          <t>2 types are admitted:
-          “ECB” when the rate is a euro reference rate as published by the ECB
-          “OTH” in other cases</t>
        </is>
      </c>
    </row>
    <row r="319" ht="31.5" customHeight="1">
      <c r="A319" s="114" t="inlineStr">
        <is>
          <t>CUSTOM_FX_RATE</t>
        </is>
      </c>
      <c r="B319" s="141" t="n">
        <v>52</v>
      </c>
      <c r="C319" s="124" t="inlineStr">
        <is>
          <t>Description for non-ECB rates</t>
        </is>
      </c>
      <c r="D319" s="122" t="inlineStr">
        <is>
          <t>C
Mandatory for reference rate type equal "OTH"
F otherwise</t>
        </is>
      </c>
      <c r="E319" s="123" t="inlineStr">
        <is>
          <t>Name of the source of the euro reference rate indicated in field 50
-          Free text for “OTH” type when the corresponding euro reference rate is not published by the ECB
-          Empty for “ECB” type when the corresponding euro reference rate is published by the ECB</t>
        </is>
      </c>
    </row>
  </sheetData>
  <dataValidations count="2">
    <dataValidation sqref="B1" showDropDown="0" showInputMessage="1" showErrorMessage="1" allowBlank="1" prompt="Current version of the Excel template"/>
    <dataValidation sqref="A1" showDropDown="0" showInputMessage="0" showErrorMessage="1" allowBlank="1" promptTitle="Mandatory" prompt="INPUT_FORMAT_x000a__x000a_Required to select the right report type"/>
  </dataValidations>
  <hyperlinks>
    <hyperlink xmlns:r="http://schemas.openxmlformats.org/officeDocument/2006/relationships" ref="C1" display="(click here to download the latest template)" r:id="rId1"/>
    <hyperlink xmlns:r="http://schemas.openxmlformats.org/officeDocument/2006/relationships" ref="C2" r:id="rId2"/>
  </hyperlinks>
  <pageMargins left="0.7086614173228347" right="0.7086614173228347" top="0.7480314960629921" bottom="0.7480314960629921" header="0.3149606299212598" footer="0.3149606299212598"/>
  <pageSetup orientation="landscape" paperSize="9" scale="43"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Olaf van Halm</dc:creator>
  <dcterms:created xmlns:dcterms="http://purl.org/dc/terms/" xmlns:xsi="http://www.w3.org/2001/XMLSchema-instance" xsi:type="dcterms:W3CDTF">2019-11-10T10:34:53Z</dcterms:created>
  <dcterms:modified xmlns:dcterms="http://purl.org/dc/terms/" xmlns:xsi="http://www.w3.org/2001/XMLSchema-instance" xsi:type="dcterms:W3CDTF">2026-04-02T12:33:17Z</dcterms:modified>
  <cp:lastModifiedBy>Sascha Nickl</cp:lastModifiedBy>
  <cp:lastPrinted>2023-08-02T10:54:43Z</cp:lastPrinted>
</cp:coreProperties>
</file>